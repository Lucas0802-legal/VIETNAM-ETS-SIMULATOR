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RIABLE_DICTIONARY" sheetId="1" r:id="rId5"/>
    <sheet state="visible" name="FACILITIES" sheetId="2" r:id="rId6"/>
    <sheet state="visible" name="CALCULATION" sheetId="3" r:id="rId7"/>
    <sheet state="visible" name="POLICY_PARAMETERS" sheetId="4" r:id="rId8"/>
    <sheet state="visible" name="REGULATORY_SCOPE" sheetId="5" r:id="rId9"/>
    <sheet state="visible" name="OFFICIAL_ALLOCATIONS" sheetId="6" r:id="rId10"/>
    <sheet state="visible" name="RAW_699" sheetId="7" r:id="rId11"/>
    <sheet state="visible" name="CLEAN_699" sheetId="8" r:id="rId12"/>
    <sheet state="visible" name="METHODOLOGY_EVIDENCE" sheetId="9" r:id="rId13"/>
    <sheet state="visible" name="HISTORICAL_DATA" sheetId="10" r:id="rId14"/>
    <sheet state="visible" name="LEGAL_RULES" sheetId="11" r:id="rId15"/>
    <sheet state="visible" name="COMPLIANCE" sheetId="12" r:id="rId16"/>
    <sheet state="visible" name="USER_SIMULATOR" sheetId="13" r:id="rId17"/>
    <sheet state="visible" name="INPUT_SCHEMA" sheetId="14" r:id="rId18"/>
    <sheet state="visible" name="FIGMA_MAP" sheetId="15" r:id="rId19"/>
    <sheet state="visible" name="README" sheetId="16" r:id="rId20"/>
    <sheet state="visible" name="SOURCE_REGISTER" sheetId="17" r:id="rId21"/>
  </sheets>
  <definedNames/>
  <calcPr/>
</workbook>
</file>

<file path=xl/sharedStrings.xml><?xml version="1.0" encoding="utf-8"?>
<sst xmlns="http://schemas.openxmlformats.org/spreadsheetml/2006/main" count="4721" uniqueCount="1493">
  <si>
    <t>Parameter ID</t>
  </si>
  <si>
    <t>Facility ID</t>
  </si>
  <si>
    <t>Variable ID</t>
  </si>
  <si>
    <t>Symbol</t>
  </si>
  <si>
    <t>Parameter Name (English)</t>
  </si>
  <si>
    <t>Tên tham số (Tiếng Việt)</t>
  </si>
  <si>
    <t>Facility Name</t>
  </si>
  <si>
    <t>Sector</t>
  </si>
  <si>
    <t>Allocation Year</t>
  </si>
  <si>
    <t>Tên biến (Tiếng Việt)</t>
  </si>
  <si>
    <t>Value</t>
  </si>
  <si>
    <t>Product</t>
  </si>
  <si>
    <t>Tên biến (English)</t>
  </si>
  <si>
    <t>Unit</t>
  </si>
  <si>
    <t>Product Unit</t>
  </si>
  <si>
    <t>Parameter Type</t>
  </si>
  <si>
    <t>Loại dữ liệu</t>
  </si>
  <si>
    <t>Tax ID</t>
  </si>
  <si>
    <t>Verification Status</t>
  </si>
  <si>
    <t>Đơn vị</t>
  </si>
  <si>
    <t>Inventory status used for 2025-2026 allocation basis</t>
  </si>
  <si>
    <t>Source</t>
  </si>
  <si>
    <t>Nhập bởi ai?</t>
  </si>
  <si>
    <t>Official Allocation 2025 (tCO2e)</t>
  </si>
  <si>
    <t>Notes</t>
  </si>
  <si>
    <t>Official Allocation 2026 (tCO2e)</t>
  </si>
  <si>
    <t>Công thức / Quy tắc</t>
  </si>
  <si>
    <t>Window Start</t>
  </si>
  <si>
    <t>Allocation Legal Source</t>
  </si>
  <si>
    <t>Output?</t>
  </si>
  <si>
    <t>PP001</t>
  </si>
  <si>
    <t>Data Status</t>
  </si>
  <si>
    <t>Window End</t>
  </si>
  <si>
    <t>P1</t>
  </si>
  <si>
    <t>g</t>
  </si>
  <si>
    <t>P_avg</t>
  </si>
  <si>
    <t>Sản lượng năm 1</t>
  </si>
  <si>
    <t>Sector growth target</t>
  </si>
  <si>
    <t>Mục tiêu tăng trưởng của lĩnh vực</t>
  </si>
  <si>
    <t>E_avg</t>
  </si>
  <si>
    <t>Production year 1</t>
  </si>
  <si>
    <t>Thermal power</t>
  </si>
  <si>
    <t>Sector Data Completeness</t>
  </si>
  <si>
    <t>Sector Benchmark (B)</t>
  </si>
  <si>
    <t>Input</t>
  </si>
  <si>
    <t>Đơn vị sản phẩm</t>
  </si>
  <si>
    <t>r</t>
  </si>
  <si>
    <t>Người dùng / nguồn dữ liệu</t>
  </si>
  <si>
    <t>—</t>
  </si>
  <si>
    <t>T</t>
  </si>
  <si>
    <t>Không</t>
  </si>
  <si>
    <t>Calculated Allocation (A)</t>
  </si>
  <si>
    <t>P2</t>
  </si>
  <si>
    <t>Sản lượng năm 2</t>
  </si>
  <si>
    <t>Production year 2</t>
  </si>
  <si>
    <t>%</t>
  </si>
  <si>
    <t>Official Allocation</t>
  </si>
  <si>
    <t>Policy parameter</t>
  </si>
  <si>
    <t>VALUE NOT ENTERED — source/value not verified in workbook</t>
  </si>
  <si>
    <t>https://datafiles.chinhphu.vn/cpp/files/vbpq/2025/6/10-vbhn-bnnmt-kem.pdf</t>
  </si>
  <si>
    <t>Definition is verified under Method No. 01. Do not populate an official value without a citable source.</t>
  </si>
  <si>
    <t>Difference</t>
  </si>
  <si>
    <t>PP002</t>
  </si>
  <si>
    <t>Sector GHG reduction target</t>
  </si>
  <si>
    <t>P3</t>
  </si>
  <si>
    <t>Mục tiêu giảm phát thải khí nhà kính của lĩnh vực</t>
  </si>
  <si>
    <t>Difference %</t>
  </si>
  <si>
    <t>Sản lượng năm 3</t>
  </si>
  <si>
    <t>Production year 3</t>
  </si>
  <si>
    <t>Calculation Status</t>
  </si>
  <si>
    <t>Legal Basis</t>
  </si>
  <si>
    <t>Source URL</t>
  </si>
  <si>
    <t>PP003</t>
  </si>
  <si>
    <t>E1</t>
  </si>
  <si>
    <t>Phát thải năm 1</t>
  </si>
  <si>
    <t>F001</t>
  </si>
  <si>
    <t>Emissions year 1</t>
  </si>
  <si>
    <t>Công ty nhiệt điện Na Dương</t>
  </si>
  <si>
    <t>tCO2e</t>
  </si>
  <si>
    <t>PP004</t>
  </si>
  <si>
    <t>E2</t>
  </si>
  <si>
    <t>Phát thải năm 2</t>
  </si>
  <si>
    <t>Emissions year 2</t>
  </si>
  <si>
    <t>E3</t>
  </si>
  <si>
    <t>Phát thải năm 3</t>
  </si>
  <si>
    <t>Emissions year 3</t>
  </si>
  <si>
    <t>Sản lượng trung bình ba năm y-1, y-2, y-3</t>
  </si>
  <si>
    <t>Average production over y-1, y-2, y-3</t>
  </si>
  <si>
    <t>Calculated</t>
  </si>
  <si>
    <t>Hệ thống</t>
  </si>
  <si>
    <t>(P_y-1 + P_y-2 + P_y-3) / 3</t>
  </si>
  <si>
    <t>Có</t>
  </si>
  <si>
    <t>Phát thải trung bình ba năm y-1, y-2, y-3</t>
  </si>
  <si>
    <t>Average emissions over y-1, y-2, y-3</t>
  </si>
  <si>
    <t>(E_y-1 + E_y-2 + E_y-3) / 3</t>
  </si>
  <si>
    <t>B</t>
  </si>
  <si>
    <t>Lượng phát thải KNK trung bình trên một đơn vị sản phẩm của lĩnh vực</t>
  </si>
  <si>
    <t>Sector benchmark / average GHG emissions per product unit</t>
  </si>
  <si>
    <t>tCO2e / đơn vị sản phẩm</t>
  </si>
  <si>
    <t>ΣE_avg / ΣP_avg</t>
  </si>
  <si>
    <t>Bộ quản lý lĩnh vực / nguồn chính sách</t>
  </si>
  <si>
    <t>Tham số trong công thức T; giá trị thực tế chưa nhập</t>
  </si>
  <si>
    <t>Mục tiêu giảm phát thải KNK của lĩnh vực</t>
  </si>
  <si>
    <t>PP005</t>
  </si>
  <si>
    <t>Hệ số điều chỉnh hạn ngạch</t>
  </si>
  <si>
    <t>Electricity</t>
  </si>
  <si>
    <t>Allowance adjustment factor</t>
  </si>
  <si>
    <t>(1 + g) × (1 - r)</t>
  </si>
  <si>
    <t>Iron &amp; steel</t>
  </si>
  <si>
    <t>A</t>
  </si>
  <si>
    <t>Hạn ngạch phát thải KNK tính toán cho cơ sở</t>
  </si>
  <si>
    <t>Calculated GHG allowance</t>
  </si>
  <si>
    <t>P_avg × B × T</t>
  </si>
  <si>
    <t>kWh</t>
  </si>
  <si>
    <t>0104297034-001</t>
  </si>
  <si>
    <t>YES — facility was within the inventory-list scope used for 2025-2026 quota allocation</t>
  </si>
  <si>
    <t>PP006</t>
  </si>
  <si>
    <t>Decision 699/QĐ-BNNMT</t>
  </si>
  <si>
    <t>PP007</t>
  </si>
  <si>
    <t>Official</t>
  </si>
  <si>
    <t>Do not use this field to infer current post-25/09/2026 inventory-list membership; check the effective list separately.</t>
  </si>
  <si>
    <t>PP008</t>
  </si>
  <si>
    <t>PP009</t>
  </si>
  <si>
    <t>Cement</t>
  </si>
  <si>
    <t>PP010</t>
  </si>
  <si>
    <t>Công ty nhiệt điện Sơn động Việt Nam</t>
  </si>
  <si>
    <t>PP011</t>
  </si>
  <si>
    <t>0104297034-003</t>
  </si>
  <si>
    <t>PP012</t>
  </si>
  <si>
    <t>Công ty Nhiệt điện Uông Bí</t>
  </si>
  <si>
    <t>5701662152-010</t>
  </si>
  <si>
    <t>Công ty Cổ phần Nhiệt điện Quảng Ninh</t>
  </si>
  <si>
    <t>5700434869</t>
  </si>
  <si>
    <t>Công ty Nhiệt điện Cẩm Phả - TKV</t>
  </si>
  <si>
    <t>0104297034-008</t>
  </si>
  <si>
    <t>Công ty TNHH Điện Lực AES Mông Dương - Nhà máy nhiệt điện Mông Dương II</t>
  </si>
  <si>
    <t>5701384498</t>
  </si>
  <si>
    <t>Công ty Nhiệt điện Đông Triều - TKV - Nhà máy nhiệt điện Mạo Khê</t>
  </si>
  <si>
    <t>0104297034-006</t>
  </si>
  <si>
    <t>Nhà máy nhiệt điện Mông Dương I - Công ty Nhiệt điện Mông Dương</t>
  </si>
  <si>
    <t>3502208399-008</t>
  </si>
  <si>
    <t>Công ty Cổ phần Nhiệt điện Hải Phòng</t>
  </si>
  <si>
    <t>200493225</t>
  </si>
  <si>
    <t>Nhà máy điện Nghi Sơn 1</t>
  </si>
  <si>
    <t>5701662152-011</t>
  </si>
  <si>
    <t>Công ty Điện lực Dầu khí Hà Tĩnh</t>
  </si>
  <si>
    <t>0102276173-007</t>
  </si>
  <si>
    <t>Công ty TNHH Hưng Nghiệp Formosa</t>
  </si>
  <si>
    <t>3600517557</t>
  </si>
  <si>
    <t>Công ty TNHH Điện lực Vĩnh Tân 1 (Nhà máy nhiệt điện BOT Vĩnh Tân 1)</t>
  </si>
  <si>
    <t>3401060812</t>
  </si>
  <si>
    <t>Công ty Nhiệt điện Vĩnh Tân -CW nhánh TNHH MTV Tổng công ty Phát điện 3 (Nhà máy nhiệt điện Vĩnh Tân 2)</t>
  </si>
  <si>
    <t>3502208399-007</t>
  </si>
  <si>
    <t>Nhà máy nhiệt điện Vĩnh Tân 4 - 4 Mở rộng - Chi nhánh Tập đoàn Điện lực Việt Nam</t>
  </si>
  <si>
    <t>0100100079-088</t>
  </si>
  <si>
    <t>Nhà máy điện Diesel Phú Quý</t>
  </si>
  <si>
    <t>0300942001-012</t>
  </si>
  <si>
    <t>Nhà máy nhiệt điện Phú Mỹ 1 - Công ty Nhiệt điện Phú Mỹ</t>
  </si>
  <si>
    <t>3502208399-010</t>
  </si>
  <si>
    <t>Nhà máy nhiệt điện Phú Mỹ 2,1 và Phú Mỹ 2,1 mở rộng - Công ty Nhiệt điện Phú Mỹ</t>
  </si>
  <si>
    <t>Nhà máy nhiệt điện Phú Mỹ 4 - Công ty Nhiệt điện Phú Mỹ</t>
  </si>
  <si>
    <t>Công ty Cổ phần Nhiệt điện Bà Rịa</t>
  </si>
  <si>
    <t>3500701305</t>
  </si>
  <si>
    <t>Nhà máy Điện An Hội</t>
  </si>
  <si>
    <t>0300942001-026</t>
  </si>
  <si>
    <t>Chi nhánh Tổng Công ty Điện lực Dầu khí Việt Nam - Công ty Cổ phần - Công ty Điện lục Dầu khí Nhơn Trạch</t>
  </si>
  <si>
    <t>0102276173-003</t>
  </si>
  <si>
    <t>Nhà máy nhiệt điện VEDAN</t>
  </si>
  <si>
    <t>3600239719</t>
  </si>
  <si>
    <t>Nhà máy nhiệt điện Amata</t>
  </si>
  <si>
    <t>3600257958</t>
  </si>
  <si>
    <t>Nhà máy nhiệt điện Nhơn Trạch 2</t>
  </si>
  <si>
    <t>3600897316</t>
  </si>
  <si>
    <t>Công ty Nhiệt điện Duyên Hải (Nhà máy Duyên Hải 1)</t>
  </si>
  <si>
    <t>5701662152-009</t>
  </si>
  <si>
    <t>Công ty Nhiệt điện Duyên Hải (Nhà máy Duyên Hải 3)</t>
  </si>
  <si>
    <t>Công ty Nhiệt điện Duyên Hải (Nhà máy Duyên Hải 3 MR)</t>
  </si>
  <si>
    <t>Công ty TNHH gang thép Hưng Nghiệp Formosa Hà Tĩnh</t>
  </si>
  <si>
    <t>3000437821</t>
  </si>
  <si>
    <t>Appendix I, Method No. 01</t>
  </si>
  <si>
    <t>Công ty Điện lực dầu khí Cà Mau (Nhà máy điện Cà Mau 1)</t>
  </si>
  <si>
    <t>0102276173-002</t>
  </si>
  <si>
    <t>Công ty Điện lực dầu khí Cà Mau (Nhà máy điện Cà Mau 2)</t>
  </si>
  <si>
    <t>Công ty cổ phần nhiệt điện An Khánh</t>
  </si>
  <si>
    <t>4600421021</t>
  </si>
  <si>
    <t>Công ty nhiệt điện Cao Ngạn</t>
  </si>
  <si>
    <t>0104297034-002</t>
  </si>
  <si>
    <t>Ban điều hành nhà máy điện Kiên Hải</t>
  </si>
  <si>
    <t>1700403486</t>
  </si>
  <si>
    <t>Công ty TNHH khoáng sản và luyện kim Việt Trung</t>
  </si>
  <si>
    <t>Crude steel</t>
  </si>
  <si>
    <t>t crude steel</t>
  </si>
  <si>
    <t>5300232681</t>
  </si>
  <si>
    <t>Công ty cổ phần Gang thép Cao Bằng</t>
  </si>
  <si>
    <t>4800162247</t>
  </si>
  <si>
    <t>Công ty cổ phần luyện thép Việt Ý</t>
  </si>
  <si>
    <t>0900222647-004</t>
  </si>
  <si>
    <t>Công ty cổ phần luyện thép cao cấp Việt Nhật</t>
  </si>
  <si>
    <t>201572208</t>
  </si>
  <si>
    <t>Công ty TNHH MTV Thép Hòa Phát</t>
  </si>
  <si>
    <t>900629369</t>
  </si>
  <si>
    <t>Công ty TNHH Gang Thép Hung Nghiệp Formosa Hà Tĩnh</t>
  </si>
  <si>
    <t>Công ty cổ phần Thép Hòa Phát Dung Quất</t>
  </si>
  <si>
    <t>4300793861</t>
  </si>
  <si>
    <t>Công ty cổ phần Thép Thủ Đức - Vnsteel</t>
  </si>
  <si>
    <t>305409326</t>
  </si>
  <si>
    <t>Công ty TNHH thép Tung Ho Việt Nam</t>
  </si>
  <si>
    <t>3500791394</t>
  </si>
  <si>
    <t>Nhà máy thép Pomina 2</t>
  </si>
  <si>
    <t>3500793105</t>
  </si>
  <si>
    <t>Công ty TNHH MTV Thép Miền Nam</t>
  </si>
  <si>
    <t>3502269994</t>
  </si>
  <si>
    <t>Công ty TNHH Posco SS - Vina</t>
  </si>
  <si>
    <t>3501620257</t>
  </si>
  <si>
    <t>Công ty TNHH Thép Vina Kyoei</t>
  </si>
  <si>
    <t>3500106761</t>
  </si>
  <si>
    <t>Công ty TNHH thép VAS An Hưng Tường</t>
  </si>
  <si>
    <t>3700256179</t>
  </si>
  <si>
    <t>Công ty TNHH thép Sa Mi Na</t>
  </si>
  <si>
    <t>3700598687</t>
  </si>
  <si>
    <t>F002</t>
  </si>
  <si>
    <t>Công ty cổ phần thép Tuệ Minh</t>
  </si>
  <si>
    <t>3701729269</t>
  </si>
  <si>
    <t>Rule ID</t>
  </si>
  <si>
    <t>Module</t>
  </si>
  <si>
    <t>Facility Category / Sector</t>
  </si>
  <si>
    <t>Trigger / Scope</t>
  </si>
  <si>
    <t>Threshold / Condition</t>
  </si>
  <si>
    <t>Result if met</t>
  </si>
  <si>
    <t>Công ty cổ phần Sản xuất thép Vina One</t>
  </si>
  <si>
    <t>Effective / Time Scope</t>
  </si>
  <si>
    <t>1100549268</t>
  </si>
  <si>
    <t>Implementation Note</t>
  </si>
  <si>
    <t>INV-01</t>
  </si>
  <si>
    <t>Inventory</t>
  </si>
  <si>
    <t>All facilities</t>
  </si>
  <si>
    <t>Annual GHG emissions</t>
  </si>
  <si>
    <t>≥ 3,000 tCO2e/year</t>
  </si>
  <si>
    <t>Meets inventory criterion</t>
  </si>
  <si>
    <t>48/VBHN-BNNMT, Article 6(1)</t>
  </si>
  <si>
    <t>Current rule</t>
  </si>
  <si>
    <t>https://datafiles.chinhphu.vn/cpp/files/vbpq/2026/4/48-vbhn-bnnmt.pdf</t>
  </si>
  <si>
    <t>For a definitive list-based answer, also check the effective Prime Minister inventory list.</t>
  </si>
  <si>
    <t>Công ty TNHH MTV thép VAS Nghi Sơn</t>
  </si>
  <si>
    <t>INV-02</t>
  </si>
  <si>
    <t>Thermal power / industrial production</t>
  </si>
  <si>
    <t>2801115888</t>
  </si>
  <si>
    <t>Annual energy consumption</t>
  </si>
  <si>
    <t>≥ 1,000 TOE/year</t>
  </si>
  <si>
    <t>48/VBHN-BNNMT, Article 6(1)(a)</t>
  </si>
  <si>
    <t>Do not apply this energy threshold to unrelated facility categories.</t>
  </si>
  <si>
    <t>INV-03</t>
  </si>
  <si>
    <t>Freight transport company</t>
  </si>
  <si>
    <t>Annual fuel consumption</t>
  </si>
  <si>
    <t>48/VBHN-BNNMT, Article 6(1)(b)</t>
  </si>
  <si>
    <t>Use fuel consumption in TOE.</t>
  </si>
  <si>
    <t>INV-04</t>
  </si>
  <si>
    <t>Commercial building</t>
  </si>
  <si>
    <t>Công ty cổ phần Cơ khí Gang thép</t>
  </si>
  <si>
    <t>48/VBHN-BNNMT, Article 6(1)(c)</t>
  </si>
  <si>
    <t>4600479367</t>
  </si>
  <si>
    <t>Use annual energy consumption.</t>
  </si>
  <si>
    <t>INV-05</t>
  </si>
  <si>
    <t>Solid waste treatment facility</t>
  </si>
  <si>
    <t>Annual operating capacity</t>
  </si>
  <si>
    <t>≥ 65,000 tonnes/year</t>
  </si>
  <si>
    <t>48/VBHN-BNNMT, Article 6(1)(d)</t>
  </si>
  <si>
    <t>Capacity criterion, not annual emissions.</t>
  </si>
  <si>
    <t>LIST-13</t>
  </si>
  <si>
    <t>Inventory list</t>
  </si>
  <si>
    <t>All listed facilities</t>
  </si>
  <si>
    <t>Official list membership</t>
  </si>
  <si>
    <t>Decision 13/2024/QĐ-TTg</t>
  </si>
  <si>
    <t>Inventory-list obligation</t>
  </si>
  <si>
    <t>Effective 01/10/2024 through 24/09/2026</t>
  </si>
  <si>
    <t>https://vanban.chinhphu.vn/?classid=1&amp;docid=210939&amp;pageid=27160&amp;typegroupid=5</t>
  </si>
  <si>
    <t>As of 13/09/2026 this is the effective inventory list.</t>
  </si>
  <si>
    <t>Công ty cổ phần Thép Hòa Phát</t>
  </si>
  <si>
    <t>LIST-42</t>
  </si>
  <si>
    <t>800384651</t>
  </si>
  <si>
    <t>Decision 42/2026/QĐ-TTg</t>
  </si>
  <si>
    <t>Decision 42/2026/QĐ-TTg, Article 3</t>
  </si>
  <si>
    <t>Effective from 25/09/2026</t>
  </si>
  <si>
    <t>https://vanban.chinhphu.vn/?classid=1&amp;docid=219154&amp;pageid=27160&amp;typegroupid=5</t>
  </si>
  <si>
    <t>Replaces Decision 13/2024/QĐ-TTg from its effective date.</t>
  </si>
  <si>
    <t>ETS-01</t>
  </si>
  <si>
    <t>Quota allocation</t>
  </si>
  <si>
    <t>Thermal power; iron &amp; steel; cement</t>
  </si>
  <si>
    <t>2025-2026 pilot scope</t>
  </si>
  <si>
    <t>Facility must be in the relevant inventory list and be allocated under Decision 699/QĐ-BNNMT</t>
  </si>
  <si>
    <t>Quota obligation for pilot phase</t>
  </si>
  <si>
    <t>48/VBHN-BNNMT, Article 12(1); Decision 699/QĐ-BNNMT</t>
  </si>
  <si>
    <t>2025-2026</t>
  </si>
  <si>
    <t>https://dcc.mae.gov.vn/Pages/chi-tiet-tin-DCC.aspx?ItemID=3881&amp;cm=0&amp;mn=0</t>
  </si>
  <si>
    <t>Inventory obligation alone does not mean the facility has a quota obligation.</t>
  </si>
  <si>
    <t>ETS-02</t>
  </si>
  <si>
    <t>Allocation method</t>
  </si>
  <si>
    <t>Công ty cổ phần Gang Thép Thái Nguyên</t>
  </si>
  <si>
    <t>Product basis</t>
  </si>
  <si>
    <t>Electricity, kWh</t>
  </si>
  <si>
    <t>Use in P_avg and B</t>
  </si>
  <si>
    <t>4600100155</t>
  </si>
  <si>
    <t>2025-2026 method</t>
  </si>
  <si>
    <t>Historical window = y-1, y-2, y-3.</t>
  </si>
  <si>
    <t>ETS-03</t>
  </si>
  <si>
    <t>Crude steel, tonnes</t>
  </si>
  <si>
    <t>ETS-04</t>
  </si>
  <si>
    <t>Clinker, tonnes</t>
  </si>
  <si>
    <t>Công ty cổ phần thép Đà Nẵng</t>
  </si>
  <si>
    <t>400101549</t>
  </si>
  <si>
    <t>COMP-01</t>
  </si>
  <si>
    <t>Compliance</t>
  </si>
  <si>
    <t>Allocated facilities</t>
  </si>
  <si>
    <t>Surrender requirement</t>
  </si>
  <si>
    <t>Surrender ≥ direct-source inventory emissions for the allocation phase minus carbon credits used for offset</t>
  </si>
  <si>
    <t>Compliance obligation</t>
  </si>
  <si>
    <t>48/VBHN-BNNMT, Article 19(5)</t>
  </si>
  <si>
    <t>Per allocation phase</t>
  </si>
  <si>
    <t>For the 2025-2026 phase, compliance should be assessed on the phase, not merely one year.</t>
  </si>
  <si>
    <t>COMP-02</t>
  </si>
  <si>
    <t>Carbon-credit offset</t>
  </si>
  <si>
    <t>≤ 30% of allocated allowances</t>
  </si>
  <si>
    <t>Maximum eligible offset</t>
  </si>
  <si>
    <t>48/VBHN-BNNMT, Article 19(8)</t>
  </si>
  <si>
    <t>Workbook caps eligible credits at the legal maximum and flags excess input.</t>
  </si>
  <si>
    <t>Công ty cổ phần Thép Vicasa - Vnsteel</t>
  </si>
  <si>
    <t>COMP-03</t>
  </si>
  <si>
    <t>3600961762</t>
  </si>
  <si>
    <t>Borrowing from next phase</t>
  </si>
  <si>
    <t>≤ 15% of allowances allocated for current phase</t>
  </si>
  <si>
    <t>Maximum eligible borrowing</t>
  </si>
  <si>
    <t>48/VBHN-BNNMT, Article 19(6)</t>
  </si>
  <si>
    <t>Through end-2030</t>
  </si>
  <si>
    <t>Borrowed allowances cannot be used for exchange.</t>
  </si>
  <si>
    <t>Công ty TNHH thép đặc biệt Shengli Việt Nam</t>
  </si>
  <si>
    <t>1000440676</t>
  </si>
  <si>
    <t>Legal Source</t>
  </si>
  <si>
    <t>Công ty cổ phần Luyện kim đen Thái Nguyên</t>
  </si>
  <si>
    <t>4600400261</t>
  </si>
  <si>
    <t>Công ty Cổ phần Xi măng X18</t>
  </si>
  <si>
    <t>Clinker</t>
  </si>
  <si>
    <t>t clinker</t>
  </si>
  <si>
    <t>5400253188</t>
  </si>
  <si>
    <t>Nhà máy Xi măng Trung Sơn (Công ty Cổ phần Xây dựng và Du lịch Bình Minh)</t>
  </si>
  <si>
    <t>5400478632</t>
  </si>
  <si>
    <t>Nhà máy Xi măng Vĩnh Sơn (Công ty TNHH Xi măng Vĩnh Sơn)</t>
  </si>
  <si>
    <t>5400208756</t>
  </si>
  <si>
    <t>Công ty Cổ phần Xi măng Mai Sơn</t>
  </si>
  <si>
    <t>5500230970</t>
  </si>
  <si>
    <t>Nhà máy xi măng Điện Biên</t>
  </si>
  <si>
    <t>5600177368</t>
  </si>
  <si>
    <t>Nhà máy Xi măng Yên Bái, Công ty Cổ phần Xi măng và Khoáng sản Yên Bái</t>
  </si>
  <si>
    <t>5200216647</t>
  </si>
  <si>
    <t>Nhà máy Xi măng Yên Bình, Công ty Cổ phần Xi măng Yên Bình</t>
  </si>
  <si>
    <t>5200213597</t>
  </si>
  <si>
    <t>Công ty cổ phần xi măng Phú Thọ</t>
  </si>
  <si>
    <t>2600116271</t>
  </si>
  <si>
    <t>Công ty cổ phần xi măng VIMCEM Sông Thao</t>
  </si>
  <si>
    <t>2600279082</t>
  </si>
  <si>
    <t>Nhà máy xi măng Tuyên Quang, Công ty cổ phần xi măng Tuyên Quang</t>
  </si>
  <si>
    <t>5000119170</t>
  </si>
  <si>
    <t>Nhà máy xi măng Tân Quang, Công ty cổ phần xi măng Tân Quang- VVMI, Tổng công ty công nghiệp mỏ Việt Bắc TKV</t>
  </si>
  <si>
    <t>5000280116</t>
  </si>
  <si>
    <t>Nhà máy sản xuất Xi măng Quán Triều, Công ty Cổ phần Xi măng Quán Triều</t>
  </si>
  <si>
    <t>4600409377</t>
  </si>
  <si>
    <t>Nhà máy sản xuất Xi măng La Hiên, Công ty cổ phần Xi măng La Hiên</t>
  </si>
  <si>
    <t>4600422240</t>
  </si>
  <si>
    <t>Nhà máy sản xuất Xi măng Quang Sơn, Công ty cổ phần Xi măng Quang Sơn</t>
  </si>
  <si>
    <t>4600964966</t>
  </si>
  <si>
    <t>Công ty Cổ phần xi măng Đồng Bành</t>
  </si>
  <si>
    <t>4900225282</t>
  </si>
  <si>
    <t>Công ty Cổ phần Xi măng Hồng Phong</t>
  </si>
  <si>
    <t>4900102650</t>
  </si>
  <si>
    <t>Nhà máy xi măng Cẩm Phả, Công ty Cổ phần Xi măng Cẩm Phả</t>
  </si>
  <si>
    <t>5700804196</t>
  </si>
  <si>
    <t>Công ty Cổ phần Xi măng và Xây dựng Quảng Ninh, Nhà máy xi măng Lam Thạch</t>
  </si>
  <si>
    <t>5700100263-013</t>
  </si>
  <si>
    <t>Công ty Cổ phần Xi măng Hạ Long</t>
  </si>
  <si>
    <t>5700466028</t>
  </si>
  <si>
    <t>Công ty Cổ phần Xi măng Thăng Long</t>
  </si>
  <si>
    <t>5700360871</t>
  </si>
  <si>
    <t>Nhà máy xi măng Bút Sơn, Công ty Cổ phần Xi măng Vicem Bút Sơn</t>
  </si>
  <si>
    <t>700117613</t>
  </si>
  <si>
    <t>Nhà máy xi măng Hoàng Long, Công ty Cổ phần Xi măng Hoàng Long</t>
  </si>
  <si>
    <t>700222569</t>
  </si>
  <si>
    <t>Nhà máy xi măng Thành Thắng, Công ty Cổ phần Xi măng Thành Thắng</t>
  </si>
  <si>
    <t>700651198</t>
  </si>
  <si>
    <t>Nhà máy Xi măng Vissai Hà Nam - DC2, Tập đoàn The Vissai</t>
  </si>
  <si>
    <t>700507853</t>
  </si>
  <si>
    <t>Nhà máy Xi măng Xuân Thành, Công ty Cổ phần Xi măng Xuân Thành</t>
  </si>
  <si>
    <t>700576529</t>
  </si>
  <si>
    <t>Dây chuyền 2 Nhà máy clinker, Tập đoàn The Vissai</t>
  </si>
  <si>
    <t>Công ty TNHH MTV Xi măng Vicem Hoàng Thạch</t>
  </si>
  <si>
    <t>800004797</t>
  </si>
  <si>
    <t>Công ty TNHH sản xuất vật liệu xây dựng Thành Công III</t>
  </si>
  <si>
    <t>800297991</t>
  </si>
  <si>
    <t>Nhà máy Xi măng Chinfon, Công ty Xi măng Chinfon</t>
  </si>
  <si>
    <t>200110200</t>
  </si>
  <si>
    <t>Nhà máy xi măng Hải Phòng, Công ty TNHH MTV Vicem Hải Phòng</t>
  </si>
  <si>
    <t>200155219</t>
  </si>
  <si>
    <t>Nhà máy Xi măng Vissai Ninh Bình, Tập đoàn The Vissai</t>
  </si>
  <si>
    <t>F003</t>
  </si>
  <si>
    <t>2700280638</t>
  </si>
  <si>
    <t>Công ty VICEM xi măng Tam Điệp</t>
  </si>
  <si>
    <t>2700260173</t>
  </si>
  <si>
    <t>Nhà máy Xi măng Bỉm Sơn, Công ty Cổ phần Xi măng Bỉm Sơn</t>
  </si>
  <si>
    <t>2800232620</t>
  </si>
  <si>
    <t>Nhà máy Xi măng Long Son, Công ty TNHH Long Sơn</t>
  </si>
  <si>
    <t>2700271520-003</t>
  </si>
  <si>
    <t>Nhà máy Xi măng Công Thanh, Tập đoàn Công Thanh</t>
  </si>
  <si>
    <t>304186356</t>
  </si>
  <si>
    <t>Nhà máy Xi măng Nghi Sơn 2, Công ty Xi măng Nghi Sơn</t>
  </si>
  <si>
    <t>2800464741</t>
  </si>
  <si>
    <t>Nhà máy Xi măng Tân Thắng, Công ty Xi măng Tân Thắng</t>
  </si>
  <si>
    <t>2901132319</t>
  </si>
  <si>
    <t>Nhà máy Xi măng Sông Lam 1, Tập đoàn The Vissai</t>
  </si>
  <si>
    <t>2900601487</t>
  </si>
  <si>
    <t>Nhà máy Xi măng Sông Lam 2, Tập đoàn The Vissai</t>
  </si>
  <si>
    <t>2900325156</t>
  </si>
  <si>
    <t>Nhà máy Xi măng Công ty Cổ phần Xi măng Vicem Hoàng Mai</t>
  </si>
  <si>
    <t>2900329295</t>
  </si>
  <si>
    <t>Công ty cổ phần xi măng sông Gianh</t>
  </si>
  <si>
    <t>3100946237</t>
  </si>
  <si>
    <t>Công ty cổ phần vật liệu xây dựng Việt Nam</t>
  </si>
  <si>
    <t>3100405421</t>
  </si>
  <si>
    <t>Nhà máy Xi măng Vạn Ninh, Công ty cổ phần Xi măng Vicem Hải Vân</t>
  </si>
  <si>
    <t>0400101235-003</t>
  </si>
  <si>
    <t>Công ty Hữu Hạn Xi Măng Luks</t>
  </si>
  <si>
    <t>3300100875</t>
  </si>
  <si>
    <t>Công ty cổ phần Xi măng Đồng Lâm</t>
  </si>
  <si>
    <t>3300384306</t>
  </si>
  <si>
    <t>Công ty TNHH MTV Xi măng Xuân Thành Quảng Nam</t>
  </si>
  <si>
    <t>4001193087</t>
  </si>
  <si>
    <t>Nhà máy Xi măng Bình Phước, Công ty cổ phần Xi măng Vicem Hà Tiên 1</t>
  </si>
  <si>
    <t>0301446422-012</t>
  </si>
  <si>
    <t>Nhà máy Xi măng Tây Ninh, Công ty cổ phần xi măng FICO Tây Ninh - Tổng Công ty vật liệu xây dựng số 1</t>
  </si>
  <si>
    <t>3900365922-003</t>
  </si>
  <si>
    <t>STT</t>
  </si>
  <si>
    <t>Tên cơ sở</t>
  </si>
  <si>
    <t>Địa chỉ</t>
  </si>
  <si>
    <t>Mã số thuế</t>
  </si>
  <si>
    <t>Người đại diện pháp luật</t>
  </si>
  <si>
    <t>Hạn ngạch 2025 (tCO2e)</t>
  </si>
  <si>
    <t>Hạn ngạch 2026 (tCO2e)</t>
  </si>
  <si>
    <t>Nhà máy Xi măng Kiên Lương, Công ty cổ phần Xi măng Vicem Hà Tiên 1</t>
  </si>
  <si>
    <t>I</t>
  </si>
  <si>
    <t>0301446422-013</t>
  </si>
  <si>
    <t>Các nhà máy nhiệt điện</t>
  </si>
  <si>
    <t>Nhà máy Xi măng INSEE, Công ty TNHH Siam City Cement (Việt Nam)</t>
  </si>
  <si>
    <t>0300608568-001</t>
  </si>
  <si>
    <t>Thị trấn Na Dương, huyện Lộc Bình, tỉnh Lang Sơn</t>
  </si>
  <si>
    <t>Phạm Đức Tuyên</t>
  </si>
  <si>
    <t>1,035,566</t>
  </si>
  <si>
    <t>1,134,493</t>
  </si>
  <si>
    <t>Công ty TNHH Duyên Hà, Nhà máy xi măng Duyên Hà</t>
  </si>
  <si>
    <t>0100520789-002</t>
  </si>
  <si>
    <t>Thị trấn Tây Yên Tử, huyện Sơn Đông, tỉnh Bắc Giang</t>
  </si>
  <si>
    <t>Dương Hồng Đường</t>
  </si>
  <si>
    <t>2,032,458</t>
  </si>
  <si>
    <t>2,226,618</t>
  </si>
  <si>
    <t>Khu 6, Quang Trung, thành phố Uông Bí, tỉnh Quảng Ninh</t>
  </si>
  <si>
    <t>Đỗ Trung Kiên</t>
  </si>
  <si>
    <t>5,691,098</t>
  </si>
  <si>
    <t>6,234,766</t>
  </si>
  <si>
    <t>T33K5, phường Hà Khánh, Hạ Long, tỉnh Quảng Ninh</t>
  </si>
  <si>
    <t>Nguyễn Việt Dũng</t>
  </si>
  <si>
    <t>11,097,421</t>
  </si>
  <si>
    <t>12,157,553</t>
  </si>
  <si>
    <t>Tổ 4, khu 4A, Phường Cẩm Thịnh, Cẩm Phả, tỉnh Quảng Ninh</t>
  </si>
  <si>
    <t>Trần Văn Hoan</t>
  </si>
  <si>
    <t>3,585,092</t>
  </si>
  <si>
    <t>3,927,575</t>
  </si>
  <si>
    <t>Khu 8, phường Mông Dương, Cẩm Phả, tỉnh Quảng Ninh</t>
  </si>
  <si>
    <t>Oliver Robert Jean Marquette</t>
  </si>
  <si>
    <t>12,190,431</t>
  </si>
  <si>
    <t>13,354,978</t>
  </si>
  <si>
    <t>Thôn Đồng Sơn, xã Bình Khê, Đông Triều, tỉnh Quảng Ninh</t>
  </si>
  <si>
    <t>Nguyễn Đình Tuấn</t>
  </si>
  <si>
    <t>4,436,759</t>
  </si>
  <si>
    <t>4,860,601</t>
  </si>
  <si>
    <t>Phường Mông Dương, Cẩm Phả, tỉnh Quảng Ninh</t>
  </si>
  <si>
    <t>Nguyễn Hữu Tuấn</t>
  </si>
  <si>
    <t>9,556,403</t>
  </si>
  <si>
    <t>10,469,322</t>
  </si>
  <si>
    <t>Xã Tam Hưng, huyện Thủy Nguyên, thành phố Hải Phòng</t>
  </si>
  <si>
    <t>Dương Sơn Bá</t>
  </si>
  <si>
    <t>10,239,469</t>
  </si>
  <si>
    <t>11,217,642</t>
  </si>
  <si>
    <t>Xã Hải Hà, thị xã Nghi Sơn, tỉnh Thanh Hóa</t>
  </si>
  <si>
    <t>Võ Mạnh Hà</t>
  </si>
  <si>
    <t>5,036,163</t>
  </si>
  <si>
    <t>5,517,266</t>
  </si>
  <si>
    <t>Xóm Hải Phong, xã Kỳ Lợi, thị xã Kỳ Anh, tỉnh Hà Tĩnh</t>
  </si>
  <si>
    <t>Trịnh Bảo Ngọc</t>
  </si>
  <si>
    <t>7,214,687</t>
  </si>
  <si>
    <t>7,903,903</t>
  </si>
  <si>
    <t>KCN Nhơn Trạch III _ Giai đoạn 1, thị trấn Hiệp Phước, huyện Nhơn Trạch, tỉnh Đồng Nai</t>
  </si>
  <si>
    <t>Huang Chien Fu</t>
  </si>
  <si>
    <t>2,558,365</t>
  </si>
  <si>
    <t>2,802,764</t>
  </si>
  <si>
    <t>Thôn Vĩnh Phúc, xã Vĩnh Tân, huyện Tuy Phong, tỉnh Bình Thuận</t>
  </si>
  <si>
    <t>Chen HongPeng</t>
  </si>
  <si>
    <t>11,856,608</t>
  </si>
  <si>
    <t>12,989,265</t>
  </si>
  <si>
    <t>Thiên Thanh Sơn</t>
  </si>
  <si>
    <t>10,530,658</t>
  </si>
  <si>
    <t>11,536,648</t>
  </si>
  <si>
    <t>Vũ Thanh Hải</t>
  </si>
  <si>
    <t>8,528,067</t>
  </si>
  <si>
    <t>9,342,750</t>
  </si>
  <si>
    <t>Thôn Triều Dương, xã Tam Thanh, huyện Phú Qúy, tỉnh Bình Thuận</t>
  </si>
  <si>
    <t>Phan Sỹ Duy</t>
  </si>
  <si>
    <t>Khu công nghiệp Phú Mỹ 1, phường Phú Mỹ, thị xã Phú Mỹ, tỉnh Bà Rịa - Vũng Tàu</t>
  </si>
  <si>
    <t>Trần Đình Ân</t>
  </si>
  <si>
    <t>2,519,925</t>
  </si>
  <si>
    <t>2,760,653</t>
  </si>
  <si>
    <t>1,079,828</t>
  </si>
  <si>
    <t>1,182,984</t>
  </si>
  <si>
    <t>Khu phố Hương Giang, phường Long Hương, thành phố Bà Rịa, tỉnh Bà Rịa - Vũng Tàu</t>
  </si>
  <si>
    <t>Lê Văn Huy</t>
  </si>
  <si>
    <t>Đường số 16, Khu công nghiệp Phú Mỹ 1, phường Phú Mỹ, thị xã Phú Mỹ, tỉnh Bà Rịa - Vũng Tàu</t>
  </si>
  <si>
    <t>Nguyễn Văn Giáp</t>
  </si>
  <si>
    <t>Ấp 3, xã Phước Khánh, huyện Nhơn Trạch, tỉnh Đồng Nai</t>
  </si>
  <si>
    <t>Nguyễn Thanh Tùng</t>
  </si>
  <si>
    <t>TP, Biên Hòa, tỉnh Đồng Nai</t>
  </si>
  <si>
    <t>Yang Tou Hisung</t>
  </si>
  <si>
    <t>Peradach Patanachan</t>
  </si>
  <si>
    <t>Huyện Nhơn Trạch, tỉnh Đồng Nai</t>
  </si>
  <si>
    <t>Ngô Đức Nhân</t>
  </si>
  <si>
    <t>1,617,372</t>
  </si>
  <si>
    <t>1,771,879</t>
  </si>
  <si>
    <t>Xã Dân Thành, thị xã Duyên Hải, tỉnh Trà Vinh</t>
  </si>
  <si>
    <t>Ngô Văn Sỹ</t>
  </si>
  <si>
    <t>9,663,688</t>
  </si>
  <si>
    <t>10,586,856</t>
  </si>
  <si>
    <t>3,623,243</t>
  </si>
  <si>
    <t>3,969,369</t>
  </si>
  <si>
    <t>2,728,391</t>
  </si>
  <si>
    <t>2,989,033</t>
  </si>
  <si>
    <t>Khu kinh tế Vũng Áng, phường Vũng Áng, tỉnh Hà Tĩnh</t>
  </si>
  <si>
    <t>Chen, Chun-Liang</t>
  </si>
  <si>
    <t>5,199,840</t>
  </si>
  <si>
    <t>5,696,578</t>
  </si>
  <si>
    <t>Xã An Khánh, huyện U Minh, tỉnh Cà Mau</t>
  </si>
  <si>
    <t>Đoàn Công Đức</t>
  </si>
  <si>
    <t>1,006,602</t>
  </si>
  <si>
    <t>1,102,763</t>
  </si>
  <si>
    <t>1,550,998</t>
  </si>
  <si>
    <t>1,699,164</t>
  </si>
  <si>
    <t>Tổ 22 phường Quang Trung, thành phố Thái Nguyên, tỉnh Thái Nguyên</t>
  </si>
  <si>
    <t>Nguyễn Văn Thắng</t>
  </si>
  <si>
    <t>1,012,292</t>
  </si>
  <si>
    <t>Phường Quan Triều, thành phố Thái Nguyên, tỉnh Thái Nguyên</t>
  </si>
  <si>
    <t>Nguyễn Mạnh Cường</t>
  </si>
  <si>
    <t>1,240,305</t>
  </si>
  <si>
    <t>1,358,791</t>
  </si>
  <si>
    <t>Số 287, ấp 2, Hòn Tre, đặc khu Kiên Hải, tỉnh An Giang</t>
  </si>
  <si>
    <t>Huỳnh Cao Phướng</t>
  </si>
  <si>
    <t>II</t>
  </si>
  <si>
    <t>Các cơ sở sản xuất sắt thép (thép thô)</t>
  </si>
  <si>
    <t>Khu công nghiệp Tằng Loỏng, huyện Bảo Thắng, tỉnh Lào Cai</t>
  </si>
  <si>
    <t>Ngô Sỹ Hiếu</t>
  </si>
  <si>
    <t>Số 52, phố Kim Đồng, phường Hợp Giang, thành phố Cao Bằng, tỉnh Cao Bằng</t>
  </si>
  <si>
    <t>Nguyễn Văn Phương</t>
  </si>
  <si>
    <t>Khu công nghiệp cầu Kiền, xã Hoàng Động, huyện Thủy Nguyên, thành phố Hải Phòng</t>
  </si>
  <si>
    <t>Yasuhiro Yonemura</t>
  </si>
  <si>
    <t>Khu công nghiệp Nam Cầu Kiền, xã Kiền Bái, huyện Thủy Nguyên, thành phố Hải Phòng</t>
  </si>
  <si>
    <t>Đặng Việt Bách</t>
  </si>
  <si>
    <t>Khu công nghiệp Phố Nối A, xã Giai Phạm, huyện Yên Mỹ, tỉnh Hưng Yên</t>
  </si>
  <si>
    <t>Kiều Chí Công</t>
  </si>
  <si>
    <t>Khu kinh tế Vũng Áng, phường Kỳ Long, thị xã Kỳ Anh, tỉnh Hà Tĩnh</t>
  </si>
  <si>
    <t>13,666,930</t>
  </si>
  <si>
    <t>15,932,703</t>
  </si>
  <si>
    <t>Khu kinh tế Dung Quất, xã Bình Đông, huyện Bình Son, tỉnh Quảng Ngãi</t>
  </si>
  <si>
    <t>Mai Văn Hà</t>
  </si>
  <si>
    <t>11,218,848</t>
  </si>
  <si>
    <t>13,078,765</t>
  </si>
  <si>
    <t>Km9 Xa lộ Hà Nội, phường Trường Thọ, thành phố Thủ Đức, thành phố Hồ Chí Minh</t>
  </si>
  <si>
    <t>Hoàng Đức Hoa</t>
  </si>
  <si>
    <t>Khu công nghiệp Phú Mỹ 2, phường Phú Mỹ, thị xã Phú Mỹ, tỉnh Bà Rịa - Vũng Tàu</t>
  </si>
  <si>
    <t>Hou, Wu-Sheng</t>
  </si>
  <si>
    <t>Đỗ Văn Khánh</t>
  </si>
  <si>
    <t>Nguyễn Nguyên Ngọc</t>
  </si>
  <si>
    <t>Đường N1, khu công nghiệp Phú Mỹ 2, phường Phú Mỹ, thị xã Phú Mỹ, tỉnh Bà Rịa - Vũng Tàu</t>
  </si>
  <si>
    <t>Seo Kyeongcheol</t>
  </si>
  <si>
    <t>Hidekazu Fukunishi</t>
  </si>
  <si>
    <t>Khu phố 3, phường Tân Định, thị xã Bến Cát, tỉnh Bình Dương</t>
  </si>
  <si>
    <t>Nguyễn Trần Quý</t>
  </si>
  <si>
    <t>Số 137C, khu B, khu phố Tân Thắng, phường Tân Bình, thành phố Dĩ An, tỉnh Bình Dương</t>
  </si>
  <si>
    <t>Phạm Hoàng Cung</t>
  </si>
  <si>
    <t>Lô A5, đường D2, khu công nghiệp Đất Cuốc, xã Đất Cuốc, huyện Bắc Tân Uyên, tỉnh Bình Dương</t>
  </si>
  <si>
    <t>Vũ Minh Tư</t>
  </si>
  <si>
    <t>Ấp Voi Lá, xã Long Hiệp, huyện Bến Lức, tỉnh Long An</t>
  </si>
  <si>
    <t>Huỳnh Nghĩa Thiện</t>
  </si>
  <si>
    <t>Khu liên hợp Gang thép Nghi Sơn, khu kinh tế Nghi Sơn, thị xã Nghi Sơn, tỉnh Thanh Hóa</t>
  </si>
  <si>
    <t>Nguyễn Bảo Giang</t>
  </si>
  <si>
    <t>Phường Cam Giá, thành phố Thái Nguyên, tỉnh Thái Nguyên</t>
  </si>
  <si>
    <t>Bùi Thái Sơn</t>
  </si>
  <si>
    <t>Phường Hiệp Sơn, thị xã Kinh Môn, tỉnh Hải Dương</t>
  </si>
  <si>
    <t>Đỗ Thị Thảo</t>
  </si>
  <si>
    <t>4,494,857</t>
  </si>
  <si>
    <t>5,240,036</t>
  </si>
  <si>
    <t>Nguyễn Minh Hạnh</t>
  </si>
  <si>
    <t>Đường Tạ Quang Bửu, khu công nghiệp Liên Chiểu, thành phố Đà Nẵng</t>
  </si>
  <si>
    <t>Nguyễn Văn Dũng</t>
  </si>
  <si>
    <t>Khu công nghiệp Biên Hòa 1, Đường số 9, thành phố Biên Hòa, tỉnh Đồng Nai</t>
  </si>
  <si>
    <t>Ngô Tiến Thọ</t>
  </si>
  <si>
    <t>Khu công nghiệp Cầu Nghìn, huyện Quỳnh Phụ, tỉnh Thái Bình</t>
  </si>
  <si>
    <t>Zhang Chun Tuan</t>
  </si>
  <si>
    <t>Xã Nam Hòa, huyện Đồng Hỷ, tỉnh Thái Nguyên</t>
  </si>
  <si>
    <t>Chu Phương Đông</t>
  </si>
  <si>
    <t>III</t>
  </si>
  <si>
    <t>Các cơ sở sản xuất xi măng (clanhke)</t>
  </si>
  <si>
    <t>Xã Ngọc Lương, huyên Yên Thủy, tỉnh Hòa Bình</t>
  </si>
  <si>
    <t>Lê Ngọc Hùng</t>
  </si>
  <si>
    <t>Xóm Lộc Môn, xã Trung Sơn, huyện Lương Sơn, tỉnh Hòa Bình</t>
  </si>
  <si>
    <t>Đỗ Trần Minh</t>
  </si>
  <si>
    <t>Xã Trung Sơn, huyện Lương Sơn, tỉnh Hòa Bình</t>
  </si>
  <si>
    <t>Đỗ Quân</t>
  </si>
  <si>
    <t>Xã Nà Bó, huyện Mai Sơn, tỉnh Sơn La</t>
  </si>
  <si>
    <t>Mã Đề Thuấn</t>
  </si>
  <si>
    <t>Bản Na Hai, xã Pom Lót, huyện Điện Biên, tỉnh Điện Biên</t>
  </si>
  <si>
    <t>Trần Khác Đại</t>
  </si>
  <si>
    <t>F004</t>
  </si>
  <si>
    <t>Thị trấn Yên Bình, huyện Yên Bình, tỉnh Yên Bái</t>
  </si>
  <si>
    <t>Phạm Quang Phú</t>
  </si>
  <si>
    <t>Mai Thế Loan</t>
  </si>
  <si>
    <t>Khu 12, Thị trấn Thanh Ba, huyện Thanh Ba, tỉnh Phú Thọ</t>
  </si>
  <si>
    <t>Tràn Tuấn Đạt</t>
  </si>
  <si>
    <t>Xã Ninh Dân, huyện Thanh Ba, tỉnh Phú Thọ</t>
  </si>
  <si>
    <t>Nguyễn Quang Huy</t>
  </si>
  <si>
    <t>Xã Tràng Đà, thành phố Tuyên Quang, tỉnh Tuyên Quang</t>
  </si>
  <si>
    <t>Nguyễn Mạnh Danh</t>
  </si>
  <si>
    <t>Lê Danh Thắng</t>
  </si>
  <si>
    <t>Xã An Khánh, huyện Đại Từ, tỉnh Thái Nguyên</t>
  </si>
  <si>
    <t>Trần Việt Cường</t>
  </si>
  <si>
    <t>Xã La Hiên, huyện Võ Nhai, tỉnh Thái Nguyên</t>
  </si>
  <si>
    <t>Trần Quang Khải</t>
  </si>
  <si>
    <t>Xã Quang Sơn, huyện Đồng Hỷ, tỉnh Thái Nguyên</t>
  </si>
  <si>
    <t>Hà Quang Sáng</t>
  </si>
  <si>
    <t>Thị trấn Chi Lăng, huyện Chi Lăng, tỉnh Lạng Sơn</t>
  </si>
  <si>
    <t>Đỗ Cao Sơn</t>
  </si>
  <si>
    <t>Xã Hồng Phong, huyện Cao Lộc, tỉnh Lạng Sơn</t>
  </si>
  <si>
    <t>Trần Duyên Tùng</t>
  </si>
  <si>
    <t>Phường Cẩm Thạch, thành phố Cẩm Phả, tỉnh Quảng Ninh</t>
  </si>
  <si>
    <t>Nguyễn Thái Hưng</t>
  </si>
  <si>
    <t>1,616,252</t>
  </si>
  <si>
    <t>1,768,581</t>
  </si>
  <si>
    <t>Khu Hợp Thành, phường Phương Nam, thành phố Uông Bí, tỉnh Quảng Ninh</t>
  </si>
  <si>
    <t>Đặng Văn Học</t>
  </si>
  <si>
    <t>1,021,037</t>
  </si>
  <si>
    <t>Xã Lê Lợi, thành phố Hạ Long, tỉnh Quảng Ninh</t>
  </si>
  <si>
    <t>Mai Hồng Hải</t>
  </si>
  <si>
    <t>1,083,149</t>
  </si>
  <si>
    <t>Rizkie Agustiansyah Gaharu</t>
  </si>
  <si>
    <t>1,175,783</t>
  </si>
  <si>
    <t>1,286,599</t>
  </si>
  <si>
    <t>Xã Thanh Sơn, huyện Kim Bảng, tỉnh Hà Nam</t>
  </si>
  <si>
    <t>Đỗ Tiến Trình</t>
  </si>
  <si>
    <t>2,453,235</t>
  </si>
  <si>
    <t>2,684,448</t>
  </si>
  <si>
    <t>Thôn Bồng Lạng, xã Thanh Nghị, huyện Thanh Liêm, tỉnh Hà Nam</t>
  </si>
  <si>
    <t>Nguyễn Sỹ Tiệp</t>
  </si>
  <si>
    <t>Xã Thanh Nghị, huyện Thanh Liêm, tỉnh Hà Nam</t>
  </si>
  <si>
    <t>Nguyễn Thị Bích Loan</t>
  </si>
  <si>
    <t>6,853,859</t>
  </si>
  <si>
    <t>7,499,822</t>
  </si>
  <si>
    <t>Xã Thanh Thủy, huyện Thanh Liêm, tỉnh Hà Nam</t>
  </si>
  <si>
    <t>Đỗ Anh Tuấn</t>
  </si>
  <si>
    <t>Vũ Quang Bắc</t>
  </si>
  <si>
    <t>5,297,794</t>
  </si>
  <si>
    <t>5,797,101</t>
  </si>
  <si>
    <t>Xã Thanh Tân, huyện Thanh Liêm, tỉnh Hà Nam</t>
  </si>
  <si>
    <t>Phường Minh Tân, thị xã Kinh Môn, tỉnh Hải Dương</t>
  </si>
  <si>
    <t>Lê Xuân Khôi</t>
  </si>
  <si>
    <t>2,701,207</t>
  </si>
  <si>
    <t>2,955,791</t>
  </si>
  <si>
    <t>Phường Hiệp Sơn, thị xã Kinh Môn, tỉnh Hài Dương</t>
  </si>
  <si>
    <t>Lê Khánh Bảo Long</t>
  </si>
  <si>
    <t>Thị trấn Minh Đức, huyện Thủy Nguyên, thành phố Hải Phòng</t>
  </si>
  <si>
    <t>Lo Lung - Too</t>
  </si>
  <si>
    <t>2,907,941</t>
  </si>
  <si>
    <t>3,182,009</t>
  </si>
  <si>
    <t>Thị trần Minh Đức, huyện Thủy Nguyên, thành phố Hải Phòng</t>
  </si>
  <si>
    <t>Trần Văn Toan</t>
  </si>
  <si>
    <t>1,217,320</t>
  </si>
  <si>
    <t>1,332,050</t>
  </si>
  <si>
    <t>Lô C7, cụm công nghiệp Gián Khẩu, huyện Gia Viễn, tỉnh Ninh Bình</t>
  </si>
  <si>
    <t>Hoàng Mạnh Tùng</t>
  </si>
  <si>
    <t>2,072,885</t>
  </si>
  <si>
    <t>2,268,250</t>
  </si>
  <si>
    <t>Khu công nghiệp Tam Điệp I, tỉnh Ninh Bình</t>
  </si>
  <si>
    <t>Trần Anh Tuấn</t>
  </si>
  <si>
    <t>1,242,230</t>
  </si>
  <si>
    <t>1,359,308</t>
  </si>
  <si>
    <t>Phường Ba Đình, thị xã Bỉm Sơn, tỉnh Thanh Hóa</t>
  </si>
  <si>
    <t>Lê Huy Quân</t>
  </si>
  <si>
    <t>2,510,131</t>
  </si>
  <si>
    <t>2,746,706</t>
  </si>
  <si>
    <t>Phường Đông Sơn, thị xã Bỉm Sơn, tỉnh Thanh Hóa</t>
  </si>
  <si>
    <t>Trịnh Quang Hải</t>
  </si>
  <si>
    <t>8,511,370</t>
  </si>
  <si>
    <t>9,313,550</t>
  </si>
  <si>
    <t>Xã Tân Trường, huyện Tĩnh Gia, tỉnh Thanh Hóa</t>
  </si>
  <si>
    <t>Nguyễn Thị Hoàng Thi</t>
  </si>
  <si>
    <t>Xã Hải Thượng, huyện Tĩnh Gia, tỉnh Thanh Hóa</t>
  </si>
  <si>
    <t>Ichizawa Kazuhiko</t>
  </si>
  <si>
    <t>3,875,392</t>
  </si>
  <si>
    <t>4,240,640</t>
  </si>
  <si>
    <t>Xã Tân Thắng, huyện Quỳnh Lưu, tỉnh Nghệ An</t>
  </si>
  <si>
    <t>Văn Đình Quý</t>
  </si>
  <si>
    <t>Xã Bài Sơn, huyện Đô Lương, tỉnh Nghệ An</t>
  </si>
  <si>
    <t>Hoàng Minh Tuấn</t>
  </si>
  <si>
    <t>4,681,235</t>
  </si>
  <si>
    <t>5,122,432</t>
  </si>
  <si>
    <t>Huyện Anh Sơn, tỉnh Nghệ An</t>
  </si>
  <si>
    <t>Hoàng Mạnh Khởi</t>
  </si>
  <si>
    <t>Phường Quỳnh Thiện, huyện Quỳnh Lưu, tỉnh Nghệ An</t>
  </si>
  <si>
    <t>Nguyễn Đình Dũng</t>
  </si>
  <si>
    <t>1,290,862</t>
  </si>
  <si>
    <t>1,412,524</t>
  </si>
  <si>
    <t>Thôn Cương Trung C, xã Tiến Hóa, huyên Tuyên Hóa, tỉnh Quảng Bình</t>
  </si>
  <si>
    <t>Supakit Phucharoensilp</t>
  </si>
  <si>
    <t>1,137,938</t>
  </si>
  <si>
    <t>1,245,186</t>
  </si>
  <si>
    <t>Thôn Xuân Hạ, xã Văn Hóa, huyện Tuyên Hóa, tỉnh Quảng Bình</t>
  </si>
  <si>
    <t>Thôn Áng Sơn, xã Vạn Ninh, huyện Quảng Ninh, tỉnh Quảng Bình</t>
  </si>
  <si>
    <t>Hoàng Xuân Thịnh</t>
  </si>
  <si>
    <t>Phường Tứ Hạ, thị xã Hương Trà, tỉnh Thừa Thiên Huế</t>
  </si>
  <si>
    <t>Luk Jack Fung</t>
  </si>
  <si>
    <t>Thôn Cổ Xuân, xã Phong Xuân, huyện Phong Điền, tỉnh Thừa Thiên Huế</t>
  </si>
  <si>
    <t>Phạm Phước Hiền Hòa</t>
  </si>
  <si>
    <t>1,254,493</t>
  </si>
  <si>
    <t>1,372,727</t>
  </si>
  <si>
    <t>Thôn Đồng Râm, thị trấn Thạnh Mỹ, huyện Nam Giang, tỉnh Quảng Nam</t>
  </si>
  <si>
    <t>Nguyễn Thị Thu</t>
  </si>
  <si>
    <t>Xã Thanh Lương, thị xã Bình Long, tỉnh Bình Phước</t>
  </si>
  <si>
    <t>Lê Ngọc Tuấn</t>
  </si>
  <si>
    <t>1,982,913</t>
  </si>
  <si>
    <t>2,169,798</t>
  </si>
  <si>
    <t>Xã Tân Hòa, huyện Tân Châu, tỉnh Tây Ninh</t>
  </si>
  <si>
    <t>Châu Ngọc Phúc</t>
  </si>
  <si>
    <t>1,072,694</t>
  </si>
  <si>
    <t>1,173,794</t>
  </si>
  <si>
    <t>Thị trấn Kiên Lương, huyện Kiên Lương, tỉnh Kiên Giang</t>
  </si>
  <si>
    <t>Lâm Hiện Đạt</t>
  </si>
  <si>
    <t>2,045,386</t>
  </si>
  <si>
    <t>2,238,159</t>
  </si>
  <si>
    <t>Xã Bình An, huyện Kiên Lương, tỉnh Kiên Giang</t>
  </si>
  <si>
    <t>Eamon John Ginley</t>
  </si>
  <si>
    <t>1,505,630</t>
  </si>
  <si>
    <t>1,647,533</t>
  </si>
  <si>
    <t>Thôn Hệ, xã Ninh Vân, huyện Hoa Lư, tỉnh Ninh Bình</t>
  </si>
  <si>
    <t>Phạm Văn Duyên</t>
  </si>
  <si>
    <t>1,324,157</t>
  </si>
  <si>
    <t>1,448,956</t>
  </si>
  <si>
    <t>TỔNG HẠN NGẠCH PHÁT THẢI KHÍ NHÀ KÍNH</t>
  </si>
  <si>
    <t>243,082,392</t>
  </si>
  <si>
    <t>268,391,454</t>
  </si>
  <si>
    <t>F005</t>
  </si>
  <si>
    <t>F006</t>
  </si>
  <si>
    <t>Component</t>
  </si>
  <si>
    <t>Current Rule</t>
  </si>
  <si>
    <t>Status</t>
  </si>
  <si>
    <t>Legal / Data Source</t>
  </si>
  <si>
    <t>Verified?</t>
  </si>
  <si>
    <t>Action Needed</t>
  </si>
  <si>
    <t>Inventory criteria</t>
  </si>
  <si>
    <t>3,000 tCO2e general threshold + category-specific 1,000 TOE / 65,000 t waste criteria</t>
  </si>
  <si>
    <t>Legal rule</t>
  </si>
  <si>
    <t>48/VBHN-BNNMT, Article 6</t>
  </si>
  <si>
    <t>YES</t>
  </si>
  <si>
    <t>None</t>
  </si>
  <si>
    <t>Threshold logic is now explicitly modelled.</t>
  </si>
  <si>
    <t>Effective inventory list on 13/09/2026</t>
  </si>
  <si>
    <t>Effective list</t>
  </si>
  <si>
    <t>Switch to Decision 42 from 25/09/2026</t>
  </si>
  <si>
    <t>Workbook uses assessment date to display the applicable list.</t>
  </si>
  <si>
    <t>Upcoming inventory list</t>
  </si>
  <si>
    <t>Decision 42/2026/QĐ-TTg from 25/09/2026</t>
  </si>
  <si>
    <t>Issued, not yet effective on 13/09/2026</t>
  </si>
  <si>
    <t>Decision 13 ceases to be effective when Decision 42 takes effect.</t>
  </si>
  <si>
    <t>2025-2026 quota scope</t>
  </si>
  <si>
    <t>48/VBHN-BNNMT, Article 12(1)</t>
  </si>
  <si>
    <t>Inventory obligation and quota obligation are deliberately separated.</t>
  </si>
  <si>
    <t>Official facility allocations</t>
  </si>
  <si>
    <t>110 facilities; 34 thermal, 25 steel, 51 cement</t>
  </si>
  <si>
    <t>Official allocation</t>
  </si>
  <si>
    <t>Used as official lookup / compliance allowance, not as a forced model output.</t>
  </si>
  <si>
    <t>Historical window</t>
  </si>
  <si>
    <t>y-1, y-2, y-3</t>
  </si>
  <si>
    <t>Legal formula</t>
  </si>
  <si>
    <t>2025 uses 2022-2024; 2026 uses 2023-2025.</t>
  </si>
  <si>
    <t>Average production across y-1, y-2, y-3</t>
  </si>
  <si>
    <t>Load verified historical production</t>
  </si>
  <si>
    <t>No calculation if any of the three years is missing.</t>
  </si>
  <si>
    <t>Average emissions across y-1, y-2, y-3</t>
  </si>
  <si>
    <t>YES*</t>
  </si>
  <si>
    <t>Load sector-compliant emissions data</t>
  </si>
  <si>
    <t>Historical allocation emissions must follow relevant sector technical guidance.</t>
  </si>
  <si>
    <t>ΣE_avg / ΣP_avg by sector and allocation year</t>
  </si>
  <si>
    <t>Requires complete sector dataset</t>
  </si>
  <si>
    <t>Engine refuses to calculate B when sector data are incomplete.</t>
  </si>
  <si>
    <t>Legal parameter</t>
  </si>
  <si>
    <t>PARTIAL</t>
  </si>
  <si>
    <t>Find citable value for each sector/year</t>
  </si>
  <si>
    <t>Definition is verified; official numeric values are intentionally blank.</t>
  </si>
  <si>
    <t>(1+g) × (1-r)</t>
  </si>
  <si>
    <t>Requires verified g and r</t>
  </si>
  <si>
    <t>No silent default of 0%.</t>
  </si>
  <si>
    <t>Requires P_avg, B, g, r</t>
  </si>
  <si>
    <t>Compared with official Decision 699 allocation for validation.</t>
  </si>
  <si>
    <t>Compliance surrender</t>
  </si>
  <si>
    <t>Direct emissions in allocation phase minus eligible credits</t>
  </si>
  <si>
    <t>Enter verified direct-source emissions</t>
  </si>
  <si>
    <t>Compliance uses official allocation + transactions, not model A.</t>
  </si>
  <si>
    <t>Credit offset cap</t>
  </si>
  <si>
    <t>≤30% of allocated allowances</t>
  </si>
  <si>
    <t>Workbook flags excess credits.</t>
  </si>
  <si>
    <t>Borrowing cap</t>
  </si>
  <si>
    <t>≤15% of current-phase allocated allowances</t>
  </si>
  <si>
    <t>Applies through end-2030.</t>
  </si>
  <si>
    <t>F007</t>
  </si>
  <si>
    <t>Calendar Year</t>
  </si>
  <si>
    <t>Production</t>
  </si>
  <si>
    <t>Production Unit</t>
  </si>
  <si>
    <t>Emissions</t>
  </si>
  <si>
    <t>Emissions Unit</t>
  </si>
  <si>
    <t>Production Source</t>
  </si>
  <si>
    <t>Emissions Source</t>
  </si>
  <si>
    <t>INPUT STATUS</t>
  </si>
  <si>
    <t>VALUE</t>
  </si>
  <si>
    <t>F008</t>
  </si>
  <si>
    <t>Expected rows</t>
  </si>
  <si>
    <t>Historical rows created</t>
  </si>
  <si>
    <t>Production values entered</t>
  </si>
  <si>
    <t>Emissions values entered</t>
  </si>
  <si>
    <t>Legal ID</t>
  </si>
  <si>
    <t>Topic</t>
  </si>
  <si>
    <t>Rule / Conclusion</t>
  </si>
  <si>
    <t>Rows with both sources</t>
  </si>
  <si>
    <t>Article / Provision</t>
  </si>
  <si>
    <t>Issue Date</t>
  </si>
  <si>
    <t>Effective Status as of 13/09/2026</t>
  </si>
  <si>
    <t>Simulator Use</t>
  </si>
  <si>
    <t>Caution</t>
  </si>
  <si>
    <t>L001</t>
  </si>
  <si>
    <t>Current consolidated regulation</t>
  </si>
  <si>
    <t>Nghị định 06/2022 as amended by Nghị định 119/2025 and Nghị định 83/2026 is the core regulatory framework.</t>
  </si>
  <si>
    <t>48/VBHN-BNNMT</t>
  </si>
  <si>
    <t>Consolidated text</t>
  </si>
  <si>
    <t>Effective</t>
  </si>
  <si>
    <t>Primary legal source for thresholds, quota scope and compliance.</t>
  </si>
  <si>
    <t>Use the consolidated text for current rules; older standalone texts remain useful for amendment history.</t>
  </si>
  <si>
    <t>L002</t>
  </si>
  <si>
    <t>Inventory threshold</t>
  </si>
  <si>
    <t>Annual GHG emissions ≥ 3,000 tCO2e is an inventory criterion.</t>
  </si>
  <si>
    <t>Article 6(1)</t>
  </si>
  <si>
    <t>Threshold test.</t>
  </si>
  <si>
    <t>Criteria and official list membership are displayed separately.</t>
  </si>
  <si>
    <t>L003</t>
  </si>
  <si>
    <t>Thermal power / industrial production with annual energy consumption ≥ 1,000 TOE is an inventory criterion.</t>
  </si>
  <si>
    <t>Article 6(1)(a)</t>
  </si>
  <si>
    <t>Category-specific threshold.</t>
  </si>
  <si>
    <t>L004</t>
  </si>
  <si>
    <t>Freight transport company with annual fuel use ≥ 1,000 TOE is an inventory criterion.</t>
  </si>
  <si>
    <t>Article 6(1)(b)</t>
  </si>
  <si>
    <t>L005</t>
  </si>
  <si>
    <t>Commercial building with annual energy use ≥ 1,000 TOE is an inventory criterion.</t>
  </si>
  <si>
    <t>Article 6(1)(c)</t>
  </si>
  <si>
    <t>F009</t>
  </si>
  <si>
    <t>L006</t>
  </si>
  <si>
    <t>Solid waste facility with annual operating capacity ≥ 65,000 tonnes is an inventory criterion.</t>
  </si>
  <si>
    <t>Article 6(1)(d)</t>
  </si>
  <si>
    <t>L007</t>
  </si>
  <si>
    <t>Decision 13/2024/QĐ-TTg remains the effective inventory list until 24/09/2026.</t>
  </si>
  <si>
    <t>Effective-date rule</t>
  </si>
  <si>
    <t>13/08/2024</t>
  </si>
  <si>
    <t>Effective through 24/09/2026</t>
  </si>
  <si>
    <t>Assessment-date logic.</t>
  </si>
  <si>
    <t>Do not continue using it after Decision 42 becomes effective.</t>
  </si>
  <si>
    <t>L008</t>
  </si>
  <si>
    <t>Decision 42/2026/QĐ-TTg replaces Decision 13/2024/QĐ-TTg from 25/09/2026.</t>
  </si>
  <si>
    <t>Article 3</t>
  </si>
  <si>
    <t>10/08/2026</t>
  </si>
  <si>
    <t>Issued; effective 25/09/2026</t>
  </si>
  <si>
    <t>Facilities removed from the new list receive the transition treatment stated in Article 3.</t>
  </si>
  <si>
    <t>L009</t>
  </si>
  <si>
    <t>Pilot quota scope</t>
  </si>
  <si>
    <t>2025-2026 allocation covers thermal power, iron &amp; steel and cement facilities within the inventory-list scope.</t>
  </si>
  <si>
    <t>Article 12(1)</t>
  </si>
  <si>
    <t>Quota eligibility logic.</t>
  </si>
  <si>
    <t>Being subject to inventory is not the same as having an allocated quota.</t>
  </si>
  <si>
    <t>L010</t>
  </si>
  <si>
    <t>Pilot total cap</t>
  </si>
  <si>
    <t>2025 total = 243,082,392 tCO2e; 2026 total = 268,391,454 tCO2e for 34 thermal, 25 steel and 51 cement facilities.</t>
  </si>
  <si>
    <t>Decision 263/QĐ-TTg</t>
  </si>
  <si>
    <t>Decision content</t>
  </si>
  <si>
    <t>09/02/2026</t>
  </si>
  <si>
    <t>https://datafiles.chinhphu.vn/cpp/files/vbpq/2026/02/263-ttg.signed.pdf</t>
  </si>
  <si>
    <t>Validation totals.</t>
  </si>
  <si>
    <t>Totals are validation targets, not inputs to force facility calculations.</t>
  </si>
  <si>
    <t>Rows ready</t>
  </si>
  <si>
    <t>L011</t>
  </si>
  <si>
    <t>Facility allocations</t>
  </si>
  <si>
    <t>Decision 699/QĐ-BNNMT allocates 2025 and 2026 allowances to 110 facilities and requires surrender under Article 19.</t>
  </si>
  <si>
    <t>Articles 1-2 + Annex</t>
  </si>
  <si>
    <t>27/02/2026</t>
  </si>
  <si>
    <t>Official quota lookup and validation.</t>
  </si>
  <si>
    <t>Use official allocation for compliance; calculated A is a model reproduction / validation output.</t>
  </si>
  <si>
    <t>L012</t>
  </si>
  <si>
    <t>Allocation formula</t>
  </si>
  <si>
    <t>A = P_avg × B × T; historical window is y-1, y-2, y-3; B = ΣE_avg / ΣP_avg; T = (1+g)(1-r).</t>
  </si>
  <si>
    <t>Appendix I to amended Nghị định 06</t>
  </si>
  <si>
    <t>Method No. 01</t>
  </si>
  <si>
    <t>Effective method</t>
  </si>
  <si>
    <t>Allocation engine.</t>
  </si>
  <si>
    <t>g and r values must not be guessed; leave unverified values blank.</t>
  </si>
  <si>
    <t>L013</t>
  </si>
  <si>
    <t>Surrender</t>
  </si>
  <si>
    <t>Surrender must be at least direct-source inventory emissions for the allocation phase minus carbon credits used for offset.</t>
  </si>
  <si>
    <t>Article 19(5)(a)</t>
  </si>
  <si>
    <t>Compliance engine.</t>
  </si>
  <si>
    <t>Historical E_avg for allocation and direct emissions for compliance are different concepts.</t>
  </si>
  <si>
    <t>L014</t>
  </si>
  <si>
    <t>Surrender deadline</t>
  </si>
  <si>
    <t>Surrender is due before 31 December of the year following the allocation phase.</t>
  </si>
  <si>
    <t>Article 19(5)(b)</t>
  </si>
  <si>
    <t>For 2025-2026 phase -&gt; 31/12/2027.</t>
  </si>
  <si>
    <t>Deadline shown in workbook is derived from the phase end year.</t>
  </si>
  <si>
    <t>L015</t>
  </si>
  <si>
    <t>Carbon credits</t>
  </si>
  <si>
    <t>Credits may offset no more than 30% of allocated allowances.</t>
  </si>
  <si>
    <t>Article 19(8)</t>
  </si>
  <si>
    <t>Compliance cap.</t>
  </si>
  <si>
    <t>Input above the cap is flagged.</t>
  </si>
  <si>
    <t>L016</t>
  </si>
  <si>
    <t>Borrowing</t>
  </si>
  <si>
    <t>Through end-2030, borrowing from the next phase may not exceed 15% of allowances allocated for the current phase.</t>
  </si>
  <si>
    <t>Article 19(6)</t>
  </si>
  <si>
    <t>Borrowed allowances are not available for exchange.</t>
  </si>
  <si>
    <t>L017</t>
  </si>
  <si>
    <t>Industry MRV</t>
  </si>
  <si>
    <t>Industry and Trade inventory/MRV technical rules are set by Circular 38/2023/TT-BCT.</t>
  </si>
  <si>
    <t>38/2023/TT-BCT</t>
  </si>
  <si>
    <t>Technical guidance</t>
  </si>
  <si>
    <t>27/12/2023</t>
  </si>
  <si>
    <t>https://vanban.chinhphu.vn/?classid=1&amp;docid=209514&amp;pageid=27160&amp;typegroupid=6</t>
  </si>
  <si>
    <t>Data-source guidance for thermal power and steel.</t>
  </si>
  <si>
    <t>Technical scope should be followed when sourcing emissions data.</t>
  </si>
  <si>
    <t>L018</t>
  </si>
  <si>
    <t>Construction MRV</t>
  </si>
  <si>
    <t>Construction-sector inventory/MRV technical rules are set by Circular 13/2024/TT-BXD.</t>
  </si>
  <si>
    <t>13/2024/TT-BXD</t>
  </si>
  <si>
    <t>20/12/2024</t>
  </si>
  <si>
    <t>https://vanban.chinhphu.vn/?classid=1&amp;docid=212222&amp;orggroupid=4&amp;pageid=27160</t>
  </si>
  <si>
    <t>Data-source guidance for cement.</t>
  </si>
  <si>
    <t>ROLLING WINDOWS</t>
  </si>
  <si>
    <t>YEARS</t>
  </si>
  <si>
    <t>Allocation 2025</t>
  </si>
  <si>
    <t>2022-2024</t>
  </si>
  <si>
    <t>Allocation 2026</t>
  </si>
  <si>
    <t>2023-2025</t>
  </si>
  <si>
    <t>F010</t>
  </si>
  <si>
    <t>Production inputs</t>
  </si>
  <si>
    <t>Yellow cells in column E</t>
  </si>
  <si>
    <t>Phase Allocation Total</t>
  </si>
  <si>
    <t>Direct Emissions 2025</t>
  </si>
  <si>
    <t>Emissions inputs</t>
  </si>
  <si>
    <t>Direct Emissions 2026</t>
  </si>
  <si>
    <t>Yellow cells in column G</t>
  </si>
  <si>
    <t>Carbon Credits Used</t>
  </si>
  <si>
    <t>30% Credit Cap</t>
  </si>
  <si>
    <t>Eligible Credits</t>
  </si>
  <si>
    <t>Net Allowance Trades (+buy / -sell)</t>
  </si>
  <si>
    <t>Borrowed Allowances</t>
  </si>
  <si>
    <t>15% Borrowing Cap</t>
  </si>
  <si>
    <t>Eligible Borrowed</t>
  </si>
  <si>
    <t>Required Surrender</t>
  </si>
  <si>
    <t>Allowances Available</t>
  </si>
  <si>
    <t>Compliance Gap</t>
  </si>
  <si>
    <t>Compliance Status</t>
  </si>
  <si>
    <t>Surrender Deadline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</si>
  <si>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</si>
  <si>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</si>
  <si>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</si>
  <si>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</si>
  <si>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</si>
  <si>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</si>
  <si>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</si>
  <si>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</si>
  <si>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</si>
  <si>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</si>
  <si>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</si>
  <si>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</si>
  <si>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</si>
  <si>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</si>
  <si>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</si>
  <si>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</si>
  <si>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</si>
  <si>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</si>
  <si>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</si>
  <si>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</si>
  <si>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</si>
  <si>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</si>
  <si>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</si>
  <si>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</si>
  <si>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</si>
  <si>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</si>
  <si>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</si>
  <si>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</si>
  <si>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</si>
  <si>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</si>
  <si>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</si>
  <si>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</si>
  <si>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</si>
  <si>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</si>
  <si>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</si>
  <si>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</si>
  <si>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</si>
  <si>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</si>
  <si>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</si>
  <si>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</si>
  <si>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</si>
  <si>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</si>
  <si>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</si>
  <si>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</si>
  <si>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</si>
  <si>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</si>
  <si>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</si>
  <si>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</si>
  <si>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</si>
  <si>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</si>
  <si>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F061</t>
  </si>
  <si>
    <t>F062</t>
  </si>
  <si>
    <t>F063</t>
  </si>
  <si>
    <t>F064</t>
  </si>
  <si>
    <t>F065</t>
  </si>
  <si>
    <t>F066</t>
  </si>
  <si>
    <t>F067</t>
  </si>
  <si>
    <t>F068</t>
  </si>
  <si>
    <t>F069</t>
  </si>
  <si>
    <t>F070</t>
  </si>
  <si>
    <t>F071</t>
  </si>
  <si>
    <t>F072</t>
  </si>
  <si>
    <t>F073</t>
  </si>
  <si>
    <t>F074</t>
  </si>
  <si>
    <t>F075</t>
  </si>
  <si>
    <t>F076</t>
  </si>
  <si>
    <t>F077</t>
  </si>
  <si>
    <t>F078</t>
  </si>
  <si>
    <t>F079</t>
  </si>
  <si>
    <t>F080</t>
  </si>
  <si>
    <t>F081</t>
  </si>
  <si>
    <t>F082</t>
  </si>
  <si>
    <t>F083</t>
  </si>
  <si>
    <t>F084</t>
  </si>
  <si>
    <t>F085</t>
  </si>
  <si>
    <t>F086</t>
  </si>
  <si>
    <t>F087</t>
  </si>
  <si>
    <t>F088</t>
  </si>
  <si>
    <t>F089</t>
  </si>
  <si>
    <t>F090</t>
  </si>
  <si>
    <t>F091</t>
  </si>
  <si>
    <t>F092</t>
  </si>
  <si>
    <t>F093</t>
  </si>
  <si>
    <t>F094</t>
  </si>
  <si>
    <t>F095</t>
  </si>
  <si>
    <t>F096</t>
  </si>
  <si>
    <t>F097</t>
  </si>
  <si>
    <t>F098</t>
  </si>
  <si>
    <t>F099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</si>
  <si>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</si>
  <si>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</si>
  <si>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</si>
  <si>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</si>
  <si>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</si>
  <si>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</si>
  <si>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</si>
  <si>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</si>
  <si>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</si>
  <si>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</si>
  <si>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</si>
  <si>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VIETNAM ETS SIMULATOR — CORE LOGIC PROTOTYPE</t>
  </si>
  <si>
    <t>A. FACILITY &amp; LEGAL ASSESSMENT INPUTS</t>
  </si>
  <si>
    <t>Assessment date</t>
  </si>
  <si>
    <t>Change this date to test which inventory list is legally effective.</t>
  </si>
  <si>
    <t>Resolved Facility Name</t>
  </si>
  <si>
    <t>Facility ID (optional; quota-listed facility)</t>
  </si>
  <si>
    <t>Choose F001-F110 for an official 2025-2026 quota facility, or leave blank for a manual facility.</t>
  </si>
  <si>
    <t>Resolved Tax ID</t>
  </si>
  <si>
    <t>Manual / other facility name</t>
  </si>
  <si>
    <t>Used when Facility ID is blank.</t>
  </si>
  <si>
    <t>Resolved Sector</t>
  </si>
  <si>
    <t>Optional for manual facility.</t>
  </si>
  <si>
    <t>Facility type</t>
  </si>
  <si>
    <t>Used for Article 6 category-specific inventory thresholds.</t>
  </si>
  <si>
    <t>For manual facility; quota-listed facilities resolve sector automatically.</t>
  </si>
  <si>
    <t>Official allocation for selected year</t>
  </si>
  <si>
    <t>Official inventory-list match</t>
  </si>
  <si>
    <t>Unknown</t>
  </si>
  <si>
    <t>Use Yes/No only if you have checked the effective Prime Minister list; otherwise keep Unknown.</t>
  </si>
  <si>
    <t>Applicable inventory list</t>
  </si>
  <si>
    <t>Annual GHG emissions (tCO2e)</t>
  </si>
  <si>
    <t>For Article 6 threshold test. This is not the same as 2025-2026 compliance direct emissions below.</t>
  </si>
  <si>
    <t>QD699 quota-list match</t>
  </si>
  <si>
    <t>Annual energy / fuel consumption (TOE)</t>
  </si>
  <si>
    <t>Category-specific Article 6 threshold input.</t>
  </si>
  <si>
    <t>Article 6 criteria test</t>
  </si>
  <si>
    <t>Solid waste operating capacity (t/year)</t>
  </si>
  <si>
    <t>Only relevant to solid-waste treatment facilities.</t>
  </si>
  <si>
    <t>Current legal-data warning</t>
  </si>
  <si>
    <t>Allocation year</t>
  </si>
  <si>
    <t>B. OBLIGATION RESULTS</t>
  </si>
  <si>
    <t>Inventory obligation / status</t>
  </si>
  <si>
    <t>Legal basis</t>
  </si>
  <si>
    <t>48/VBHN-BNNMT Article 6 + effective Prime Minister inventory list</t>
  </si>
  <si>
    <t>Quota obligation 2025-2026</t>
  </si>
  <si>
    <t>48/VBHN-BNNMT Article 12(1); Decision 699/QĐ-BNNMT</t>
  </si>
  <si>
    <t>Data sufficiency status</t>
  </si>
  <si>
    <t>Workbook guardrail: no silent inference where an official list/value is not loaded</t>
  </si>
  <si>
    <t>C. ALLOCATION FORMULA — SINGLE-FACILITY SIMULATION</t>
  </si>
  <si>
    <t>Production y-3</t>
  </si>
  <si>
    <t>Product unit shown at right</t>
  </si>
  <si>
    <t>Year y-3</t>
  </si>
  <si>
    <t>Production y-2</t>
  </si>
  <si>
    <t>Year y-2</t>
  </si>
  <si>
    <t>Production y-1</t>
  </si>
  <si>
    <t>Year y-1</t>
  </si>
  <si>
    <t>Historical emissions y-3</t>
  </si>
  <si>
    <t>tCO2e; use sector-compliant inventory data</t>
  </si>
  <si>
    <t>Historical emissions y-2</t>
  </si>
  <si>
    <t>Historical emissions y-1</t>
  </si>
  <si>
    <t>Resolved Benchmark B</t>
  </si>
  <si>
    <t>g (sector growth target)</t>
  </si>
  <si>
    <t>Enter only a sourced / scenario value</t>
  </si>
  <si>
    <t>r (sector GHG reduction target)</t>
  </si>
  <si>
    <t>Calculated Allocation A</t>
  </si>
  <si>
    <t>Benchmark B override (optional)</t>
  </si>
  <si>
    <t>Scenario-only override; otherwise workbook tries the full-sector engine</t>
  </si>
  <si>
    <t>Difference vs official</t>
  </si>
  <si>
    <t>D. COMPLIANCE POSITION — PILOT PHASE 2025-2026</t>
  </si>
  <si>
    <t>Verified direct emissions 2025</t>
  </si>
  <si>
    <t>tCO2e from direct sources</t>
  </si>
  <si>
    <t>Official phase allocation total</t>
  </si>
  <si>
    <t>Verified direct emissions 2026</t>
  </si>
  <si>
    <t>30% credit cap</t>
  </si>
  <si>
    <t>Carbon credits used</t>
  </si>
  <si>
    <t>Input is capped at legal 30% maximum</t>
  </si>
  <si>
    <t>Eligible credits</t>
  </si>
  <si>
    <t>Net allowance trades (+buy / -sell)</t>
  </si>
  <si>
    <t>Net additional allowances from exchange</t>
  </si>
  <si>
    <t>15% borrowing cap</t>
  </si>
  <si>
    <t>Borrowed allowances from next phase</t>
  </si>
  <si>
    <t>Input is capped at legal 15% maximum</t>
  </si>
  <si>
    <t>Eligible borrowed</t>
  </si>
  <si>
    <t>Required surrender</t>
  </si>
  <si>
    <t>Allowances available</t>
  </si>
  <si>
    <t>Compliance gap</t>
  </si>
  <si>
    <t>Compliance status</t>
  </si>
  <si>
    <t>Input validation</t>
  </si>
  <si>
    <t>E. LEGAL EXPLANATION &amp; UNCERTAINTY STATES</t>
  </si>
  <si>
    <t>Inventory list logic</t>
  </si>
  <si>
    <t>Assessment date selects Decision 13/2024/QĐ-TTg before 25/09/2026 and Decision 42/2026/QĐ-TTg from 25/09/2026.</t>
  </si>
  <si>
    <t>The workbook does not contain the complete national inventory-list database; non-QD699 facilities require an external list check.</t>
  </si>
  <si>
    <t>Inventory threshold logic</t>
  </si>
  <si>
    <t>Article 6 criteria are tested separately from official list membership.</t>
  </si>
  <si>
    <t>If threshold inputs or list status are missing, result is UNDETERMINED rather than guessed.</t>
  </si>
  <si>
    <t>Quota logic</t>
  </si>
  <si>
    <t>Quota obligation is confirmed only where an official 2025-2026 allocation exists in Decision 699/QĐ-BNNMT.</t>
  </si>
  <si>
    <t>Inventory obligation does not automatically create a quota obligation.</t>
  </si>
  <si>
    <t>Allocation logic</t>
  </si>
  <si>
    <t>P_avg, E_avg, B, T and A follow Method No. 01.</t>
  </si>
  <si>
    <t>B is withheld until the full sector dataset is complete; g/r are never defaulted to 0%.</t>
  </si>
  <si>
    <t>Compliance logic</t>
  </si>
  <si>
    <t>Surrender uses direct emissions for the allocation phase minus eligible credits; compliance compares this requirement with official allowances plus allowed transactions.</t>
  </si>
  <si>
    <t>Credits capped at 30%; borrowing capped at 15%.</t>
  </si>
  <si>
    <t>Prototype disclaimer</t>
  </si>
  <si>
    <t>This workbook is a legal-policy simulator and validation model, not an official government registry or legal opinion.</t>
  </si>
  <si>
    <t>Every uncertain or missing input is surfaced as a status rather than silently inferred.</t>
  </si>
  <si>
    <t>Field ID</t>
  </si>
  <si>
    <t>User-facing Label</t>
  </si>
  <si>
    <t>Data Type</t>
  </si>
  <si>
    <t>Unit / Options</t>
  </si>
  <si>
    <t>Required When</t>
  </si>
  <si>
    <t>Validation Rule</t>
  </si>
  <si>
    <t>Source / Evidence</t>
  </si>
  <si>
    <t>Missing-data State</t>
  </si>
  <si>
    <t>Figma Component</t>
  </si>
  <si>
    <t>assessment_date</t>
  </si>
  <si>
    <t>Legal assessment</t>
  </si>
  <si>
    <t>Date</t>
  </si>
  <si>
    <t>Always</t>
  </si>
  <si>
    <t>Valid calendar date</t>
  </si>
  <si>
    <t>User input</t>
  </si>
  <si>
    <t>Cannot select applicable inventory list</t>
  </si>
  <si>
    <t>Date picker</t>
  </si>
  <si>
    <t>Default in workbook = 13/09/2026.</t>
  </si>
  <si>
    <t>facility_id</t>
  </si>
  <si>
    <t>Identity</t>
  </si>
  <si>
    <t>Text</t>
  </si>
  <si>
    <t>F001-F110 or blank</t>
  </si>
  <si>
    <t>Optional</t>
  </si>
  <si>
    <t>If selected, must exist in QD699 loaded list</t>
  </si>
  <si>
    <t>Manual facility mode</t>
  </si>
  <si>
    <t>Search / dropdown</t>
  </si>
  <si>
    <t>For prototype lookup of official quota facilities.</t>
  </si>
  <si>
    <t>facility_name</t>
  </si>
  <si>
    <t>Facility name</t>
  </si>
  <si>
    <t>Free text</t>
  </si>
  <si>
    <t>If no facility_id</t>
  </si>
  <si>
    <t>Nonblank</t>
  </si>
  <si>
    <t>User / official document</t>
  </si>
  <si>
    <t>Missing identity</t>
  </si>
  <si>
    <t>Text input</t>
  </si>
  <si>
    <t>Auto-resolved for F001-F110.</t>
  </si>
  <si>
    <t>tax_id</t>
  </si>
  <si>
    <t>Vietnam tax ID</t>
  </si>
  <si>
    <t>Optional / recommended</t>
  </si>
  <si>
    <t>Official document</t>
  </si>
  <si>
    <t>Unconfirmed identity</t>
  </si>
  <si>
    <t>facility_type</t>
  </si>
  <si>
    <t>Category</t>
  </si>
  <si>
    <t>Thermal power; Industrial production; Freight transport; Commercial building; Solid waste treatment; Other</t>
  </si>
  <si>
    <t>If testing category threshold</t>
  </si>
  <si>
    <t>Controlled list</t>
  </si>
  <si>
    <t>User + Article 6</t>
  </si>
  <si>
    <t>Threshold assessment incomplete</t>
  </si>
  <si>
    <t>Dropdown</t>
  </si>
  <si>
    <t>Separate from ETS sector.</t>
  </si>
  <si>
    <t>sector</t>
  </si>
  <si>
    <t>ETS sector</t>
  </si>
  <si>
    <t>Quota / allocation</t>
  </si>
  <si>
    <t>Thermal power; Iron &amp; steel; Cement; Other</t>
  </si>
  <si>
    <t>If manual facility</t>
  </si>
  <si>
    <t>Official list / user</t>
  </si>
  <si>
    <t>Allocation method N/A or uncertain</t>
  </si>
  <si>
    <t>Auto-resolved for quota facilities.</t>
  </si>
  <si>
    <t>inventory_list_match</t>
  </si>
  <si>
    <t>Yes; No; Unknown</t>
  </si>
  <si>
    <t>For definitive list answer</t>
  </si>
  <si>
    <t>Controlled list; do not guess</t>
  </si>
  <si>
    <t>Effective QD13/QD42 list</t>
  </si>
  <si>
    <t>UNDETERMINED</t>
  </si>
  <si>
    <t>3-state selector</t>
  </si>
  <si>
    <t>For non-QD699 facilities external list lookup is required.</t>
  </si>
  <si>
    <t>annual_ghg</t>
  </si>
  <si>
    <t>Number</t>
  </si>
  <si>
    <t>tCO2e/year</t>
  </si>
  <si>
    <t>If using general threshold</t>
  </si>
  <si>
    <t>≥0</t>
  </si>
  <si>
    <t>Verified inventory / source</t>
  </si>
  <si>
    <t>Threshold test incomplete</t>
  </si>
  <si>
    <t>Number input</t>
  </si>
  <si>
    <t>General threshold = 3,000 tCO2e.</t>
  </si>
  <si>
    <t>annual_toe</t>
  </si>
  <si>
    <t>Annual energy/fuel consumption</t>
  </si>
  <si>
    <t>TOE/year</t>
  </si>
  <si>
    <t>If using category TOE threshold</t>
  </si>
  <si>
    <t>Energy/fuel records</t>
  </si>
  <si>
    <t>1,000 TOE threshold applies only to specified categories.</t>
  </si>
  <si>
    <t>waste_capacity</t>
  </si>
  <si>
    <t>Solid waste operating capacity</t>
  </si>
  <si>
    <t>t/year</t>
  </si>
  <si>
    <t>Solid waste facilities</t>
  </si>
  <si>
    <t>Facility operating data</t>
  </si>
  <si>
    <t>65,000 t/year criterion.</t>
  </si>
  <si>
    <t>allocation_year</t>
  </si>
  <si>
    <t>Allocation</t>
  </si>
  <si>
    <t>Integer</t>
  </si>
  <si>
    <t>2025; 2026</t>
  </si>
  <si>
    <t>Allocation simulation</t>
  </si>
  <si>
    <t>2025 or 2026</t>
  </si>
  <si>
    <t>User selection</t>
  </si>
  <si>
    <t>Allocation formula not selected</t>
  </si>
  <si>
    <t>Segmented control</t>
  </si>
  <si>
    <t>Drives 3-year rolling window.</t>
  </si>
  <si>
    <t>prod_y3</t>
  </si>
  <si>
    <t>Sector product unit</t>
  </si>
  <si>
    <t>≥0; required with other 2 years</t>
  </si>
  <si>
    <t>Verified production data</t>
  </si>
  <si>
    <t>MISSING HISTORICAL DATA</t>
  </si>
  <si>
    <t>2025: 2022; 2026: 2023.</t>
  </si>
  <si>
    <t>prod_y2</t>
  </si>
  <si>
    <t>prod_y1</t>
  </si>
  <si>
    <t>emis_y3</t>
  </si>
  <si>
    <t>Sector-compliant inventory data</t>
  </si>
  <si>
    <t>Not the same field as compliance direct emissions.</t>
  </si>
  <si>
    <t>emis_y2</t>
  </si>
  <si>
    <t>emis_y1</t>
  </si>
  <si>
    <t>Percentage</t>
  </si>
  <si>
    <t>To calculate T and A</t>
  </si>
  <si>
    <t>Sourced value or explicit scenario</t>
  </si>
  <si>
    <t>Policy source</t>
  </si>
  <si>
    <t>MISSING VERIFIED g/r</t>
  </si>
  <si>
    <t>Percentage input</t>
  </si>
  <si>
    <t>Never default to 0%.</t>
  </si>
  <si>
    <t>benchmark_override</t>
  </si>
  <si>
    <t>Benchmark B override</t>
  </si>
  <si>
    <t>tCO2e / product unit</t>
  </si>
  <si>
    <t>Optional scenario</t>
  </si>
  <si>
    <t>Scenario / complete sector calculation</t>
  </si>
  <si>
    <t>Benchmark unavailable</t>
  </si>
  <si>
    <t>Advanced input</t>
  </si>
  <si>
    <t>Clearly label scenario-only when used.</t>
  </si>
  <si>
    <t>direct_emis_2025</t>
  </si>
  <si>
    <t>Quota compliance</t>
  </si>
  <si>
    <t>Verified direct-source inventory</t>
  </si>
  <si>
    <t>MISSING DIRECT EMISSIONS</t>
  </si>
  <si>
    <t>Article 19 compliance input.</t>
  </si>
  <si>
    <t>direct_emis_2026</t>
  </si>
  <si>
    <t>credits_used</t>
  </si>
  <si>
    <t>0 to 30% of allocated allowances</t>
  </si>
  <si>
    <t>Registry / user</t>
  </si>
  <si>
    <t>0 if not used</t>
  </si>
  <si>
    <t>Number input + cap meter</t>
  </si>
  <si>
    <t>Excess input must be flagged.</t>
  </si>
  <si>
    <t>net_allowance_trades</t>
  </si>
  <si>
    <t>Net allowance trades</t>
  </si>
  <si>
    <t>Positive = net bought; negative = net sold</t>
  </si>
  <si>
    <t>0 if none</t>
  </si>
  <si>
    <t>Signed number input</t>
  </si>
  <si>
    <t>Affects available allowances, not required surrender.</t>
  </si>
  <si>
    <t>borrowed_allowances</t>
  </si>
  <si>
    <t>Borrowed allowances</t>
  </si>
  <si>
    <t>0 to 15% of current-phase allocation</t>
  </si>
  <si>
    <t>Through end-2030.</t>
  </si>
  <si>
    <t>Screen</t>
  </si>
  <si>
    <t>Goal</t>
  </si>
  <si>
    <t>Primary Inputs</t>
  </si>
  <si>
    <t>Primary Outputs</t>
  </si>
  <si>
    <t>Excel Logic Source</t>
  </si>
  <si>
    <t>Legal Evidence</t>
  </si>
  <si>
    <t>Empty / Edge State</t>
  </si>
  <si>
    <t>Suggested UI</t>
  </si>
  <si>
    <t>Competition Story</t>
  </si>
  <si>
    <t>Must Not Do</t>
  </si>
  <si>
    <t>01 — Start / Facility Search</t>
  </si>
  <si>
    <t>Identify facility and assessment date</t>
  </si>
  <si>
    <t>Assessment date; Facility ID / name / tax ID</t>
  </si>
  <si>
    <t>Resolved identity; applicable inventory list</t>
  </si>
  <si>
    <t>USER_SIMULATOR A</t>
  </si>
  <si>
    <t>LEGAL_RULES L007-L008</t>
  </si>
  <si>
    <t>Facility not found -&gt; manual mode</t>
  </si>
  <si>
    <t>Search bar + date + recent facilities</t>
  </si>
  <si>
    <t>Turns legal rules into an accessible facility checker</t>
  </si>
  <si>
    <t>Do not imply every facility is in the ETS.</t>
  </si>
  <si>
    <t>02 — Inventory Obligation</t>
  </si>
  <si>
    <t>Separate inventory duty from quota duty</t>
  </si>
  <si>
    <t>Facility type; official-list match; GHG / TOE / waste capacity</t>
  </si>
  <si>
    <t>YES / MEETS CRITERIA / UNDETERMINED / NO EVIDENCE</t>
  </si>
  <si>
    <t>USER_SIMULATOR B17; REGULATORY_SCOPE INV-*</t>
  </si>
  <si>
    <t>48/VBHN-BNNMT Article 6 + QD13/QD42</t>
  </si>
  <si>
    <t>Missing threshold/list data -&gt; UNDETERMINED</t>
  </si>
  <si>
    <t>Decision card + threshold chips + legal drawer</t>
  </si>
  <si>
    <t>Shows the key legal distinction users commonly confuse</t>
  </si>
  <si>
    <t>Do not convert a threshold match into an unqualified list-membership claim.</t>
  </si>
  <si>
    <t>03 — Quota Obligation</t>
  </si>
  <si>
    <t>Check 2025-2026 ETS allocation obligation</t>
  </si>
  <si>
    <t>Facility ID; allocation year</t>
  </si>
  <si>
    <t>QD699 match; official allocation</t>
  </si>
  <si>
    <t>USER_SIMULATOR B18/E9</t>
  </si>
  <si>
    <t>Article 12 + Decision 699</t>
  </si>
  <si>
    <t>Not in QD699 -&gt; no current pilot allocation found</t>
  </si>
  <si>
    <t>Green/gray obligation card</t>
  </si>
  <si>
    <t>Makes pilot scope concrete at facility level</t>
  </si>
  <si>
    <t>Do not say inventory obligation automatically means quota obligation.</t>
  </si>
  <si>
    <t>04 — Allocation Simulator</t>
  </si>
  <si>
    <t>Explain how allowance A is derived</t>
  </si>
  <si>
    <t>3 years production; 3 years emissions; g; r; optional B override</t>
  </si>
  <si>
    <t>P_avg; E_avg; B; T; A; difference vs official</t>
  </si>
  <si>
    <t>USER_SIMULATOR C; CALCULATION</t>
  </si>
  <si>
    <t>Appendix I Method 01</t>
  </si>
  <si>
    <t>Missing sector data / g/r -&gt; formula paused with reason</t>
  </si>
  <si>
    <t>Stepper / formula cards / tooltips</t>
  </si>
  <si>
    <t>Demonstrates transparent legal-tech calculation</t>
  </si>
  <si>
    <t>Do not default missing g/r to zero or compute B from a partial sector sample without warning.</t>
  </si>
  <si>
    <t>05 — Compliance Position</t>
  </si>
  <si>
    <t>Show surplus / deficit for 2025-2026 phase</t>
  </si>
  <si>
    <t>Direct emissions 2025-2026; credits; trades; borrowing</t>
  </si>
  <si>
    <t>Required surrender; available allowances; gap; status; deadline</t>
  </si>
  <si>
    <t>USER_SIMULATOR D; COMPLIANCE</t>
  </si>
  <si>
    <t>Article 19</t>
  </si>
  <si>
    <t>Missing direct emissions -&gt; no gap result; excess credits/borrowing -&gt; invalid</t>
  </si>
  <si>
    <t>Gauge + surplus/deficit card + cap meters</t>
  </si>
  <si>
    <t>Converts complex surrender rules into a usable compliance view</t>
  </si>
  <si>
    <t>Do not use historical E_avg as compliance emissions.</t>
  </si>
  <si>
    <t>06 — Legal Explanation</t>
  </si>
  <si>
    <t>Explain every conclusion</t>
  </si>
  <si>
    <t>None / tap from result</t>
  </si>
  <si>
    <t>Article, decision, source URL, effective date</t>
  </si>
  <si>
    <t>LEGAL_RULES; METHODOLOGY_EVIDENCE</t>
  </si>
  <si>
    <t>All core rules cited</t>
  </si>
  <si>
    <t>If source not verified -&gt; show Unverified / Needs source</t>
  </si>
  <si>
    <t>Legal drawer / accordion</t>
  </si>
  <si>
    <t>Auditability is a differentiator for the competition</t>
  </si>
  <si>
    <t>Do not hide uncertainty or upcoming effective-date changes.</t>
  </si>
  <si>
    <t>07 — Data Quality</t>
  </si>
  <si>
    <t>Make missing inputs visible</t>
  </si>
  <si>
    <t>Source status from historical/policy data</t>
  </si>
  <si>
    <t>Ready / Partial / Missing / Unverified</t>
  </si>
  <si>
    <t>HISTORICAL_DATA; POLICY_PARAMETERS; CALCULATION R</t>
  </si>
  <si>
    <t>Sector MRV circulars + source register</t>
  </si>
  <si>
    <t>No data -&gt; explain exactly what is missing</t>
  </si>
  <si>
    <t>Progress checklist / badges</t>
  </si>
  <si>
    <t>Shows the prototype can be used responsibly before all datasets are available</t>
  </si>
  <si>
    <t>Do not fabricate facility-level emissions.</t>
  </si>
  <si>
    <t>08 — Result Summary</t>
  </si>
  <si>
    <t>Give exportable decision summary</t>
  </si>
  <si>
    <t>All preceding modules</t>
  </si>
  <si>
    <t>Inventory status; quota status; A; official allowance; compliance gap; sources</t>
  </si>
  <si>
    <t>USER_SIMULATOR</t>
  </si>
  <si>
    <t>All linked legal sources</t>
  </si>
  <si>
    <t>Partial results allowed with uncertainty badges</t>
  </si>
  <si>
    <t>One-page result + PDF/export CTA</t>
  </si>
  <si>
    <t>A polished end state for judging/demo</t>
  </si>
  <si>
    <t>Do not show a definitive legal conclusion when core evidence is missing.</t>
  </si>
  <si>
    <t xml:space="preserve">VIETNAM ETS SIMULATOR </t>
  </si>
  <si>
    <t>Workbook status</t>
  </si>
  <si>
    <t>FIGMA-READY CORE LOGIC — legal/data gaps are explicitly surfaced, not guessed.</t>
  </si>
  <si>
    <t>What this workbook now does</t>
  </si>
  <si>
    <t>Sheet</t>
  </si>
  <si>
    <t>Purpose</t>
  </si>
  <si>
    <t>1. Facility identity</t>
  </si>
  <si>
    <t>Loads the 110 official 2025-2026 quota facilities from Decision 699/QĐ-BNNMT and supports manual facility mode.</t>
  </si>
  <si>
    <t>Single-facility interactive prototype logic; use this as the main Figma reference.</t>
  </si>
  <si>
    <t>2. Inventory obligation</t>
  </si>
  <si>
    <t>Tests confirmed Article 6 criteria and separately records official-list status.</t>
  </si>
  <si>
    <t>INPUT_SCHEMA</t>
  </si>
  <si>
    <t>Exact user fields, types, units, validations and missing-data states.</t>
  </si>
  <si>
    <t>3. Quota obligation</t>
  </si>
  <si>
    <t>Confirms quota duty only for the loaded official Decision 699 allocation list.</t>
  </si>
  <si>
    <t>FIGMA_MAP</t>
  </si>
  <si>
    <t>Recommended prototype screens and edge states.</t>
  </si>
  <si>
    <t>4. Allocation formula</t>
  </si>
  <si>
    <t>Implements P_avg, E_avg, B, T and A with a rolling 3-year window and data-completeness guardrails.</t>
  </si>
  <si>
    <t>LEGAL_RULES</t>
  </si>
  <si>
    <t>Legal rule register with effective-date logic and source URLs.</t>
  </si>
  <si>
    <t>5. Compliance</t>
  </si>
  <si>
    <t>Implements phase surrender logic, 30% credit cap, 15% borrowing cap, surplus/deficit and 31/12/2027 deadline for pilot phase.</t>
  </si>
  <si>
    <t>REGULATORY_SCOPE</t>
  </si>
  <si>
    <t>Machine-readable rule table for inventory / quota / compliance.</t>
  </si>
  <si>
    <t>6. Legal basis</t>
  </si>
  <si>
    <t>Every core decision has a legal-source sheet and URL.</t>
  </si>
  <si>
    <t>CALCULATION</t>
  </si>
  <si>
    <t>220-row allocation engine: 110 facilities × 2025/2026.</t>
  </si>
  <si>
    <t>7. Uncertainty</t>
  </si>
  <si>
    <t>Missing list membership, historical data, benchmark completeness, or g/r never silently become a definitive answer.</t>
  </si>
  <si>
    <t>COMPLIANCE</t>
  </si>
  <si>
    <t>110-row phase-level compliance engine.</t>
  </si>
  <si>
    <t>8. Figma handoff</t>
  </si>
  <si>
    <t>INPUT_SCHEMA and FIGMA_MAP translate the Excel logic directly into screens/components/states.</t>
  </si>
  <si>
    <t>HISTORICAL_DATA</t>
  </si>
  <si>
    <t>440-row historical input structure: 110 facilities × 2022-2025.</t>
  </si>
  <si>
    <t>POLICY_PARAMETERS</t>
  </si>
  <si>
    <t>g/r parameter register; numeric values intentionally blank until sourced.</t>
  </si>
  <si>
    <t>OFFICIAL_ALLOCATIONS</t>
  </si>
  <si>
    <t>Official Decision 699 ground truth.</t>
  </si>
  <si>
    <t>Critical legal guardrails</t>
  </si>
  <si>
    <t>Inventory ≠ quota</t>
  </si>
  <si>
    <t>A facility can have an inventory obligation without a 2025-2026 quota allocation.</t>
  </si>
  <si>
    <t>Figma readiness checklist</t>
  </si>
  <si>
    <t>Effective list changes</t>
  </si>
  <si>
    <t>Decision 13/2024/QĐ-TTg is effective through 24/09/2026; Decision 42/2026/QĐ-TTg takes effect 25/09/2026.</t>
  </si>
  <si>
    <t>Facility search &amp; identity logic</t>
  </si>
  <si>
    <t>READY</t>
  </si>
  <si>
    <t>Threshold vs list</t>
  </si>
  <si>
    <t>Article 6 criteria and official Prime Minister list membership are shown separately.</t>
  </si>
  <si>
    <t>Inventory obligation logic</t>
  </si>
  <si>
    <t>READY — full national list lookup still external for non-QD699 facilities</t>
  </si>
  <si>
    <t>Benchmark B</t>
  </si>
  <si>
    <t>Calculated only when the sector-year dataset is complete; otherwise blank.</t>
  </si>
  <si>
    <t>Quota obligation logic</t>
  </si>
  <si>
    <t>g / r</t>
  </si>
  <si>
    <t>No default value. Missing sourced values stop A calculation.</t>
  </si>
  <si>
    <t>Allocation formula logic</t>
  </si>
  <si>
    <t>READY — actual g/r and historical dataset may remain incomplete</t>
  </si>
  <si>
    <t>Allocation vs compliance emissions</t>
  </si>
  <si>
    <t>Historical E_avg is an allocation input; compliance uses verified direct-source emissions for the allocation phase.</t>
  </si>
  <si>
    <t>Official vs calculated allowance</t>
  </si>
  <si>
    <t>Official Decision 699 allocation is used for compliance; calculated A is for method reproduction / validation.</t>
  </si>
  <si>
    <t>Legal explanation states</t>
  </si>
  <si>
    <t>Prototype scope</t>
  </si>
  <si>
    <t>This workbook is not an official registry or legal opinion; it is an auditable legal-policy simulator.</t>
  </si>
  <si>
    <t>Missing / unverified data states</t>
  </si>
  <si>
    <t>Source ID</t>
  </si>
  <si>
    <t>Variable</t>
  </si>
  <si>
    <t>Source Name</t>
  </si>
  <si>
    <t>Source Type</t>
  </si>
  <si>
    <t>Document / Report</t>
  </si>
  <si>
    <t>Publication Date</t>
  </si>
  <si>
    <t>URL / File</t>
  </si>
  <si>
    <t>Page / 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</si>
</sst>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"/>
    <numFmt numFmtId="165" formatCode="0.0000"/>
    <numFmt numFmtId="166" formatCode="dd/mm/yyyy"/>
  </numFmts>
  <fonts count="10">
    <font>
      <sz val="10.0"/>
      <color rgb="FF000000"/>
      <name val="Arial"/>
      <scheme val="minor"/>
    </font>
    <font>
      <b/>
      <color rgb="FFFFFFFF"/>
      <name val="Arial"/>
    </font>
    <font>
      <b/>
      <sz val="10.0"/>
      <color rgb="FFFFFFFF"/>
      <name val="Arial"/>
    </font>
    <font>
      <color theme="1"/>
      <name val="Arial"/>
    </font>
    <font>
      <sz val="10.0"/>
      <color rgb="FF000000"/>
      <name val="Arial"/>
    </font>
    <font>
      <b/>
      <sz val="10.0"/>
      <color rgb="FF1F1F1F"/>
      <name val="Arial"/>
    </font>
    <font>
      <b/>
      <color rgb="FF222222"/>
      <name val="Arial"/>
    </font>
    <font>
      <color rgb="FF222222"/>
      <name val="Arial"/>
    </font>
    <font>
      <b/>
      <sz val="16.0"/>
      <color rgb="FFFFFFFF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E2F0D9"/>
        <bgColor rgb="FFE2F0D9"/>
      </patternFill>
    </fill>
    <fill>
      <patternFill patternType="solid">
        <fgColor rgb="FFDDEBF7"/>
        <bgColor rgb="FFDDEBF7"/>
      </patternFill>
    </fill>
    <fill>
      <patternFill patternType="solid">
        <fgColor rgb="FFD9EAF7"/>
        <bgColor rgb="FFD9EAF7"/>
      </patternFill>
    </fill>
    <fill>
      <patternFill patternType="solid">
        <fgColor rgb="FFFCE4D6"/>
        <bgColor rgb="FFFCE4D6"/>
      </patternFill>
    </fill>
    <fill>
      <patternFill patternType="solid">
        <fgColor rgb="FF0B1F33"/>
        <bgColor rgb="FF0B1F33"/>
      </patternFill>
    </fill>
    <fill>
      <patternFill patternType="solid">
        <fgColor rgb="FFC6E0B4"/>
        <bgColor rgb="FFC6E0B4"/>
      </patternFill>
    </fill>
  </fills>
  <borders count="1">
    <border/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right" shrinkToFit="0" wrapText="1"/>
    </xf>
    <xf borderId="0" fillId="0" fontId="4" numFmtId="0" xfId="0" applyAlignment="1" applyFont="1">
      <alignment shrinkToFit="0" vertical="bottom" wrapText="1"/>
    </xf>
    <xf borderId="0" fillId="3" fontId="3" numFmtId="0" xfId="0" applyAlignment="1" applyFill="1" applyFont="1">
      <alignment readingOrder="0" shrinkToFit="0" wrapText="1"/>
    </xf>
    <xf borderId="0" fillId="3" fontId="3" numFmtId="10" xfId="0" applyAlignment="1" applyFill="1" applyFont="1" applyNumberFormat="1">
      <alignment shrinkToFit="0" wrapText="1"/>
    </xf>
    <xf borderId="0" fillId="0" fontId="4" numFmtId="0" xfId="0" applyAlignment="1" applyFont="1">
      <alignment shrinkToFit="0" wrapText="1"/>
    </xf>
    <xf borderId="0" fillId="4" fontId="3" numFmtId="164" xfId="0" applyAlignment="1" applyFill="1" applyFont="1" applyNumberFormat="1">
      <alignment shrinkToFit="0" wrapText="1"/>
    </xf>
    <xf borderId="0" fillId="3" fontId="4" numFmtId="10" xfId="0" applyAlignment="1" applyFill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  <xf borderId="0" fillId="5" fontId="3" numFmtId="0" xfId="0" applyAlignment="1" applyFill="1" applyFont="1">
      <alignment shrinkToFit="0" vertical="bottom" wrapText="1"/>
    </xf>
    <xf borderId="0" fillId="0" fontId="4" numFmtId="0" xfId="0" applyFont="1"/>
    <xf borderId="0" fillId="3" fontId="4" numFmtId="3" xfId="0" applyAlignment="1" applyFill="1" applyFont="1" applyNumberFormat="1">
      <alignment shrinkToFit="0" vertical="bottom" wrapText="1"/>
    </xf>
    <xf borderId="0" fillId="3" fontId="3" numFmtId="3" xfId="0" applyAlignment="1" applyFill="1" applyFont="1" applyNumberFormat="1">
      <alignment shrinkToFit="0" wrapText="1"/>
    </xf>
    <xf borderId="0" fillId="3" fontId="4" numFmtId="4" xfId="0" applyAlignment="1" applyFill="1" applyFont="1" applyNumberFormat="1">
      <alignment shrinkToFit="0" wrapText="1"/>
    </xf>
    <xf borderId="0" fillId="3" fontId="4" numFmtId="0" xfId="0" applyAlignment="1" applyFill="1" applyFont="1">
      <alignment shrinkToFit="0" vertical="bottom" wrapText="1"/>
    </xf>
    <xf borderId="0" fillId="3" fontId="3" numFmtId="4" xfId="0" applyAlignment="1" applyFill="1" applyFont="1" applyNumberFormat="1">
      <alignment shrinkToFit="0" wrapText="1"/>
    </xf>
    <xf borderId="0" fillId="3" fontId="4" numFmtId="4" xfId="0" applyAlignment="1" applyFill="1" applyFont="1" applyNumberFormat="1">
      <alignment shrinkToFit="0" vertical="bottom" wrapText="1"/>
    </xf>
    <xf borderId="0" fillId="5" fontId="3" numFmtId="3" xfId="0" applyAlignment="1" applyFill="1" applyFont="1" applyNumberFormat="1">
      <alignment shrinkToFit="0" wrapText="1"/>
    </xf>
    <xf borderId="0" fillId="5" fontId="4" numFmtId="0" xfId="0" applyAlignment="1" applyFill="1" applyFont="1">
      <alignment shrinkToFit="0" vertical="bottom" wrapText="1"/>
    </xf>
    <xf borderId="0" fillId="3" fontId="4" numFmtId="3" xfId="0" applyAlignment="1" applyFill="1" applyFont="1" applyNumberFormat="1">
      <alignment shrinkToFit="0" wrapText="1"/>
    </xf>
    <xf borderId="0" fillId="4" fontId="3" numFmtId="10" xfId="0" applyAlignment="1" applyFill="1" applyFont="1" applyNumberFormat="1">
      <alignment shrinkToFit="0" wrapText="1"/>
    </xf>
    <xf borderId="0" fillId="4" fontId="3" numFmtId="165" xfId="0" applyAlignment="1" applyFill="1" applyFont="1" applyNumberFormat="1">
      <alignment shrinkToFit="0" wrapText="1"/>
    </xf>
    <xf borderId="0" fillId="4" fontId="3" numFmtId="3" xfId="0" applyAlignment="1" applyFill="1" applyFont="1" applyNumberFormat="1">
      <alignment shrinkToFit="0" wrapText="1"/>
    </xf>
    <xf borderId="0" fillId="5" fontId="4" numFmtId="3" xfId="0" applyAlignment="1" applyFill="1" applyFont="1" applyNumberFormat="1">
      <alignment shrinkToFit="0" vertical="bottom" wrapText="1"/>
    </xf>
    <xf borderId="0" fillId="6" fontId="5" numFmtId="3" xfId="0" applyAlignment="1" applyFill="1" applyFont="1" applyNumberFormat="1">
      <alignment horizontal="left" shrinkToFit="0" vertical="center" wrapText="1"/>
    </xf>
    <xf borderId="0" fillId="0" fontId="4" numFmtId="10" xfId="0" applyAlignment="1" applyFont="1" applyNumberFormat="1">
      <alignment shrinkToFit="0" vertical="bottom" wrapText="1"/>
    </xf>
    <xf borderId="0" fillId="0" fontId="3" numFmtId="0" xfId="0" applyFont="1"/>
    <xf borderId="0" fillId="0" fontId="3" numFmtId="3" xfId="0" applyAlignment="1" applyFont="1" applyNumberFormat="1">
      <alignment shrinkToFit="0" wrapText="1"/>
    </xf>
    <xf borderId="0" fillId="4" fontId="4" numFmtId="164" xfId="0" applyAlignment="1" applyFill="1" applyFont="1" applyNumberFormat="1">
      <alignment shrinkToFit="0" vertical="bottom" wrapText="1"/>
    </xf>
    <xf borderId="0" fillId="0" fontId="6" numFmtId="0" xfId="0" applyAlignment="1" applyFont="1">
      <alignment horizontal="center"/>
    </xf>
    <xf borderId="0" fillId="0" fontId="6" numFmtId="0" xfId="0" applyFont="1"/>
    <xf borderId="0" fillId="0" fontId="7" numFmtId="0" xfId="0" applyAlignment="1" applyFont="1">
      <alignment horizontal="center"/>
    </xf>
    <xf borderId="0" fillId="0" fontId="7" numFmtId="0" xfId="0" applyFont="1"/>
    <xf borderId="0" fillId="0" fontId="7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6" numFmtId="0" xfId="0" applyAlignment="1" applyFont="1">
      <alignment horizontal="right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shrinkToFit="0" wrapText="1"/>
    </xf>
    <xf borderId="0" fillId="0" fontId="7" numFmtId="3" xfId="0" applyAlignment="1" applyFont="1" applyNumberFormat="1">
      <alignment horizontal="right" shrinkToFit="0" wrapText="1"/>
    </xf>
    <xf borderId="0" fillId="0" fontId="4" numFmtId="3" xfId="0" applyAlignment="1" applyFont="1" applyNumberFormat="1">
      <alignment shrinkToFit="0" vertical="bottom" wrapText="1"/>
    </xf>
    <xf borderId="0" fillId="2" fontId="2" numFmtId="3" xfId="0" applyAlignment="1" applyFill="1" applyFont="1" applyNumberFormat="1">
      <alignment horizontal="center" shrinkToFit="0" vertical="center" wrapText="1"/>
    </xf>
    <xf borderId="0" fillId="2" fontId="2" numFmtId="10" xfId="0" applyAlignment="1" applyFill="1" applyFont="1" applyNumberFormat="1">
      <alignment horizontal="center" shrinkToFit="0" vertical="center" wrapText="1"/>
    </xf>
    <xf borderId="0" fillId="6" fontId="5" numFmtId="3" xfId="0" applyAlignment="1" applyFill="1" applyFont="1" applyNumberFormat="1">
      <alignment shrinkToFit="0" vertical="center" wrapText="1"/>
    </xf>
    <xf borderId="0" fillId="7" fontId="4" numFmtId="10" xfId="0" applyAlignment="1" applyFill="1" applyFont="1" applyNumberFormat="1">
      <alignment shrinkToFit="0" vertical="bottom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5" fontId="4" numFmtId="0" xfId="0" applyAlignment="1" applyFill="1" applyFont="1">
      <alignment shrinkToFit="0" vertical="bottom" wrapText="1"/>
    </xf>
    <xf borderId="0" fillId="5" fontId="4" numFmtId="1" xfId="0" applyAlignment="1" applyFill="1" applyFont="1" applyNumberFormat="1">
      <alignment shrinkToFit="0" vertical="bottom" wrapText="1"/>
    </xf>
    <xf borderId="0" fillId="3" fontId="4" numFmtId="4" xfId="0" applyAlignment="1" applyFill="1" applyFont="1" applyNumberFormat="1">
      <alignment shrinkToFit="0" vertical="bottom" wrapText="1"/>
    </xf>
    <xf borderId="0" fillId="4" fontId="4" numFmtId="0" xfId="0" applyAlignment="1" applyFill="1" applyFont="1">
      <alignment shrinkToFit="0" vertical="bottom" wrapText="1"/>
    </xf>
    <xf borderId="0" fillId="4" fontId="4" numFmtId="4" xfId="0" applyAlignment="1" applyFill="1" applyFont="1" applyNumberFormat="1">
      <alignment shrinkToFit="0" vertical="bottom" wrapText="1"/>
    </xf>
    <xf borderId="0" fillId="3" fontId="4" numFmtId="0" xfId="0" applyAlignment="1" applyFill="1" applyFont="1">
      <alignment shrinkToFit="0" vertical="bottom" wrapText="1"/>
    </xf>
    <xf borderId="0" fillId="6" fontId="5" numFmtId="0" xfId="0" applyAlignment="1" applyFill="1" applyFont="1">
      <alignment shrinkToFit="0" vertical="center" wrapText="1"/>
    </xf>
    <xf borderId="0" fillId="0" fontId="4" numFmtId="1" xfId="0" applyAlignment="1" applyFont="1" applyNumberFormat="1">
      <alignment shrinkToFit="0" vertical="bottom" wrapText="1"/>
    </xf>
    <xf borderId="0" fillId="4" fontId="4" numFmtId="3" xfId="0" applyAlignment="1" applyFill="1" applyFont="1" applyNumberFormat="1">
      <alignment shrinkToFit="0" vertical="bottom" wrapText="1"/>
    </xf>
    <xf borderId="0" fillId="0" fontId="4" numFmtId="166" xfId="0" applyAlignment="1" applyFont="1" applyNumberFormat="1">
      <alignment shrinkToFit="0" vertical="bottom" wrapText="1"/>
    </xf>
    <xf borderId="0" fillId="8" fontId="8" numFmtId="0" xfId="0" applyAlignment="1" applyFill="1" applyFont="1">
      <alignment horizontal="left" shrinkToFit="0" vertical="center" wrapText="1"/>
    </xf>
    <xf borderId="0" fillId="3" fontId="4" numFmtId="166" xfId="0" applyAlignment="1" applyFill="1" applyFont="1" applyNumberFormat="1">
      <alignment shrinkToFit="0" vertical="bottom" wrapText="1"/>
    </xf>
    <xf borderId="0" fillId="4" fontId="4" numFmtId="0" xfId="0" applyAlignment="1" applyFill="1" applyFont="1">
      <alignment shrinkToFit="0" vertical="bottom" wrapText="1"/>
    </xf>
    <xf borderId="0" fillId="4" fontId="4" numFmtId="165" xfId="0" applyAlignment="1" applyFill="1" applyFont="1" applyNumberFormat="1">
      <alignment shrinkToFit="0" vertical="bottom" wrapText="1"/>
    </xf>
    <xf borderId="0" fillId="4" fontId="4" numFmtId="10" xfId="0" applyAlignment="1" applyFill="1" applyFont="1" applyNumberFormat="1">
      <alignment shrinkToFit="0" vertical="bottom" wrapText="1"/>
    </xf>
    <xf borderId="0" fillId="4" fontId="4" numFmtId="166" xfId="0" applyAlignment="1" applyFill="1" applyFont="1" applyNumberFormat="1">
      <alignment shrinkToFit="0" vertical="bottom" wrapText="1"/>
    </xf>
    <xf borderId="0" fillId="7" fontId="4" numFmtId="0" xfId="0" applyAlignment="1" applyFill="1" applyFont="1">
      <alignment shrinkToFit="0" vertical="bottom" wrapText="1"/>
    </xf>
    <xf borderId="0" fillId="8" fontId="8" numFmtId="0" xfId="0" applyAlignment="1" applyFill="1" applyFont="1">
      <alignment horizontal="left" readingOrder="0" shrinkToFit="0" vertical="center" wrapText="1"/>
    </xf>
    <xf borderId="0" fillId="9" fontId="4" numFmtId="0" xfId="0" applyAlignment="1" applyFill="1" applyFont="1">
      <alignment shrinkToFit="0" vertical="bottom" wrapText="1"/>
    </xf>
    <xf borderId="0" fillId="0" fontId="9" numFmtId="0" xfId="0" applyFont="1"/>
    <xf borderId="0" fillId="4" fontId="4" numFmtId="164" xfId="0" applyAlignment="1" applyFill="1" applyFont="1" applyNumberFormat="1">
      <alignment shrinkToFit="0" wrapText="1"/>
    </xf>
  </cellXfs>
  <cellStyles count="1">
    <cellStyle xfId="0" name="Normal" builtinId="0"/>
  </cellStyles>
  <dxfs count="13"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C6E0B4"/>
          <bgColor rgb="FFC6E0B4"/>
        </patternFill>
      </fill>
      <border/>
    </dxf>
    <dxf>
      <font>
        <b/>
      </font>
      <fill>
        <patternFill patternType="solid">
          <fgColor rgb="FFE2F0D9"/>
          <bgColor rgb="FFE2F0D9"/>
        </patternFill>
      </fill>
      <border/>
    </dxf>
    <dxf>
      <font>
        <b/>
      </font>
      <fill>
        <patternFill patternType="solid">
          <fgColor rgb="FFFFF2CC"/>
          <bgColor rgb="FFFFF2CC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6FC"/>
          <bgColor rgb="FFD9E6FC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</dxfs>
  <tableStyles count="1">
    <tableStyle count="4" pivot="0" name="HISTORICAL_DATA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441" displayName="HistoricalDataTable" name="HistoricalDataTable" id="1">
  <tableColumns count="11">
    <tableColumn name="Facility ID" id="1"/>
    <tableColumn name="Facility Name" id="2"/>
    <tableColumn name="Sector" id="3"/>
    <tableColumn name="Calendar Year" id="4"/>
    <tableColumn name="Production" id="5"/>
    <tableColumn name="Production Unit" id="6"/>
    <tableColumn name="Emissions" id="7"/>
    <tableColumn name="Emissions Unit" id="8"/>
    <tableColumn name="Production Source" id="9"/>
    <tableColumn name="Emissions Source" id="10"/>
    <tableColumn name="Data Status" id="11"/>
  </tableColumns>
  <tableStyleInfo name="HISTORICAL_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4.0"/>
    <col customWidth="1" min="3" max="3" width="38.0"/>
    <col customWidth="1" min="4" max="4" width="16.0"/>
    <col customWidth="1" min="5" max="5" width="22.0"/>
    <col customWidth="1" min="6" max="6" width="20.0"/>
    <col customWidth="1" min="7" max="7" width="34.0"/>
    <col customWidth="1" min="8" max="8" width="10.0"/>
  </cols>
  <sheetData>
    <row r="1" ht="15.75" customHeight="1">
      <c r="A1" s="1" t="s">
        <v>2</v>
      </c>
      <c r="B1" s="1" t="s">
        <v>9</v>
      </c>
      <c r="C1" s="1" t="s">
        <v>12</v>
      </c>
      <c r="D1" s="1" t="s">
        <v>16</v>
      </c>
      <c r="E1" s="1" t="s">
        <v>19</v>
      </c>
      <c r="F1" s="1" t="s">
        <v>22</v>
      </c>
      <c r="G1" s="1" t="s">
        <v>26</v>
      </c>
      <c r="H1" s="1" t="s">
        <v>29</v>
      </c>
    </row>
    <row r="2" ht="15.75" customHeight="1">
      <c r="A2" s="3" t="s">
        <v>33</v>
      </c>
      <c r="B2" s="3" t="s">
        <v>36</v>
      </c>
      <c r="C2" s="4" t="s">
        <v>40</v>
      </c>
      <c r="D2" s="3" t="s">
        <v>44</v>
      </c>
      <c r="E2" s="3" t="s">
        <v>45</v>
      </c>
      <c r="F2" s="4" t="s">
        <v>47</v>
      </c>
      <c r="G2" s="3" t="s">
        <v>48</v>
      </c>
      <c r="H2" s="3" t="s">
        <v>50</v>
      </c>
    </row>
    <row r="3" ht="15.75" customHeight="1">
      <c r="A3" s="3" t="s">
        <v>52</v>
      </c>
      <c r="B3" s="3" t="s">
        <v>53</v>
      </c>
      <c r="C3" s="4" t="s">
        <v>54</v>
      </c>
      <c r="D3" s="3" t="s">
        <v>44</v>
      </c>
      <c r="E3" s="3" t="s">
        <v>45</v>
      </c>
      <c r="F3" s="4" t="s">
        <v>47</v>
      </c>
      <c r="G3" s="3" t="s">
        <v>48</v>
      </c>
      <c r="H3" s="3" t="s">
        <v>50</v>
      </c>
    </row>
    <row r="4" ht="15.75" customHeight="1">
      <c r="A4" s="3" t="s">
        <v>64</v>
      </c>
      <c r="B4" s="3" t="s">
        <v>67</v>
      </c>
      <c r="C4" s="4" t="s">
        <v>68</v>
      </c>
      <c r="D4" s="3" t="s">
        <v>44</v>
      </c>
      <c r="E4" s="3" t="s">
        <v>45</v>
      </c>
      <c r="F4" s="4" t="s">
        <v>47</v>
      </c>
      <c r="G4" s="3" t="s">
        <v>48</v>
      </c>
      <c r="H4" s="3" t="s">
        <v>50</v>
      </c>
    </row>
    <row r="5" ht="15.75" customHeight="1">
      <c r="A5" s="3" t="s">
        <v>73</v>
      </c>
      <c r="B5" s="3" t="s">
        <v>74</v>
      </c>
      <c r="C5" s="4" t="s">
        <v>76</v>
      </c>
      <c r="D5" s="3" t="s">
        <v>44</v>
      </c>
      <c r="E5" s="3" t="s">
        <v>78</v>
      </c>
      <c r="F5" s="4" t="s">
        <v>47</v>
      </c>
      <c r="G5" s="3" t="s">
        <v>48</v>
      </c>
      <c r="H5" s="3" t="s">
        <v>50</v>
      </c>
    </row>
    <row r="6" ht="15.75" customHeight="1">
      <c r="A6" s="3" t="s">
        <v>80</v>
      </c>
      <c r="B6" s="3" t="s">
        <v>81</v>
      </c>
      <c r="C6" s="4" t="s">
        <v>82</v>
      </c>
      <c r="D6" s="3" t="s">
        <v>44</v>
      </c>
      <c r="E6" s="3" t="s">
        <v>78</v>
      </c>
      <c r="F6" s="4" t="s">
        <v>47</v>
      </c>
      <c r="G6" s="3" t="s">
        <v>48</v>
      </c>
      <c r="H6" s="3" t="s">
        <v>50</v>
      </c>
    </row>
    <row r="7" ht="15.75" customHeight="1">
      <c r="A7" s="3" t="s">
        <v>83</v>
      </c>
      <c r="B7" s="3" t="s">
        <v>84</v>
      </c>
      <c r="C7" s="4" t="s">
        <v>85</v>
      </c>
      <c r="D7" s="3" t="s">
        <v>44</v>
      </c>
      <c r="E7" s="3" t="s">
        <v>78</v>
      </c>
      <c r="F7" s="4" t="s">
        <v>47</v>
      </c>
      <c r="G7" s="3" t="s">
        <v>48</v>
      </c>
      <c r="H7" s="3" t="s">
        <v>50</v>
      </c>
    </row>
    <row r="8" ht="15.75" customHeight="1">
      <c r="A8" s="3" t="s">
        <v>35</v>
      </c>
      <c r="B8" s="3" t="s">
        <v>86</v>
      </c>
      <c r="C8" s="4" t="s">
        <v>87</v>
      </c>
      <c r="D8" s="3" t="s">
        <v>88</v>
      </c>
      <c r="E8" s="3" t="s">
        <v>45</v>
      </c>
      <c r="F8" s="4" t="s">
        <v>89</v>
      </c>
      <c r="G8" s="3" t="s">
        <v>90</v>
      </c>
      <c r="H8" s="3" t="s">
        <v>91</v>
      </c>
    </row>
    <row r="9" ht="15.75" customHeight="1">
      <c r="A9" s="3" t="s">
        <v>39</v>
      </c>
      <c r="B9" s="3" t="s">
        <v>92</v>
      </c>
      <c r="C9" s="4" t="s">
        <v>93</v>
      </c>
      <c r="D9" s="3" t="s">
        <v>88</v>
      </c>
      <c r="E9" s="3" t="s">
        <v>78</v>
      </c>
      <c r="F9" s="4" t="s">
        <v>89</v>
      </c>
      <c r="G9" s="3" t="s">
        <v>94</v>
      </c>
      <c r="H9" s="3" t="s">
        <v>91</v>
      </c>
    </row>
    <row r="10" ht="15.75" customHeight="1">
      <c r="A10" s="3" t="s">
        <v>95</v>
      </c>
      <c r="B10" s="3" t="s">
        <v>96</v>
      </c>
      <c r="C10" s="4" t="s">
        <v>97</v>
      </c>
      <c r="D10" s="3" t="s">
        <v>88</v>
      </c>
      <c r="E10" s="3" t="s">
        <v>98</v>
      </c>
      <c r="F10" s="4" t="s">
        <v>89</v>
      </c>
      <c r="G10" s="3" t="s">
        <v>99</v>
      </c>
      <c r="H10" s="3" t="s">
        <v>91</v>
      </c>
    </row>
    <row r="11" ht="15.75" customHeight="1">
      <c r="A11" s="3" t="s">
        <v>34</v>
      </c>
      <c r="B11" s="3" t="s">
        <v>38</v>
      </c>
      <c r="C11" s="4" t="s">
        <v>37</v>
      </c>
      <c r="D11" s="3" t="s">
        <v>57</v>
      </c>
      <c r="E11" s="3" t="s">
        <v>55</v>
      </c>
      <c r="F11" s="4" t="s">
        <v>100</v>
      </c>
      <c r="G11" s="3" t="s">
        <v>101</v>
      </c>
      <c r="H11" s="3" t="s">
        <v>50</v>
      </c>
    </row>
    <row r="12" ht="15.75" customHeight="1">
      <c r="A12" s="3" t="s">
        <v>46</v>
      </c>
      <c r="B12" s="3" t="s">
        <v>102</v>
      </c>
      <c r="C12" s="4" t="s">
        <v>63</v>
      </c>
      <c r="D12" s="3" t="s">
        <v>57</v>
      </c>
      <c r="E12" s="3" t="s">
        <v>55</v>
      </c>
      <c r="F12" s="4" t="s">
        <v>100</v>
      </c>
      <c r="G12" s="3" t="s">
        <v>101</v>
      </c>
      <c r="H12" s="3" t="s">
        <v>50</v>
      </c>
    </row>
    <row r="13" ht="15.75" customHeight="1">
      <c r="A13" s="3" t="s">
        <v>49</v>
      </c>
      <c r="B13" s="3" t="s">
        <v>104</v>
      </c>
      <c r="C13" s="4" t="s">
        <v>106</v>
      </c>
      <c r="D13" s="3" t="s">
        <v>88</v>
      </c>
      <c r="E13" s="3" t="s">
        <v>48</v>
      </c>
      <c r="F13" s="4" t="s">
        <v>89</v>
      </c>
      <c r="G13" s="3" t="s">
        <v>107</v>
      </c>
      <c r="H13" s="3" t="s">
        <v>91</v>
      </c>
    </row>
    <row r="14" ht="15.75" customHeight="1">
      <c r="A14" s="3" t="s">
        <v>109</v>
      </c>
      <c r="B14" s="3" t="s">
        <v>110</v>
      </c>
      <c r="C14" s="4" t="s">
        <v>111</v>
      </c>
      <c r="D14" s="3" t="s">
        <v>88</v>
      </c>
      <c r="E14" s="3" t="s">
        <v>78</v>
      </c>
      <c r="F14" s="4" t="s">
        <v>89</v>
      </c>
      <c r="G14" s="3" t="s">
        <v>112</v>
      </c>
      <c r="H14" s="3" t="s">
        <v>91</v>
      </c>
    </row>
    <row r="15" ht="15.75" customHeight="1">
      <c r="A15" s="13"/>
      <c r="B15" s="13"/>
      <c r="C15" s="13"/>
      <c r="D15" s="13"/>
      <c r="E15" s="13"/>
      <c r="F15" s="13"/>
      <c r="G15" s="13"/>
    </row>
    <row r="16" ht="15.75" customHeight="1">
      <c r="A16" s="13"/>
      <c r="B16" s="13"/>
      <c r="C16" s="13"/>
      <c r="D16" s="13"/>
      <c r="E16" s="13"/>
      <c r="F16" s="13"/>
      <c r="G16" s="13"/>
    </row>
    <row r="17" ht="15.75" customHeight="1">
      <c r="A17" s="13"/>
      <c r="B17" s="13"/>
      <c r="C17" s="13"/>
      <c r="D17" s="13"/>
      <c r="E17" s="13"/>
      <c r="F17" s="13"/>
      <c r="G17" s="13"/>
    </row>
    <row r="18" ht="15.75" customHeight="1">
      <c r="A18" s="13"/>
      <c r="B18" s="13"/>
      <c r="C18" s="13"/>
      <c r="D18" s="13"/>
      <c r="E18" s="13"/>
      <c r="F18" s="13"/>
      <c r="G18" s="13"/>
    </row>
    <row r="19" ht="15.75" customHeight="1">
      <c r="A19" s="13"/>
      <c r="B19" s="13"/>
      <c r="C19" s="13"/>
      <c r="D19" s="13"/>
      <c r="E19" s="13"/>
      <c r="F19" s="13"/>
      <c r="G19" s="13"/>
    </row>
    <row r="20" ht="15.75" customHeight="1">
      <c r="A20" s="13"/>
      <c r="B20" s="13"/>
      <c r="C20" s="13"/>
      <c r="D20" s="13"/>
      <c r="E20" s="13"/>
      <c r="F20" s="13"/>
      <c r="G20" s="13"/>
    </row>
    <row r="21" ht="15.75" customHeight="1">
      <c r="A21" s="13"/>
      <c r="B21" s="13"/>
      <c r="C21" s="13"/>
      <c r="D21" s="13"/>
      <c r="E21" s="13"/>
      <c r="F21" s="13"/>
      <c r="G21" s="13"/>
    </row>
    <row r="22" ht="15.75" customHeight="1">
      <c r="A22" s="13"/>
      <c r="B22" s="13"/>
      <c r="C22" s="13"/>
      <c r="D22" s="13"/>
      <c r="E22" s="13"/>
      <c r="F22" s="13"/>
      <c r="G22" s="13"/>
    </row>
    <row r="23" ht="15.75" customHeight="1">
      <c r="A23" s="13"/>
      <c r="B23" s="13"/>
      <c r="C23" s="13"/>
      <c r="D23" s="13"/>
      <c r="E23" s="13"/>
      <c r="F23" s="13"/>
      <c r="G23" s="13"/>
    </row>
    <row r="24" ht="15.75" customHeight="1">
      <c r="A24" s="13"/>
      <c r="B24" s="13"/>
      <c r="C24" s="13"/>
      <c r="D24" s="13"/>
      <c r="E24" s="13"/>
      <c r="F24" s="13"/>
      <c r="G24" s="13"/>
    </row>
    <row r="25" ht="15.75" customHeight="1">
      <c r="A25" s="13"/>
      <c r="B25" s="13"/>
      <c r="C25" s="13"/>
      <c r="D25" s="13"/>
      <c r="E25" s="13"/>
      <c r="F25" s="13"/>
      <c r="G25" s="13"/>
    </row>
    <row r="26" ht="15.75" customHeight="1">
      <c r="A26" s="13"/>
      <c r="B26" s="13"/>
      <c r="C26" s="13"/>
      <c r="D26" s="13"/>
      <c r="E26" s="13"/>
      <c r="F26" s="13"/>
      <c r="G26" s="13"/>
    </row>
    <row r="27" ht="15.75" customHeight="1">
      <c r="A27" s="13"/>
      <c r="B27" s="13"/>
      <c r="C27" s="13"/>
      <c r="D27" s="13"/>
      <c r="E27" s="13"/>
      <c r="F27" s="13"/>
      <c r="G27" s="13"/>
    </row>
    <row r="28" ht="15.75" customHeight="1">
      <c r="A28" s="13"/>
      <c r="B28" s="13"/>
      <c r="C28" s="13"/>
      <c r="D28" s="13"/>
      <c r="E28" s="13"/>
      <c r="F28" s="13"/>
      <c r="G28" s="13"/>
    </row>
    <row r="29" ht="15.75" customHeight="1">
      <c r="A29" s="13"/>
      <c r="B29" s="13"/>
      <c r="C29" s="13"/>
      <c r="D29" s="13"/>
      <c r="E29" s="13"/>
      <c r="F29" s="13"/>
      <c r="G29" s="13"/>
    </row>
    <row r="30" ht="15.75" customHeight="1">
      <c r="A30" s="13"/>
      <c r="B30" s="13"/>
      <c r="C30" s="13"/>
      <c r="D30" s="13"/>
      <c r="E30" s="13"/>
      <c r="F30" s="13"/>
      <c r="G30" s="13"/>
    </row>
    <row r="31" ht="15.75" customHeight="1">
      <c r="A31" s="13"/>
      <c r="B31" s="13"/>
      <c r="C31" s="13"/>
      <c r="D31" s="13"/>
      <c r="E31" s="13"/>
      <c r="F31" s="13"/>
      <c r="G31" s="13"/>
    </row>
    <row r="32" ht="15.75" customHeight="1">
      <c r="A32" s="13"/>
      <c r="B32" s="13"/>
      <c r="C32" s="13"/>
      <c r="D32" s="13"/>
      <c r="E32" s="13"/>
      <c r="F32" s="13"/>
      <c r="G32" s="13"/>
    </row>
    <row r="33" ht="15.75" customHeight="1">
      <c r="A33" s="13"/>
      <c r="B33" s="13"/>
      <c r="C33" s="13"/>
      <c r="D33" s="13"/>
      <c r="E33" s="13"/>
      <c r="F33" s="13"/>
      <c r="G33" s="13"/>
    </row>
    <row r="34" ht="15.75" customHeight="1">
      <c r="A34" s="13"/>
      <c r="B34" s="13"/>
      <c r="C34" s="13"/>
      <c r="D34" s="13"/>
      <c r="E34" s="13"/>
      <c r="F34" s="13"/>
      <c r="G34" s="13"/>
    </row>
    <row r="35" ht="15.75" customHeight="1">
      <c r="A35" s="13"/>
      <c r="B35" s="13"/>
      <c r="C35" s="13"/>
      <c r="D35" s="13"/>
      <c r="E35" s="13"/>
      <c r="F35" s="13"/>
      <c r="G35" s="13"/>
    </row>
    <row r="36" ht="15.75" customHeight="1">
      <c r="A36" s="13"/>
      <c r="B36" s="13"/>
      <c r="C36" s="13"/>
      <c r="D36" s="13"/>
      <c r="E36" s="13"/>
      <c r="F36" s="13"/>
      <c r="G36" s="13"/>
    </row>
    <row r="37" ht="15.75" customHeight="1">
      <c r="A37" s="13"/>
      <c r="B37" s="13"/>
      <c r="C37" s="13"/>
      <c r="D37" s="13"/>
      <c r="E37" s="13"/>
      <c r="F37" s="13"/>
      <c r="G37" s="13"/>
    </row>
    <row r="38" ht="15.75" customHeight="1">
      <c r="A38" s="13"/>
      <c r="B38" s="13"/>
      <c r="C38" s="13"/>
      <c r="D38" s="13"/>
      <c r="E38" s="13"/>
      <c r="F38" s="13"/>
      <c r="G38" s="13"/>
    </row>
    <row r="39" ht="15.75" customHeight="1">
      <c r="A39" s="13"/>
      <c r="B39" s="13"/>
      <c r="C39" s="13"/>
      <c r="D39" s="13"/>
      <c r="E39" s="13"/>
      <c r="F39" s="13"/>
      <c r="G39" s="13"/>
    </row>
    <row r="40" ht="15.75" customHeight="1">
      <c r="A40" s="13"/>
      <c r="B40" s="13"/>
      <c r="C40" s="13"/>
      <c r="D40" s="13"/>
      <c r="E40" s="13"/>
      <c r="F40" s="13"/>
      <c r="G40" s="13"/>
    </row>
    <row r="41" ht="15.75" customHeight="1">
      <c r="A41" s="13"/>
      <c r="B41" s="13"/>
      <c r="C41" s="13"/>
      <c r="D41" s="13"/>
      <c r="E41" s="13"/>
      <c r="F41" s="13"/>
      <c r="G41" s="13"/>
    </row>
    <row r="42" ht="15.75" customHeight="1">
      <c r="A42" s="13"/>
      <c r="B42" s="13"/>
      <c r="C42" s="13"/>
      <c r="D42" s="13"/>
      <c r="E42" s="13"/>
      <c r="F42" s="13"/>
      <c r="G42" s="13"/>
    </row>
    <row r="43" ht="15.75" customHeight="1">
      <c r="A43" s="13"/>
      <c r="B43" s="13"/>
      <c r="C43" s="13"/>
      <c r="D43" s="13"/>
      <c r="E43" s="13"/>
      <c r="F43" s="13"/>
      <c r="G43" s="13"/>
    </row>
    <row r="44" ht="15.75" customHeight="1">
      <c r="A44" s="13"/>
      <c r="B44" s="13"/>
      <c r="C44" s="13"/>
      <c r="D44" s="13"/>
      <c r="E44" s="13"/>
      <c r="F44" s="13"/>
      <c r="G44" s="13"/>
    </row>
    <row r="45" ht="15.75" customHeight="1">
      <c r="A45" s="13"/>
      <c r="B45" s="13"/>
      <c r="C45" s="13"/>
      <c r="D45" s="13"/>
      <c r="E45" s="13"/>
      <c r="F45" s="13"/>
      <c r="G45" s="13"/>
    </row>
    <row r="46" ht="15.75" customHeight="1">
      <c r="A46" s="13"/>
      <c r="B46" s="13"/>
      <c r="C46" s="13"/>
      <c r="D46" s="13"/>
      <c r="E46" s="13"/>
      <c r="F46" s="13"/>
      <c r="G46" s="13"/>
    </row>
    <row r="47" ht="15.75" customHeight="1">
      <c r="A47" s="13"/>
      <c r="B47" s="13"/>
      <c r="C47" s="13"/>
      <c r="D47" s="13"/>
      <c r="E47" s="13"/>
      <c r="F47" s="13"/>
      <c r="G47" s="13"/>
    </row>
    <row r="48" ht="15.75" customHeight="1">
      <c r="A48" s="13"/>
      <c r="B48" s="13"/>
      <c r="C48" s="13"/>
      <c r="D48" s="13"/>
      <c r="E48" s="13"/>
      <c r="F48" s="13"/>
      <c r="G48" s="13"/>
    </row>
    <row r="49" ht="15.75" customHeight="1">
      <c r="A49" s="13"/>
      <c r="B49" s="13"/>
      <c r="C49" s="13"/>
      <c r="D49" s="13"/>
      <c r="E49" s="13"/>
      <c r="F49" s="13"/>
      <c r="G49" s="13"/>
    </row>
    <row r="50" ht="15.75" customHeight="1">
      <c r="A50" s="13"/>
      <c r="B50" s="13"/>
      <c r="C50" s="13"/>
      <c r="D50" s="13"/>
      <c r="E50" s="13"/>
      <c r="F50" s="13"/>
      <c r="G50" s="13"/>
    </row>
    <row r="51" ht="15.75" customHeight="1">
      <c r="A51" s="13"/>
      <c r="B51" s="13"/>
      <c r="C51" s="13"/>
      <c r="D51" s="13"/>
      <c r="E51" s="13"/>
      <c r="F51" s="13"/>
      <c r="G51" s="13"/>
    </row>
    <row r="52" ht="15.75" customHeight="1">
      <c r="A52" s="13"/>
      <c r="B52" s="13"/>
      <c r="C52" s="13"/>
      <c r="D52" s="13"/>
      <c r="E52" s="13"/>
      <c r="F52" s="13"/>
      <c r="G52" s="13"/>
    </row>
    <row r="53" ht="15.75" customHeight="1">
      <c r="A53" s="13"/>
      <c r="B53" s="13"/>
      <c r="C53" s="13"/>
      <c r="D53" s="13"/>
      <c r="E53" s="13"/>
      <c r="F53" s="13"/>
      <c r="G53" s="13"/>
    </row>
    <row r="54" ht="15.75" customHeight="1">
      <c r="A54" s="13"/>
      <c r="B54" s="13"/>
      <c r="C54" s="13"/>
      <c r="D54" s="13"/>
      <c r="E54" s="13"/>
      <c r="F54" s="13"/>
      <c r="G54" s="13"/>
    </row>
    <row r="55" ht="15.75" customHeight="1">
      <c r="A55" s="13"/>
      <c r="B55" s="13"/>
      <c r="C55" s="13"/>
      <c r="D55" s="13"/>
      <c r="E55" s="13"/>
      <c r="F55" s="13"/>
      <c r="G55" s="13"/>
    </row>
    <row r="56" ht="15.75" customHeight="1">
      <c r="A56" s="13"/>
      <c r="B56" s="13"/>
      <c r="C56" s="13"/>
      <c r="D56" s="13"/>
      <c r="E56" s="13"/>
      <c r="F56" s="13"/>
      <c r="G56" s="13"/>
    </row>
    <row r="57" ht="15.75" customHeight="1">
      <c r="A57" s="13"/>
      <c r="B57" s="13"/>
      <c r="C57" s="13"/>
      <c r="D57" s="13"/>
      <c r="E57" s="13"/>
      <c r="F57" s="13"/>
      <c r="G57" s="13"/>
    </row>
    <row r="58" ht="15.75" customHeight="1">
      <c r="A58" s="13"/>
      <c r="B58" s="13"/>
      <c r="C58" s="13"/>
      <c r="D58" s="13"/>
      <c r="E58" s="13"/>
      <c r="F58" s="13"/>
      <c r="G58" s="13"/>
    </row>
    <row r="59" ht="15.75" customHeight="1">
      <c r="A59" s="13"/>
      <c r="B59" s="13"/>
      <c r="C59" s="13"/>
      <c r="D59" s="13"/>
      <c r="E59" s="13"/>
      <c r="F59" s="13"/>
      <c r="G59" s="13"/>
    </row>
    <row r="60" ht="15.75" customHeight="1">
      <c r="A60" s="13"/>
      <c r="B60" s="13"/>
      <c r="C60" s="13"/>
      <c r="D60" s="13"/>
      <c r="E60" s="13"/>
      <c r="F60" s="13"/>
      <c r="G60" s="13"/>
    </row>
    <row r="61" ht="15.75" customHeight="1">
      <c r="A61" s="13"/>
      <c r="B61" s="13"/>
      <c r="C61" s="13"/>
      <c r="D61" s="13"/>
      <c r="E61" s="13"/>
      <c r="F61" s="13"/>
      <c r="G61" s="13"/>
    </row>
    <row r="62" ht="15.75" customHeight="1">
      <c r="A62" s="13"/>
      <c r="B62" s="13"/>
      <c r="C62" s="13"/>
      <c r="D62" s="13"/>
      <c r="E62" s="13"/>
      <c r="F62" s="13"/>
      <c r="G62" s="13"/>
    </row>
    <row r="63" ht="15.75" customHeight="1">
      <c r="A63" s="13"/>
      <c r="B63" s="13"/>
      <c r="C63" s="13"/>
      <c r="D63" s="13"/>
      <c r="E63" s="13"/>
      <c r="F63" s="13"/>
      <c r="G63" s="13"/>
    </row>
    <row r="64" ht="15.75" customHeight="1">
      <c r="A64" s="13"/>
      <c r="B64" s="13"/>
      <c r="C64" s="13"/>
      <c r="D64" s="13"/>
      <c r="E64" s="13"/>
      <c r="F64" s="13"/>
      <c r="G64" s="13"/>
    </row>
    <row r="65" ht="15.75" customHeight="1">
      <c r="A65" s="13"/>
      <c r="B65" s="13"/>
      <c r="C65" s="13"/>
      <c r="D65" s="13"/>
      <c r="E65" s="13"/>
      <c r="F65" s="13"/>
      <c r="G65" s="13"/>
    </row>
    <row r="66" ht="15.75" customHeight="1">
      <c r="A66" s="13"/>
      <c r="B66" s="13"/>
      <c r="C66" s="13"/>
      <c r="D66" s="13"/>
      <c r="E66" s="13"/>
      <c r="F66" s="13"/>
      <c r="G66" s="13"/>
    </row>
    <row r="67" ht="15.75" customHeight="1">
      <c r="A67" s="13"/>
      <c r="B67" s="13"/>
      <c r="C67" s="13"/>
      <c r="D67" s="13"/>
      <c r="E67" s="13"/>
      <c r="F67" s="13"/>
      <c r="G67" s="13"/>
    </row>
    <row r="68" ht="15.75" customHeight="1">
      <c r="A68" s="13"/>
      <c r="B68" s="13"/>
      <c r="C68" s="13"/>
      <c r="D68" s="13"/>
      <c r="E68" s="13"/>
      <c r="F68" s="13"/>
      <c r="G68" s="13"/>
    </row>
    <row r="69" ht="15.75" customHeight="1">
      <c r="A69" s="13"/>
      <c r="B69" s="13"/>
      <c r="C69" s="13"/>
      <c r="D69" s="13"/>
      <c r="E69" s="13"/>
      <c r="F69" s="13"/>
      <c r="G69" s="13"/>
    </row>
    <row r="70" ht="15.75" customHeight="1">
      <c r="A70" s="13"/>
      <c r="B70" s="13"/>
      <c r="C70" s="13"/>
      <c r="D70" s="13"/>
      <c r="E70" s="13"/>
      <c r="F70" s="13"/>
      <c r="G70" s="13"/>
    </row>
    <row r="71" ht="15.75" customHeight="1">
      <c r="A71" s="13"/>
      <c r="B71" s="13"/>
      <c r="C71" s="13"/>
      <c r="D71" s="13"/>
      <c r="E71" s="13"/>
      <c r="F71" s="13"/>
      <c r="G71" s="13"/>
    </row>
    <row r="72" ht="15.75" customHeight="1">
      <c r="A72" s="13"/>
      <c r="B72" s="13"/>
      <c r="C72" s="13"/>
      <c r="D72" s="13"/>
      <c r="E72" s="13"/>
      <c r="F72" s="13"/>
      <c r="G72" s="13"/>
    </row>
    <row r="73" ht="15.75" customHeight="1">
      <c r="A73" s="13"/>
      <c r="B73" s="13"/>
      <c r="C73" s="13"/>
      <c r="D73" s="13"/>
      <c r="E73" s="13"/>
      <c r="F73" s="13"/>
      <c r="G73" s="13"/>
    </row>
    <row r="74" ht="15.75" customHeight="1">
      <c r="A74" s="13"/>
      <c r="B74" s="13"/>
      <c r="C74" s="13"/>
      <c r="D74" s="13"/>
      <c r="E74" s="13"/>
      <c r="F74" s="13"/>
      <c r="G74" s="13"/>
    </row>
    <row r="75" ht="15.75" customHeight="1">
      <c r="A75" s="13"/>
      <c r="B75" s="13"/>
      <c r="C75" s="13"/>
      <c r="D75" s="13"/>
      <c r="E75" s="13"/>
      <c r="F75" s="13"/>
      <c r="G75" s="13"/>
    </row>
    <row r="76" ht="15.75" customHeight="1">
      <c r="A76" s="13"/>
      <c r="B76" s="13"/>
      <c r="C76" s="13"/>
      <c r="D76" s="13"/>
      <c r="E76" s="13"/>
      <c r="F76" s="13"/>
      <c r="G76" s="13"/>
    </row>
    <row r="77" ht="15.75" customHeight="1">
      <c r="A77" s="13"/>
      <c r="B77" s="13"/>
      <c r="C77" s="13"/>
      <c r="D77" s="13"/>
      <c r="E77" s="13"/>
      <c r="F77" s="13"/>
      <c r="G77" s="13"/>
    </row>
    <row r="78" ht="15.75" customHeight="1">
      <c r="A78" s="13"/>
      <c r="B78" s="13"/>
      <c r="C78" s="13"/>
      <c r="D78" s="13"/>
      <c r="E78" s="13"/>
      <c r="F78" s="13"/>
      <c r="G78" s="13"/>
    </row>
    <row r="79" ht="15.75" customHeight="1">
      <c r="A79" s="13"/>
      <c r="B79" s="13"/>
      <c r="C79" s="13"/>
      <c r="D79" s="13"/>
      <c r="E79" s="13"/>
      <c r="F79" s="13"/>
      <c r="G79" s="13"/>
    </row>
    <row r="80" ht="15.75" customHeight="1">
      <c r="A80" s="13"/>
      <c r="B80" s="13"/>
      <c r="C80" s="13"/>
      <c r="D80" s="13"/>
      <c r="E80" s="13"/>
      <c r="F80" s="13"/>
      <c r="G80" s="13"/>
    </row>
    <row r="81" ht="15.75" customHeight="1">
      <c r="A81" s="13"/>
      <c r="B81" s="13"/>
      <c r="C81" s="13"/>
      <c r="D81" s="13"/>
      <c r="E81" s="13"/>
      <c r="F81" s="13"/>
      <c r="G81" s="13"/>
    </row>
    <row r="82" ht="15.75" customHeight="1">
      <c r="A82" s="13"/>
      <c r="B82" s="13"/>
      <c r="C82" s="13"/>
      <c r="D82" s="13"/>
      <c r="E82" s="13"/>
      <c r="F82" s="13"/>
      <c r="G82" s="13"/>
    </row>
    <row r="83" ht="15.75" customHeight="1">
      <c r="A83" s="13"/>
      <c r="B83" s="13"/>
      <c r="C83" s="13"/>
      <c r="D83" s="13"/>
      <c r="E83" s="13"/>
      <c r="F83" s="13"/>
      <c r="G83" s="13"/>
    </row>
    <row r="84" ht="15.75" customHeight="1">
      <c r="A84" s="13"/>
      <c r="B84" s="13"/>
      <c r="C84" s="13"/>
      <c r="D84" s="13"/>
      <c r="E84" s="13"/>
      <c r="F84" s="13"/>
      <c r="G84" s="13"/>
    </row>
    <row r="85" ht="15.75" customHeight="1">
      <c r="A85" s="13"/>
      <c r="B85" s="13"/>
      <c r="C85" s="13"/>
      <c r="D85" s="13"/>
      <c r="E85" s="13"/>
      <c r="F85" s="13"/>
      <c r="G85" s="13"/>
    </row>
    <row r="86" ht="15.75" customHeight="1">
      <c r="A86" s="13"/>
      <c r="B86" s="13"/>
      <c r="C86" s="13"/>
      <c r="D86" s="13"/>
      <c r="E86" s="13"/>
      <c r="F86" s="13"/>
      <c r="G86" s="13"/>
    </row>
    <row r="87" ht="15.75" customHeight="1">
      <c r="A87" s="13"/>
      <c r="B87" s="13"/>
      <c r="C87" s="13"/>
      <c r="D87" s="13"/>
      <c r="E87" s="13"/>
      <c r="F87" s="13"/>
      <c r="G87" s="13"/>
    </row>
    <row r="88" ht="15.75" customHeight="1">
      <c r="A88" s="13"/>
      <c r="B88" s="13"/>
      <c r="C88" s="13"/>
      <c r="D88" s="13"/>
      <c r="E88" s="13"/>
      <c r="F88" s="13"/>
      <c r="G88" s="13"/>
    </row>
    <row r="89" ht="15.75" customHeight="1">
      <c r="A89" s="13"/>
      <c r="B89" s="13"/>
      <c r="C89" s="13"/>
      <c r="D89" s="13"/>
      <c r="E89" s="13"/>
      <c r="F89" s="13"/>
      <c r="G89" s="13"/>
    </row>
    <row r="90" ht="15.75" customHeight="1">
      <c r="A90" s="13"/>
      <c r="B90" s="13"/>
      <c r="C90" s="13"/>
      <c r="D90" s="13"/>
      <c r="E90" s="13"/>
      <c r="F90" s="13"/>
      <c r="G90" s="13"/>
    </row>
    <row r="91" ht="15.75" customHeight="1">
      <c r="A91" s="13"/>
      <c r="B91" s="13"/>
      <c r="C91" s="13"/>
      <c r="D91" s="13"/>
      <c r="E91" s="13"/>
      <c r="F91" s="13"/>
      <c r="G91" s="13"/>
    </row>
    <row r="92" ht="15.75" customHeight="1">
      <c r="A92" s="13"/>
      <c r="B92" s="13"/>
      <c r="C92" s="13"/>
      <c r="D92" s="13"/>
      <c r="E92" s="13"/>
      <c r="F92" s="13"/>
      <c r="G92" s="13"/>
    </row>
    <row r="93" ht="15.75" customHeight="1">
      <c r="A93" s="13"/>
      <c r="B93" s="13"/>
      <c r="C93" s="13"/>
      <c r="D93" s="13"/>
      <c r="E93" s="13"/>
      <c r="F93" s="13"/>
      <c r="G93" s="13"/>
    </row>
    <row r="94" ht="15.75" customHeight="1">
      <c r="A94" s="13"/>
      <c r="B94" s="13"/>
      <c r="C94" s="13"/>
      <c r="D94" s="13"/>
      <c r="E94" s="13"/>
      <c r="F94" s="13"/>
      <c r="G94" s="13"/>
    </row>
    <row r="95" ht="15.75" customHeight="1">
      <c r="A95" s="13"/>
      <c r="B95" s="13"/>
      <c r="C95" s="13"/>
      <c r="D95" s="13"/>
      <c r="E95" s="13"/>
      <c r="F95" s="13"/>
      <c r="G95" s="13"/>
    </row>
    <row r="96" ht="15.75" customHeight="1">
      <c r="A96" s="13"/>
      <c r="B96" s="13"/>
      <c r="C96" s="13"/>
      <c r="D96" s="13"/>
      <c r="E96" s="13"/>
      <c r="F96" s="13"/>
      <c r="G96" s="13"/>
    </row>
    <row r="97" ht="15.75" customHeight="1">
      <c r="A97" s="13"/>
      <c r="B97" s="13"/>
      <c r="C97" s="13"/>
      <c r="D97" s="13"/>
      <c r="E97" s="13"/>
      <c r="F97" s="13"/>
      <c r="G97" s="13"/>
    </row>
    <row r="98" ht="15.75" customHeight="1">
      <c r="A98" s="13"/>
      <c r="B98" s="13"/>
      <c r="C98" s="13"/>
      <c r="D98" s="13"/>
      <c r="E98" s="13"/>
      <c r="F98" s="13"/>
      <c r="G98" s="13"/>
    </row>
    <row r="99" ht="15.75" customHeight="1">
      <c r="A99" s="13"/>
      <c r="B99" s="13"/>
      <c r="C99" s="13"/>
      <c r="D99" s="13"/>
      <c r="E99" s="13"/>
      <c r="F99" s="13"/>
      <c r="G99" s="13"/>
    </row>
    <row r="100" ht="15.75" customHeight="1">
      <c r="A100" s="13"/>
      <c r="B100" s="13"/>
      <c r="C100" s="13"/>
      <c r="D100" s="13"/>
      <c r="E100" s="13"/>
      <c r="F100" s="13"/>
      <c r="G100" s="13"/>
    </row>
    <row r="101" ht="15.75" customHeight="1">
      <c r="A101" s="13"/>
      <c r="B101" s="13"/>
      <c r="C101" s="13"/>
      <c r="D101" s="13"/>
      <c r="E101" s="13"/>
      <c r="F101" s="13"/>
      <c r="G101" s="13"/>
    </row>
    <row r="102" ht="15.75" customHeight="1">
      <c r="A102" s="13"/>
      <c r="B102" s="13"/>
      <c r="C102" s="13"/>
      <c r="D102" s="13"/>
      <c r="E102" s="13"/>
      <c r="F102" s="13"/>
      <c r="G102" s="13"/>
    </row>
    <row r="103" ht="15.75" customHeight="1">
      <c r="A103" s="13"/>
      <c r="B103" s="13"/>
      <c r="C103" s="13"/>
      <c r="D103" s="13"/>
      <c r="E103" s="13"/>
      <c r="F103" s="13"/>
      <c r="G103" s="13"/>
    </row>
    <row r="104" ht="15.75" customHeight="1">
      <c r="A104" s="13"/>
      <c r="B104" s="13"/>
      <c r="C104" s="13"/>
      <c r="D104" s="13"/>
      <c r="E104" s="13"/>
      <c r="F104" s="13"/>
      <c r="G104" s="13"/>
    </row>
    <row r="105" ht="15.75" customHeight="1">
      <c r="A105" s="13"/>
      <c r="B105" s="13"/>
      <c r="C105" s="13"/>
      <c r="D105" s="13"/>
      <c r="E105" s="13"/>
      <c r="F105" s="13"/>
      <c r="G105" s="13"/>
    </row>
    <row r="106" ht="15.75" customHeight="1">
      <c r="A106" s="13"/>
      <c r="B106" s="13"/>
      <c r="C106" s="13"/>
      <c r="D106" s="13"/>
      <c r="E106" s="13"/>
      <c r="F106" s="13"/>
      <c r="G106" s="13"/>
    </row>
    <row r="107" ht="15.75" customHeight="1">
      <c r="A107" s="13"/>
      <c r="B107" s="13"/>
      <c r="C107" s="13"/>
      <c r="D107" s="13"/>
      <c r="E107" s="13"/>
      <c r="F107" s="13"/>
      <c r="G107" s="13"/>
    </row>
    <row r="108" ht="15.75" customHeight="1">
      <c r="A108" s="13"/>
      <c r="B108" s="13"/>
      <c r="C108" s="13"/>
      <c r="D108" s="13"/>
      <c r="E108" s="13"/>
      <c r="F108" s="13"/>
      <c r="G108" s="13"/>
    </row>
    <row r="109" ht="15.75" customHeight="1">
      <c r="A109" s="13"/>
      <c r="B109" s="13"/>
      <c r="C109" s="13"/>
      <c r="D109" s="13"/>
      <c r="E109" s="13"/>
      <c r="F109" s="13"/>
      <c r="G109" s="13"/>
    </row>
    <row r="110" ht="15.75" customHeight="1">
      <c r="A110" s="13"/>
      <c r="B110" s="13"/>
      <c r="C110" s="13"/>
      <c r="D110" s="13"/>
      <c r="E110" s="13"/>
      <c r="F110" s="13"/>
      <c r="G110" s="13"/>
    </row>
    <row r="111" ht="15.75" customHeight="1">
      <c r="A111" s="13"/>
      <c r="B111" s="13"/>
      <c r="C111" s="13"/>
      <c r="D111" s="13"/>
      <c r="E111" s="13"/>
      <c r="F111" s="13"/>
      <c r="G111" s="13"/>
    </row>
    <row r="112" ht="15.75" customHeight="1">
      <c r="A112" s="13"/>
      <c r="B112" s="13"/>
      <c r="C112" s="13"/>
      <c r="D112" s="13"/>
      <c r="E112" s="13"/>
      <c r="F112" s="13"/>
      <c r="G112" s="13"/>
    </row>
    <row r="113" ht="15.75" customHeight="1">
      <c r="A113" s="13"/>
      <c r="B113" s="13"/>
      <c r="C113" s="13"/>
      <c r="D113" s="13"/>
      <c r="E113" s="13"/>
      <c r="F113" s="13"/>
      <c r="G113" s="13"/>
    </row>
    <row r="114" ht="15.75" customHeight="1">
      <c r="A114" s="13"/>
      <c r="B114" s="13"/>
      <c r="C114" s="13"/>
      <c r="D114" s="13"/>
      <c r="E114" s="13"/>
      <c r="F114" s="13"/>
      <c r="G114" s="13"/>
    </row>
    <row r="115" ht="15.75" customHeight="1">
      <c r="A115" s="13"/>
      <c r="B115" s="13"/>
      <c r="C115" s="13"/>
      <c r="D115" s="13"/>
      <c r="E115" s="13"/>
      <c r="F115" s="13"/>
      <c r="G115" s="13"/>
    </row>
    <row r="116" ht="15.75" customHeight="1">
      <c r="A116" s="13"/>
      <c r="B116" s="13"/>
      <c r="C116" s="13"/>
      <c r="D116" s="13"/>
      <c r="E116" s="13"/>
      <c r="F116" s="13"/>
      <c r="G116" s="13"/>
    </row>
    <row r="117" ht="15.75" customHeight="1">
      <c r="A117" s="13"/>
      <c r="B117" s="13"/>
      <c r="C117" s="13"/>
      <c r="D117" s="13"/>
      <c r="E117" s="13"/>
      <c r="F117" s="13"/>
      <c r="G117" s="13"/>
    </row>
    <row r="118" ht="15.75" customHeight="1">
      <c r="A118" s="13"/>
      <c r="B118" s="13"/>
      <c r="C118" s="13"/>
      <c r="D118" s="13"/>
      <c r="E118" s="13"/>
      <c r="F118" s="13"/>
      <c r="G118" s="13"/>
    </row>
    <row r="119" ht="15.75" customHeight="1">
      <c r="A119" s="13"/>
      <c r="B119" s="13"/>
      <c r="C119" s="13"/>
      <c r="D119" s="13"/>
      <c r="E119" s="13"/>
      <c r="F119" s="13"/>
      <c r="G119" s="13"/>
    </row>
    <row r="120" ht="15.75" customHeight="1">
      <c r="A120" s="13"/>
      <c r="B120" s="13"/>
      <c r="C120" s="13"/>
      <c r="D120" s="13"/>
      <c r="E120" s="13"/>
      <c r="F120" s="13"/>
      <c r="G120" s="13"/>
    </row>
    <row r="121" ht="15.75" customHeight="1">
      <c r="A121" s="13"/>
      <c r="B121" s="13"/>
      <c r="C121" s="13"/>
      <c r="D121" s="13"/>
      <c r="E121" s="13"/>
      <c r="F121" s="13"/>
      <c r="G121" s="13"/>
    </row>
    <row r="122" ht="15.75" customHeight="1">
      <c r="A122" s="13"/>
      <c r="B122" s="13"/>
      <c r="C122" s="13"/>
      <c r="D122" s="13"/>
      <c r="E122" s="13"/>
      <c r="F122" s="13"/>
      <c r="G122" s="13"/>
    </row>
    <row r="123" ht="15.75" customHeight="1">
      <c r="A123" s="13"/>
      <c r="B123" s="13"/>
      <c r="C123" s="13"/>
      <c r="D123" s="13"/>
      <c r="E123" s="13"/>
      <c r="F123" s="13"/>
      <c r="G123" s="13"/>
    </row>
    <row r="124" ht="15.75" customHeight="1">
      <c r="A124" s="13"/>
      <c r="B124" s="13"/>
      <c r="C124" s="13"/>
      <c r="D124" s="13"/>
      <c r="E124" s="13"/>
      <c r="F124" s="13"/>
      <c r="G124" s="13"/>
    </row>
    <row r="125" ht="15.75" customHeight="1">
      <c r="A125" s="13"/>
      <c r="B125" s="13"/>
      <c r="C125" s="13"/>
      <c r="D125" s="13"/>
      <c r="E125" s="13"/>
      <c r="F125" s="13"/>
      <c r="G125" s="13"/>
    </row>
    <row r="126" ht="15.75" customHeight="1">
      <c r="A126" s="13"/>
      <c r="B126" s="13"/>
      <c r="C126" s="13"/>
      <c r="D126" s="13"/>
      <c r="E126" s="13"/>
      <c r="F126" s="13"/>
      <c r="G126" s="13"/>
    </row>
    <row r="127" ht="15.75" customHeight="1">
      <c r="A127" s="13"/>
      <c r="B127" s="13"/>
      <c r="C127" s="13"/>
      <c r="D127" s="13"/>
      <c r="E127" s="13"/>
      <c r="F127" s="13"/>
      <c r="G127" s="13"/>
    </row>
    <row r="128" ht="15.75" customHeight="1">
      <c r="A128" s="13"/>
      <c r="B128" s="13"/>
      <c r="C128" s="13"/>
      <c r="D128" s="13"/>
      <c r="E128" s="13"/>
      <c r="F128" s="13"/>
      <c r="G128" s="13"/>
    </row>
    <row r="129" ht="15.75" customHeight="1">
      <c r="A129" s="13"/>
      <c r="B129" s="13"/>
      <c r="C129" s="13"/>
      <c r="D129" s="13"/>
      <c r="E129" s="13"/>
      <c r="F129" s="13"/>
      <c r="G129" s="13"/>
    </row>
    <row r="130" ht="15.75" customHeight="1">
      <c r="A130" s="13"/>
      <c r="B130" s="13"/>
      <c r="C130" s="13"/>
      <c r="D130" s="13"/>
      <c r="E130" s="13"/>
      <c r="F130" s="13"/>
      <c r="G130" s="13"/>
    </row>
    <row r="131" ht="15.75" customHeight="1">
      <c r="A131" s="13"/>
      <c r="B131" s="13"/>
      <c r="C131" s="13"/>
      <c r="D131" s="13"/>
      <c r="E131" s="13"/>
      <c r="F131" s="13"/>
      <c r="G131" s="13"/>
    </row>
    <row r="132" ht="15.75" customHeight="1">
      <c r="A132" s="13"/>
      <c r="B132" s="13"/>
      <c r="C132" s="13"/>
      <c r="D132" s="13"/>
      <c r="E132" s="13"/>
      <c r="F132" s="13"/>
      <c r="G132" s="13"/>
    </row>
    <row r="133" ht="15.75" customHeight="1">
      <c r="A133" s="13"/>
      <c r="B133" s="13"/>
      <c r="C133" s="13"/>
      <c r="D133" s="13"/>
      <c r="E133" s="13"/>
      <c r="F133" s="13"/>
      <c r="G133" s="13"/>
    </row>
    <row r="134" ht="15.75" customHeight="1">
      <c r="A134" s="13"/>
      <c r="B134" s="13"/>
      <c r="C134" s="13"/>
      <c r="D134" s="13"/>
      <c r="E134" s="13"/>
      <c r="F134" s="13"/>
      <c r="G134" s="13"/>
    </row>
    <row r="135" ht="15.75" customHeight="1">
      <c r="A135" s="13"/>
      <c r="B135" s="13"/>
      <c r="C135" s="13"/>
      <c r="D135" s="13"/>
      <c r="E135" s="13"/>
      <c r="F135" s="13"/>
      <c r="G135" s="13"/>
    </row>
    <row r="136" ht="15.75" customHeight="1">
      <c r="A136" s="13"/>
      <c r="B136" s="13"/>
      <c r="C136" s="13"/>
      <c r="D136" s="13"/>
      <c r="E136" s="13"/>
      <c r="F136" s="13"/>
      <c r="G136" s="13"/>
    </row>
    <row r="137" ht="15.75" customHeight="1">
      <c r="A137" s="13"/>
      <c r="B137" s="13"/>
      <c r="C137" s="13"/>
      <c r="D137" s="13"/>
      <c r="E137" s="13"/>
      <c r="F137" s="13"/>
      <c r="G137" s="13"/>
    </row>
    <row r="138" ht="15.75" customHeight="1">
      <c r="A138" s="13"/>
      <c r="B138" s="13"/>
      <c r="C138" s="13"/>
      <c r="D138" s="13"/>
      <c r="E138" s="13"/>
      <c r="F138" s="13"/>
      <c r="G138" s="13"/>
    </row>
    <row r="139" ht="15.75" customHeight="1">
      <c r="A139" s="13"/>
      <c r="B139" s="13"/>
      <c r="C139" s="13"/>
      <c r="D139" s="13"/>
      <c r="E139" s="13"/>
      <c r="F139" s="13"/>
      <c r="G139" s="13"/>
    </row>
    <row r="140" ht="15.75" customHeight="1">
      <c r="A140" s="13"/>
      <c r="B140" s="13"/>
      <c r="C140" s="13"/>
      <c r="D140" s="13"/>
      <c r="E140" s="13"/>
      <c r="F140" s="13"/>
      <c r="G140" s="13"/>
    </row>
    <row r="141" ht="15.75" customHeight="1">
      <c r="A141" s="13"/>
      <c r="B141" s="13"/>
      <c r="C141" s="13"/>
      <c r="D141" s="13"/>
      <c r="E141" s="13"/>
      <c r="F141" s="13"/>
      <c r="G141" s="13"/>
    </row>
    <row r="142" ht="15.75" customHeight="1">
      <c r="A142" s="13"/>
      <c r="B142" s="13"/>
      <c r="C142" s="13"/>
      <c r="D142" s="13"/>
      <c r="E142" s="13"/>
      <c r="F142" s="13"/>
      <c r="G142" s="13"/>
    </row>
    <row r="143" ht="15.75" customHeight="1">
      <c r="A143" s="13"/>
      <c r="B143" s="13"/>
      <c r="C143" s="13"/>
      <c r="D143" s="13"/>
      <c r="E143" s="13"/>
      <c r="F143" s="13"/>
      <c r="G143" s="13"/>
    </row>
    <row r="144" ht="15.75" customHeight="1">
      <c r="A144" s="13"/>
      <c r="B144" s="13"/>
      <c r="C144" s="13"/>
      <c r="D144" s="13"/>
      <c r="E144" s="13"/>
      <c r="F144" s="13"/>
      <c r="G144" s="13"/>
    </row>
    <row r="145" ht="15.75" customHeight="1">
      <c r="A145" s="13"/>
      <c r="B145" s="13"/>
      <c r="C145" s="13"/>
      <c r="D145" s="13"/>
      <c r="E145" s="13"/>
      <c r="F145" s="13"/>
      <c r="G145" s="13"/>
    </row>
    <row r="146" ht="15.75" customHeight="1">
      <c r="A146" s="13"/>
      <c r="B146" s="13"/>
      <c r="C146" s="13"/>
      <c r="D146" s="13"/>
      <c r="E146" s="13"/>
      <c r="F146" s="13"/>
      <c r="G146" s="13"/>
    </row>
    <row r="147" ht="15.75" customHeight="1">
      <c r="A147" s="13"/>
      <c r="B147" s="13"/>
      <c r="C147" s="13"/>
      <c r="D147" s="13"/>
      <c r="E147" s="13"/>
      <c r="F147" s="13"/>
      <c r="G147" s="13"/>
    </row>
    <row r="148" ht="15.75" customHeight="1">
      <c r="A148" s="13"/>
      <c r="B148" s="13"/>
      <c r="C148" s="13"/>
      <c r="D148" s="13"/>
      <c r="E148" s="13"/>
      <c r="F148" s="13"/>
      <c r="G148" s="13"/>
    </row>
    <row r="149" ht="15.75" customHeight="1">
      <c r="A149" s="13"/>
      <c r="B149" s="13"/>
      <c r="C149" s="13"/>
      <c r="D149" s="13"/>
      <c r="E149" s="13"/>
      <c r="F149" s="13"/>
      <c r="G149" s="13"/>
    </row>
    <row r="150" ht="15.75" customHeight="1">
      <c r="A150" s="13"/>
      <c r="B150" s="13"/>
      <c r="C150" s="13"/>
      <c r="D150" s="13"/>
      <c r="E150" s="13"/>
      <c r="F150" s="13"/>
      <c r="G150" s="13"/>
    </row>
    <row r="151" ht="15.75" customHeight="1">
      <c r="A151" s="13"/>
      <c r="B151" s="13"/>
      <c r="C151" s="13"/>
      <c r="D151" s="13"/>
      <c r="E151" s="13"/>
      <c r="F151" s="13"/>
      <c r="G151" s="13"/>
    </row>
    <row r="152" ht="15.75" customHeight="1">
      <c r="A152" s="13"/>
      <c r="B152" s="13"/>
      <c r="C152" s="13"/>
      <c r="D152" s="13"/>
      <c r="E152" s="13"/>
      <c r="F152" s="13"/>
      <c r="G152" s="13"/>
    </row>
    <row r="153" ht="15.75" customHeight="1">
      <c r="A153" s="13"/>
      <c r="B153" s="13"/>
      <c r="C153" s="13"/>
      <c r="D153" s="13"/>
      <c r="E153" s="13"/>
      <c r="F153" s="13"/>
      <c r="G153" s="13"/>
    </row>
    <row r="154" ht="15.75" customHeight="1">
      <c r="A154" s="13"/>
      <c r="B154" s="13"/>
      <c r="C154" s="13"/>
      <c r="D154" s="13"/>
      <c r="E154" s="13"/>
      <c r="F154" s="13"/>
      <c r="G154" s="13"/>
    </row>
    <row r="155" ht="15.75" customHeight="1">
      <c r="A155" s="13"/>
      <c r="B155" s="13"/>
      <c r="C155" s="13"/>
      <c r="D155" s="13"/>
      <c r="E155" s="13"/>
      <c r="F155" s="13"/>
      <c r="G155" s="13"/>
    </row>
    <row r="156" ht="15.75" customHeight="1">
      <c r="A156" s="13"/>
      <c r="B156" s="13"/>
      <c r="C156" s="13"/>
      <c r="D156" s="13"/>
      <c r="E156" s="13"/>
      <c r="F156" s="13"/>
      <c r="G156" s="13"/>
    </row>
    <row r="157" ht="15.75" customHeight="1">
      <c r="A157" s="13"/>
      <c r="B157" s="13"/>
      <c r="C157" s="13"/>
      <c r="D157" s="13"/>
      <c r="E157" s="13"/>
      <c r="F157" s="13"/>
      <c r="G157" s="13"/>
    </row>
    <row r="158" ht="15.75" customHeight="1">
      <c r="A158" s="13"/>
      <c r="B158" s="13"/>
      <c r="C158" s="13"/>
      <c r="D158" s="13"/>
      <c r="E158" s="13"/>
      <c r="F158" s="13"/>
      <c r="G158" s="13"/>
    </row>
    <row r="159" ht="15.75" customHeight="1">
      <c r="A159" s="13"/>
      <c r="B159" s="13"/>
      <c r="C159" s="13"/>
      <c r="D159" s="13"/>
      <c r="E159" s="13"/>
      <c r="F159" s="13"/>
      <c r="G159" s="13"/>
    </row>
    <row r="160" ht="15.75" customHeight="1">
      <c r="A160" s="13"/>
      <c r="B160" s="13"/>
      <c r="C160" s="13"/>
      <c r="D160" s="13"/>
      <c r="E160" s="13"/>
      <c r="F160" s="13"/>
      <c r="G160" s="13"/>
    </row>
    <row r="161" ht="15.75" customHeight="1">
      <c r="A161" s="13"/>
      <c r="B161" s="13"/>
      <c r="C161" s="13"/>
      <c r="D161" s="13"/>
      <c r="E161" s="13"/>
      <c r="F161" s="13"/>
      <c r="G161" s="13"/>
    </row>
    <row r="162" ht="15.75" customHeight="1">
      <c r="A162" s="13"/>
      <c r="B162" s="13"/>
      <c r="C162" s="13"/>
      <c r="D162" s="13"/>
      <c r="E162" s="13"/>
      <c r="F162" s="13"/>
      <c r="G162" s="13"/>
    </row>
    <row r="163" ht="15.75" customHeight="1">
      <c r="A163" s="13"/>
      <c r="B163" s="13"/>
      <c r="C163" s="13"/>
      <c r="D163" s="13"/>
      <c r="E163" s="13"/>
      <c r="F163" s="13"/>
      <c r="G163" s="13"/>
    </row>
    <row r="164" ht="15.75" customHeight="1">
      <c r="A164" s="13"/>
      <c r="B164" s="13"/>
      <c r="C164" s="13"/>
      <c r="D164" s="13"/>
      <c r="E164" s="13"/>
      <c r="F164" s="13"/>
      <c r="G164" s="13"/>
    </row>
    <row r="165" ht="15.75" customHeight="1">
      <c r="A165" s="13"/>
      <c r="B165" s="13"/>
      <c r="C165" s="13"/>
      <c r="D165" s="13"/>
      <c r="E165" s="13"/>
      <c r="F165" s="13"/>
      <c r="G165" s="13"/>
    </row>
    <row r="166" ht="15.75" customHeight="1">
      <c r="A166" s="13"/>
      <c r="B166" s="13"/>
      <c r="C166" s="13"/>
      <c r="D166" s="13"/>
      <c r="E166" s="13"/>
      <c r="F166" s="13"/>
      <c r="G166" s="13"/>
    </row>
    <row r="167" ht="15.75" customHeight="1">
      <c r="A167" s="13"/>
      <c r="B167" s="13"/>
      <c r="C167" s="13"/>
      <c r="D167" s="13"/>
      <c r="E167" s="13"/>
      <c r="F167" s="13"/>
      <c r="G167" s="13"/>
    </row>
    <row r="168" ht="15.75" customHeight="1">
      <c r="A168" s="13"/>
      <c r="B168" s="13"/>
      <c r="C168" s="13"/>
      <c r="D168" s="13"/>
      <c r="E168" s="13"/>
      <c r="F168" s="13"/>
      <c r="G168" s="13"/>
    </row>
    <row r="169" ht="15.75" customHeight="1">
      <c r="A169" s="13"/>
      <c r="B169" s="13"/>
      <c r="C169" s="13"/>
      <c r="D169" s="13"/>
      <c r="E169" s="13"/>
      <c r="F169" s="13"/>
      <c r="G169" s="13"/>
    </row>
    <row r="170" ht="15.75" customHeight="1">
      <c r="A170" s="13"/>
      <c r="B170" s="13"/>
      <c r="C170" s="13"/>
      <c r="D170" s="13"/>
      <c r="E170" s="13"/>
      <c r="F170" s="13"/>
      <c r="G170" s="13"/>
    </row>
    <row r="171" ht="15.75" customHeight="1">
      <c r="A171" s="13"/>
      <c r="B171" s="13"/>
      <c r="C171" s="13"/>
      <c r="D171" s="13"/>
      <c r="E171" s="13"/>
      <c r="F171" s="13"/>
      <c r="G171" s="13"/>
    </row>
    <row r="172" ht="15.75" customHeight="1">
      <c r="A172" s="13"/>
      <c r="B172" s="13"/>
      <c r="C172" s="13"/>
      <c r="D172" s="13"/>
      <c r="E172" s="13"/>
      <c r="F172" s="13"/>
      <c r="G172" s="13"/>
    </row>
    <row r="173" ht="15.75" customHeight="1">
      <c r="A173" s="13"/>
      <c r="B173" s="13"/>
      <c r="C173" s="13"/>
      <c r="D173" s="13"/>
      <c r="E173" s="13"/>
      <c r="F173" s="13"/>
      <c r="G173" s="13"/>
    </row>
    <row r="174" ht="15.75" customHeight="1">
      <c r="A174" s="13"/>
      <c r="B174" s="13"/>
      <c r="C174" s="13"/>
      <c r="D174" s="13"/>
      <c r="E174" s="13"/>
      <c r="F174" s="13"/>
      <c r="G174" s="13"/>
    </row>
    <row r="175" ht="15.75" customHeight="1">
      <c r="A175" s="13"/>
      <c r="B175" s="13"/>
      <c r="C175" s="13"/>
      <c r="D175" s="13"/>
      <c r="E175" s="13"/>
      <c r="F175" s="13"/>
      <c r="G175" s="13"/>
    </row>
    <row r="176" ht="15.75" customHeight="1">
      <c r="A176" s="13"/>
      <c r="B176" s="13"/>
      <c r="C176" s="13"/>
      <c r="D176" s="13"/>
      <c r="E176" s="13"/>
      <c r="F176" s="13"/>
      <c r="G176" s="13"/>
    </row>
    <row r="177" ht="15.75" customHeight="1">
      <c r="A177" s="13"/>
      <c r="B177" s="13"/>
      <c r="C177" s="13"/>
      <c r="D177" s="13"/>
      <c r="E177" s="13"/>
      <c r="F177" s="13"/>
      <c r="G177" s="13"/>
    </row>
    <row r="178" ht="15.75" customHeight="1">
      <c r="A178" s="13"/>
      <c r="B178" s="13"/>
      <c r="C178" s="13"/>
      <c r="D178" s="13"/>
      <c r="E178" s="13"/>
      <c r="F178" s="13"/>
      <c r="G178" s="13"/>
    </row>
    <row r="179" ht="15.75" customHeight="1">
      <c r="A179" s="13"/>
      <c r="B179" s="13"/>
      <c r="C179" s="13"/>
      <c r="D179" s="13"/>
      <c r="E179" s="13"/>
      <c r="F179" s="13"/>
      <c r="G179" s="13"/>
    </row>
    <row r="180" ht="15.75" customHeight="1">
      <c r="A180" s="13"/>
      <c r="B180" s="13"/>
      <c r="C180" s="13"/>
      <c r="D180" s="13"/>
      <c r="E180" s="13"/>
      <c r="F180" s="13"/>
      <c r="G180" s="13"/>
    </row>
    <row r="181" ht="15.75" customHeight="1">
      <c r="A181" s="13"/>
      <c r="B181" s="13"/>
      <c r="C181" s="13"/>
      <c r="D181" s="13"/>
      <c r="E181" s="13"/>
      <c r="F181" s="13"/>
      <c r="G181" s="13"/>
    </row>
    <row r="182" ht="15.75" customHeight="1">
      <c r="A182" s="13"/>
      <c r="B182" s="13"/>
      <c r="C182" s="13"/>
      <c r="D182" s="13"/>
      <c r="E182" s="13"/>
      <c r="F182" s="13"/>
      <c r="G182" s="13"/>
    </row>
    <row r="183" ht="15.75" customHeight="1">
      <c r="A183" s="13"/>
      <c r="B183" s="13"/>
      <c r="C183" s="13"/>
      <c r="D183" s="13"/>
      <c r="E183" s="13"/>
      <c r="F183" s="13"/>
      <c r="G183" s="13"/>
    </row>
    <row r="184" ht="15.75" customHeight="1">
      <c r="A184" s="13"/>
      <c r="B184" s="13"/>
      <c r="C184" s="13"/>
      <c r="D184" s="13"/>
      <c r="E184" s="13"/>
      <c r="F184" s="13"/>
      <c r="G184" s="13"/>
    </row>
    <row r="185" ht="15.75" customHeight="1">
      <c r="A185" s="13"/>
      <c r="B185" s="13"/>
      <c r="C185" s="13"/>
      <c r="D185" s="13"/>
      <c r="E185" s="13"/>
      <c r="F185" s="13"/>
      <c r="G185" s="13"/>
    </row>
    <row r="186" ht="15.75" customHeight="1">
      <c r="A186" s="13"/>
      <c r="B186" s="13"/>
      <c r="C186" s="13"/>
      <c r="D186" s="13"/>
      <c r="E186" s="13"/>
      <c r="F186" s="13"/>
      <c r="G186" s="13"/>
    </row>
    <row r="187" ht="15.75" customHeight="1">
      <c r="A187" s="13"/>
      <c r="B187" s="13"/>
      <c r="C187" s="13"/>
      <c r="D187" s="13"/>
      <c r="E187" s="13"/>
      <c r="F187" s="13"/>
      <c r="G187" s="13"/>
    </row>
    <row r="188" ht="15.75" customHeight="1">
      <c r="A188" s="13"/>
      <c r="B188" s="13"/>
      <c r="C188" s="13"/>
      <c r="D188" s="13"/>
      <c r="E188" s="13"/>
      <c r="F188" s="13"/>
      <c r="G188" s="13"/>
    </row>
    <row r="189" ht="15.75" customHeight="1">
      <c r="A189" s="13"/>
      <c r="B189" s="13"/>
      <c r="C189" s="13"/>
      <c r="D189" s="13"/>
      <c r="E189" s="13"/>
      <c r="F189" s="13"/>
      <c r="G189" s="13"/>
    </row>
    <row r="190" ht="15.75" customHeight="1">
      <c r="A190" s="13"/>
      <c r="B190" s="13"/>
      <c r="C190" s="13"/>
      <c r="D190" s="13"/>
      <c r="E190" s="13"/>
      <c r="F190" s="13"/>
      <c r="G190" s="13"/>
    </row>
    <row r="191" ht="15.75" customHeight="1">
      <c r="A191" s="13"/>
      <c r="B191" s="13"/>
      <c r="C191" s="13"/>
      <c r="D191" s="13"/>
      <c r="E191" s="13"/>
      <c r="F191" s="13"/>
      <c r="G191" s="13"/>
    </row>
    <row r="192" ht="15.75" customHeight="1">
      <c r="A192" s="13"/>
      <c r="B192" s="13"/>
      <c r="C192" s="13"/>
      <c r="D192" s="13"/>
      <c r="E192" s="13"/>
      <c r="F192" s="13"/>
      <c r="G192" s="13"/>
    </row>
    <row r="193" ht="15.75" customHeight="1">
      <c r="A193" s="13"/>
      <c r="B193" s="13"/>
      <c r="C193" s="13"/>
      <c r="D193" s="13"/>
      <c r="E193" s="13"/>
      <c r="F193" s="13"/>
      <c r="G193" s="13"/>
    </row>
    <row r="194" ht="15.75" customHeight="1">
      <c r="A194" s="13"/>
      <c r="B194" s="13"/>
      <c r="C194" s="13"/>
      <c r="D194" s="13"/>
      <c r="E194" s="13"/>
      <c r="F194" s="13"/>
      <c r="G194" s="13"/>
    </row>
    <row r="195" ht="15.75" customHeight="1">
      <c r="A195" s="13"/>
      <c r="B195" s="13"/>
      <c r="C195" s="13"/>
      <c r="D195" s="13"/>
      <c r="E195" s="13"/>
      <c r="F195" s="13"/>
      <c r="G195" s="13"/>
    </row>
    <row r="196" ht="15.75" customHeight="1">
      <c r="A196" s="13"/>
      <c r="B196" s="13"/>
      <c r="C196" s="13"/>
      <c r="D196" s="13"/>
      <c r="E196" s="13"/>
      <c r="F196" s="13"/>
      <c r="G196" s="13"/>
    </row>
    <row r="197" ht="15.75" customHeight="1">
      <c r="A197" s="13"/>
      <c r="B197" s="13"/>
      <c r="C197" s="13"/>
      <c r="D197" s="13"/>
      <c r="E197" s="13"/>
      <c r="F197" s="13"/>
      <c r="G197" s="13"/>
    </row>
    <row r="198" ht="15.75" customHeight="1">
      <c r="A198" s="13"/>
      <c r="B198" s="13"/>
      <c r="C198" s="13"/>
      <c r="D198" s="13"/>
      <c r="E198" s="13"/>
      <c r="F198" s="13"/>
      <c r="G198" s="13"/>
    </row>
    <row r="199" ht="15.75" customHeight="1">
      <c r="A199" s="13"/>
      <c r="B199" s="13"/>
      <c r="C199" s="13"/>
      <c r="D199" s="13"/>
      <c r="E199" s="13"/>
      <c r="F199" s="13"/>
      <c r="G199" s="13"/>
    </row>
    <row r="200" ht="15.75" customHeight="1">
      <c r="A200" s="13"/>
      <c r="B200" s="13"/>
      <c r="C200" s="13"/>
      <c r="D200" s="13"/>
      <c r="E200" s="13"/>
      <c r="F200" s="13"/>
      <c r="G200" s="13"/>
    </row>
    <row r="201" ht="15.75" customHeight="1">
      <c r="A201" s="13"/>
      <c r="B201" s="13"/>
      <c r="C201" s="13"/>
      <c r="D201" s="13"/>
      <c r="E201" s="13"/>
      <c r="F201" s="13"/>
      <c r="G201" s="13"/>
    </row>
    <row r="202" ht="15.75" customHeight="1">
      <c r="A202" s="13"/>
      <c r="B202" s="13"/>
      <c r="C202" s="13"/>
      <c r="D202" s="13"/>
      <c r="E202" s="13"/>
      <c r="F202" s="13"/>
      <c r="G202" s="13"/>
    </row>
    <row r="203" ht="15.75" customHeight="1">
      <c r="A203" s="13"/>
      <c r="B203" s="13"/>
      <c r="C203" s="13"/>
      <c r="D203" s="13"/>
      <c r="E203" s="13"/>
      <c r="F203" s="13"/>
      <c r="G203" s="13"/>
    </row>
    <row r="204" ht="15.75" customHeight="1">
      <c r="A204" s="13"/>
      <c r="B204" s="13"/>
      <c r="C204" s="13"/>
      <c r="D204" s="13"/>
      <c r="E204" s="13"/>
      <c r="F204" s="13"/>
      <c r="G204" s="13"/>
    </row>
    <row r="205" ht="15.75" customHeight="1">
      <c r="A205" s="13"/>
      <c r="B205" s="13"/>
      <c r="C205" s="13"/>
      <c r="D205" s="13"/>
      <c r="E205" s="13"/>
      <c r="F205" s="13"/>
      <c r="G205" s="13"/>
    </row>
    <row r="206" ht="15.75" customHeight="1">
      <c r="A206" s="13"/>
      <c r="B206" s="13"/>
      <c r="C206" s="13"/>
      <c r="D206" s="13"/>
      <c r="E206" s="13"/>
      <c r="F206" s="13"/>
      <c r="G206" s="13"/>
    </row>
    <row r="207" ht="15.75" customHeight="1">
      <c r="A207" s="13"/>
      <c r="B207" s="13"/>
      <c r="C207" s="13"/>
      <c r="D207" s="13"/>
      <c r="E207" s="13"/>
      <c r="F207" s="13"/>
      <c r="G207" s="13"/>
    </row>
    <row r="208" ht="15.75" customHeight="1">
      <c r="A208" s="13"/>
      <c r="B208" s="13"/>
      <c r="C208" s="13"/>
      <c r="D208" s="13"/>
      <c r="E208" s="13"/>
      <c r="F208" s="13"/>
      <c r="G208" s="13"/>
    </row>
    <row r="209" ht="15.75" customHeight="1">
      <c r="A209" s="13"/>
      <c r="B209" s="13"/>
      <c r="C209" s="13"/>
      <c r="D209" s="13"/>
      <c r="E209" s="13"/>
      <c r="F209" s="13"/>
      <c r="G209" s="13"/>
    </row>
    <row r="210" ht="15.75" customHeight="1">
      <c r="A210" s="13"/>
      <c r="B210" s="13"/>
      <c r="C210" s="13"/>
      <c r="D210" s="13"/>
      <c r="E210" s="13"/>
      <c r="F210" s="13"/>
      <c r="G210" s="13"/>
    </row>
    <row r="211" ht="15.75" customHeight="1">
      <c r="A211" s="13"/>
      <c r="B211" s="13"/>
      <c r="C211" s="13"/>
      <c r="D211" s="13"/>
      <c r="E211" s="13"/>
      <c r="F211" s="13"/>
      <c r="G211" s="13"/>
    </row>
    <row r="212" ht="15.75" customHeight="1">
      <c r="A212" s="13"/>
      <c r="B212" s="13"/>
      <c r="C212" s="13"/>
      <c r="D212" s="13"/>
      <c r="E212" s="13"/>
      <c r="F212" s="13"/>
      <c r="G212" s="13"/>
    </row>
    <row r="213" ht="15.75" customHeight="1">
      <c r="A213" s="13"/>
      <c r="B213" s="13"/>
      <c r="C213" s="13"/>
      <c r="D213" s="13"/>
      <c r="E213" s="13"/>
      <c r="F213" s="13"/>
      <c r="G213" s="13"/>
    </row>
    <row r="214" ht="15.75" customHeight="1">
      <c r="A214" s="13"/>
      <c r="B214" s="13"/>
      <c r="C214" s="13"/>
      <c r="D214" s="13"/>
      <c r="E214" s="13"/>
      <c r="F214" s="13"/>
      <c r="G214" s="13"/>
    </row>
    <row r="215" ht="15.75" customHeight="1">
      <c r="A215" s="13"/>
      <c r="B215" s="13"/>
      <c r="C215" s="13"/>
      <c r="D215" s="13"/>
      <c r="E215" s="13"/>
      <c r="F215" s="13"/>
      <c r="G215" s="13"/>
    </row>
    <row r="216" ht="15.75" customHeight="1">
      <c r="A216" s="13"/>
      <c r="B216" s="13"/>
      <c r="C216" s="13"/>
      <c r="D216" s="13"/>
      <c r="E216" s="13"/>
      <c r="F216" s="13"/>
      <c r="G216" s="13"/>
    </row>
    <row r="217" ht="15.75" customHeight="1">
      <c r="A217" s="13"/>
      <c r="B217" s="13"/>
      <c r="C217" s="13"/>
      <c r="D217" s="13"/>
      <c r="E217" s="13"/>
      <c r="F217" s="13"/>
      <c r="G217" s="13"/>
    </row>
    <row r="218" ht="15.75" customHeight="1">
      <c r="A218" s="13"/>
      <c r="B218" s="13"/>
      <c r="C218" s="13"/>
      <c r="D218" s="13"/>
      <c r="E218" s="13"/>
      <c r="F218" s="13"/>
      <c r="G218" s="13"/>
    </row>
    <row r="219" ht="15.75" customHeight="1">
      <c r="A219" s="13"/>
      <c r="B219" s="13"/>
      <c r="C219" s="13"/>
      <c r="D219" s="13"/>
      <c r="E219" s="13"/>
      <c r="F219" s="13"/>
      <c r="G219" s="13"/>
    </row>
    <row r="220" ht="15.75" customHeight="1">
      <c r="A220" s="13"/>
      <c r="B220" s="13"/>
      <c r="C220" s="13"/>
      <c r="D220" s="13"/>
      <c r="E220" s="13"/>
      <c r="F220" s="13"/>
      <c r="G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42.0"/>
    <col customWidth="1" min="3" max="4" width="18.0"/>
    <col customWidth="1" min="5" max="5" width="16.0"/>
    <col customWidth="1" min="6" max="6" width="18.0"/>
    <col customWidth="1" min="7" max="7" width="38.0"/>
    <col customWidth="1" min="8" max="9" width="22.0"/>
    <col customWidth="1" min="10" max="10" width="26.0"/>
    <col customWidth="1" min="11" max="11" width="14.0"/>
    <col customWidth="1" min="12" max="12" width="46.0"/>
    <col customWidth="1" min="13" max="13" width="18.0"/>
    <col customWidth="1" min="14" max="14" width="12.0"/>
    <col customWidth="1" min="15" max="16" width="18.0"/>
    <col customWidth="1" min="17" max="17" width="16.0"/>
    <col customWidth="1" min="18" max="18" width="26.0"/>
    <col customWidth="1" min="19" max="19" width="22.0"/>
    <col customWidth="1" min="20" max="20" width="42.0"/>
    <col customWidth="1" min="21" max="22" width="22.0"/>
  </cols>
  <sheetData>
    <row r="1" ht="33.75" customHeight="1">
      <c r="A1" s="1" t="s">
        <v>1</v>
      </c>
      <c r="B1" s="1" t="s">
        <v>6</v>
      </c>
      <c r="C1" s="1" t="s">
        <v>7</v>
      </c>
      <c r="D1" s="1" t="s">
        <v>11</v>
      </c>
      <c r="E1" s="1" t="s">
        <v>14</v>
      </c>
      <c r="F1" s="1" t="s">
        <v>17</v>
      </c>
      <c r="G1" s="1" t="s">
        <v>20</v>
      </c>
      <c r="H1" s="1" t="s">
        <v>23</v>
      </c>
      <c r="I1" s="1" t="s">
        <v>25</v>
      </c>
      <c r="J1" s="1" t="s">
        <v>28</v>
      </c>
      <c r="K1" s="1" t="s">
        <v>31</v>
      </c>
      <c r="L1" s="1" t="s">
        <v>24</v>
      </c>
      <c r="M1" s="1"/>
      <c r="N1" s="1"/>
      <c r="O1" s="1"/>
      <c r="P1" s="1"/>
      <c r="Q1" s="1"/>
      <c r="R1" s="1"/>
      <c r="S1" s="1"/>
      <c r="T1" s="1"/>
      <c r="U1" s="1"/>
      <c r="V1" s="1"/>
    </row>
    <row r="2" ht="15.75" customHeight="1">
      <c r="A2" s="3" t="str">
        <f>OFFICIAL_ALLOCATIONS!A2</f>
        <v>F001</v>
      </c>
      <c r="B2" s="3" t="s">
        <v>77</v>
      </c>
      <c r="C2" s="11"/>
      <c r="D2" s="12" t="s">
        <v>105</v>
      </c>
      <c r="E2" s="12" t="s">
        <v>113</v>
      </c>
      <c r="F2" s="5" t="s">
        <v>114</v>
      </c>
      <c r="G2" s="5" t="s">
        <v>115</v>
      </c>
      <c r="H2" s="14">
        <v>1035566.0</v>
      </c>
      <c r="I2" s="15">
        <v>1134493.0</v>
      </c>
      <c r="J2" s="16" t="s">
        <v>117</v>
      </c>
      <c r="K2" s="17" t="s">
        <v>119</v>
      </c>
      <c r="L2" s="18" t="s">
        <v>120</v>
      </c>
      <c r="M2" s="16"/>
      <c r="N2" s="17"/>
      <c r="O2" s="18"/>
      <c r="P2" s="19"/>
      <c r="Q2" s="5"/>
      <c r="R2" s="3"/>
      <c r="S2" s="5"/>
      <c r="T2" s="5"/>
      <c r="U2" s="20"/>
      <c r="V2" s="20"/>
    </row>
    <row r="3" ht="15.75" customHeight="1">
      <c r="A3" s="3" t="str">
        <f>OFFICIAL_ALLOCATIONS!A3</f>
        <v>F002</v>
      </c>
      <c r="B3" s="3" t="s">
        <v>125</v>
      </c>
      <c r="C3" s="11"/>
      <c r="D3" s="12" t="s">
        <v>105</v>
      </c>
      <c r="E3" s="12" t="s">
        <v>113</v>
      </c>
      <c r="F3" s="5" t="s">
        <v>127</v>
      </c>
      <c r="G3" s="5" t="s">
        <v>115</v>
      </c>
      <c r="H3" s="14">
        <v>2032458.0</v>
      </c>
      <c r="I3" s="15">
        <v>2226618.0</v>
      </c>
      <c r="J3" s="16" t="s">
        <v>117</v>
      </c>
      <c r="K3" s="17" t="s">
        <v>119</v>
      </c>
      <c r="L3" s="18" t="s">
        <v>120</v>
      </c>
      <c r="M3" s="16"/>
      <c r="N3" s="17"/>
      <c r="O3" s="18"/>
      <c r="P3" s="19"/>
      <c r="Q3" s="5"/>
      <c r="R3" s="3"/>
      <c r="S3" s="5"/>
      <c r="T3" s="5"/>
      <c r="U3" s="20"/>
      <c r="V3" s="20"/>
    </row>
    <row r="4" ht="15.75" customHeight="1">
      <c r="A4" s="3" t="str">
        <f>OFFICIAL_ALLOCATIONS!A4</f>
        <v>F003</v>
      </c>
      <c r="B4" s="3" t="s">
        <v>129</v>
      </c>
      <c r="C4" s="11"/>
      <c r="D4" s="12" t="s">
        <v>105</v>
      </c>
      <c r="E4" s="12" t="s">
        <v>113</v>
      </c>
      <c r="F4" s="5" t="s">
        <v>130</v>
      </c>
      <c r="G4" s="5" t="s">
        <v>115</v>
      </c>
      <c r="H4" s="14">
        <v>5691098.0</v>
      </c>
      <c r="I4" s="15">
        <v>6234766.0</v>
      </c>
      <c r="J4" s="16" t="s">
        <v>117</v>
      </c>
      <c r="K4" s="17" t="s">
        <v>119</v>
      </c>
      <c r="L4" s="18" t="s">
        <v>120</v>
      </c>
      <c r="M4" s="16"/>
      <c r="N4" s="17"/>
      <c r="O4" s="18"/>
      <c r="P4" s="19"/>
      <c r="Q4" s="5"/>
      <c r="R4" s="3"/>
      <c r="S4" s="5"/>
      <c r="T4" s="5"/>
      <c r="U4" s="20"/>
      <c r="V4" s="20"/>
    </row>
    <row r="5" ht="15.75" customHeight="1">
      <c r="A5" s="3" t="str">
        <f>OFFICIAL_ALLOCATIONS!A5</f>
        <v>F004</v>
      </c>
      <c r="B5" s="3" t="s">
        <v>131</v>
      </c>
      <c r="C5" s="11"/>
      <c r="D5" s="21" t="s">
        <v>105</v>
      </c>
      <c r="E5" s="21" t="s">
        <v>113</v>
      </c>
      <c r="F5" s="5" t="s">
        <v>132</v>
      </c>
      <c r="G5" s="5" t="s">
        <v>115</v>
      </c>
      <c r="H5" s="14">
        <v>1.1097421E7</v>
      </c>
      <c r="I5" s="22">
        <v>1.2157553E7</v>
      </c>
      <c r="J5" s="16" t="s">
        <v>117</v>
      </c>
      <c r="K5" s="17" t="s">
        <v>119</v>
      </c>
      <c r="L5" s="19" t="s">
        <v>120</v>
      </c>
      <c r="M5" s="16"/>
      <c r="N5" s="17"/>
      <c r="O5" s="19"/>
      <c r="P5" s="19"/>
      <c r="Q5" s="5"/>
      <c r="R5" s="5"/>
      <c r="S5" s="5"/>
      <c r="T5" s="5"/>
      <c r="U5" s="20"/>
      <c r="V5" s="20"/>
    </row>
    <row r="6" ht="15.75" customHeight="1">
      <c r="A6" s="3" t="str">
        <f>OFFICIAL_ALLOCATIONS!A6</f>
        <v>F005</v>
      </c>
      <c r="B6" s="3" t="s">
        <v>133</v>
      </c>
      <c r="C6" s="11"/>
      <c r="D6" s="21" t="s">
        <v>105</v>
      </c>
      <c r="E6" s="21" t="s">
        <v>113</v>
      </c>
      <c r="F6" s="5" t="s">
        <v>134</v>
      </c>
      <c r="G6" s="5" t="s">
        <v>115</v>
      </c>
      <c r="H6" s="14">
        <v>3585092.0</v>
      </c>
      <c r="I6" s="22">
        <v>3927575.0</v>
      </c>
      <c r="J6" s="16" t="s">
        <v>117</v>
      </c>
      <c r="K6" s="17" t="s">
        <v>119</v>
      </c>
      <c r="L6" s="19" t="s">
        <v>120</v>
      </c>
      <c r="M6" s="16"/>
      <c r="N6" s="17"/>
      <c r="O6" s="19"/>
      <c r="P6" s="19"/>
      <c r="Q6" s="5"/>
      <c r="R6" s="5"/>
      <c r="S6" s="5"/>
      <c r="T6" s="5"/>
      <c r="U6" s="20"/>
      <c r="V6" s="20"/>
    </row>
    <row r="7" ht="15.75" customHeight="1">
      <c r="A7" s="3" t="str">
        <f>OFFICIAL_ALLOCATIONS!A7</f>
        <v>F006</v>
      </c>
      <c r="B7" s="3" t="s">
        <v>135</v>
      </c>
      <c r="C7" s="11"/>
      <c r="D7" s="21" t="s">
        <v>105</v>
      </c>
      <c r="E7" s="21" t="s">
        <v>113</v>
      </c>
      <c r="F7" s="5" t="s">
        <v>136</v>
      </c>
      <c r="G7" s="5" t="s">
        <v>115</v>
      </c>
      <c r="H7" s="14">
        <v>1.2190431E7</v>
      </c>
      <c r="I7" s="22">
        <v>1.3354978E7</v>
      </c>
      <c r="J7" s="16" t="s">
        <v>117</v>
      </c>
      <c r="K7" s="17" t="s">
        <v>119</v>
      </c>
      <c r="L7" s="19" t="s">
        <v>120</v>
      </c>
      <c r="M7" s="16"/>
      <c r="N7" s="17"/>
      <c r="O7" s="19"/>
      <c r="P7" s="19"/>
      <c r="Q7" s="5"/>
      <c r="R7" s="5"/>
      <c r="S7" s="5"/>
      <c r="T7" s="5"/>
      <c r="U7" s="20"/>
      <c r="V7" s="20"/>
    </row>
    <row r="8" ht="15.75" customHeight="1">
      <c r="A8" s="3" t="str">
        <f>OFFICIAL_ALLOCATIONS!A8</f>
        <v>F007</v>
      </c>
      <c r="B8" s="3" t="s">
        <v>137</v>
      </c>
      <c r="C8" s="11"/>
      <c r="D8" s="21" t="s">
        <v>105</v>
      </c>
      <c r="E8" s="21" t="s">
        <v>113</v>
      </c>
      <c r="F8" s="5" t="s">
        <v>138</v>
      </c>
      <c r="G8" s="5" t="s">
        <v>115</v>
      </c>
      <c r="H8" s="14">
        <v>4436759.0</v>
      </c>
      <c r="I8" s="22">
        <v>4860601.0</v>
      </c>
      <c r="J8" s="16" t="s">
        <v>117</v>
      </c>
      <c r="K8" s="17" t="s">
        <v>119</v>
      </c>
      <c r="L8" s="19" t="s">
        <v>120</v>
      </c>
      <c r="M8" s="16"/>
      <c r="N8" s="17"/>
      <c r="O8" s="19"/>
      <c r="P8" s="19"/>
      <c r="Q8" s="5"/>
      <c r="R8" s="5"/>
      <c r="S8" s="5"/>
      <c r="T8" s="5"/>
      <c r="U8" s="20"/>
      <c r="V8" s="20"/>
    </row>
    <row r="9" ht="15.75" customHeight="1">
      <c r="A9" s="3" t="str">
        <f>OFFICIAL_ALLOCATIONS!A9</f>
        <v>F008</v>
      </c>
      <c r="B9" s="3" t="s">
        <v>139</v>
      </c>
      <c r="C9" s="11"/>
      <c r="D9" s="21" t="s">
        <v>105</v>
      </c>
      <c r="E9" s="21" t="s">
        <v>113</v>
      </c>
      <c r="F9" s="5" t="s">
        <v>140</v>
      </c>
      <c r="G9" s="5" t="s">
        <v>115</v>
      </c>
      <c r="H9" s="14">
        <v>9556403.0</v>
      </c>
      <c r="I9" s="22">
        <v>1.0469322E7</v>
      </c>
      <c r="J9" s="16" t="s">
        <v>117</v>
      </c>
      <c r="K9" s="17" t="s">
        <v>119</v>
      </c>
      <c r="L9" s="19" t="s">
        <v>120</v>
      </c>
      <c r="M9" s="16"/>
      <c r="N9" s="17"/>
      <c r="O9" s="19"/>
      <c r="P9" s="19"/>
      <c r="Q9" s="5"/>
      <c r="R9" s="5"/>
      <c r="S9" s="5"/>
      <c r="T9" s="5"/>
      <c r="U9" s="20"/>
      <c r="V9" s="20"/>
    </row>
    <row r="10" ht="15.75" customHeight="1">
      <c r="A10" s="3" t="str">
        <f>OFFICIAL_ALLOCATIONS!A10</f>
        <v>F009</v>
      </c>
      <c r="B10" s="3" t="s">
        <v>141</v>
      </c>
      <c r="C10" s="11"/>
      <c r="D10" s="21" t="s">
        <v>105</v>
      </c>
      <c r="E10" s="21" t="s">
        <v>113</v>
      </c>
      <c r="F10" s="5" t="s">
        <v>142</v>
      </c>
      <c r="G10" s="5" t="s">
        <v>115</v>
      </c>
      <c r="H10" s="14">
        <v>1.0239469E7</v>
      </c>
      <c r="I10" s="22">
        <v>1.1217642E7</v>
      </c>
      <c r="J10" s="16" t="s">
        <v>117</v>
      </c>
      <c r="K10" s="17" t="s">
        <v>119</v>
      </c>
      <c r="L10" s="19" t="s">
        <v>120</v>
      </c>
      <c r="M10" s="16"/>
      <c r="N10" s="17"/>
      <c r="O10" s="19"/>
      <c r="P10" s="19"/>
      <c r="Q10" s="5"/>
      <c r="R10" s="5"/>
      <c r="S10" s="5"/>
      <c r="T10" s="5"/>
      <c r="U10" s="20"/>
      <c r="V10" s="20"/>
    </row>
    <row r="11" ht="15.75" customHeight="1">
      <c r="A11" s="3" t="str">
        <f>OFFICIAL_ALLOCATIONS!A11</f>
        <v>F010</v>
      </c>
      <c r="B11" s="3" t="s">
        <v>143</v>
      </c>
      <c r="C11" s="11"/>
      <c r="D11" s="21" t="s">
        <v>105</v>
      </c>
      <c r="E11" s="21" t="s">
        <v>113</v>
      </c>
      <c r="F11" s="5" t="s">
        <v>144</v>
      </c>
      <c r="G11" s="5" t="s">
        <v>115</v>
      </c>
      <c r="H11" s="14">
        <v>5036163.0</v>
      </c>
      <c r="I11" s="22">
        <v>5517266.0</v>
      </c>
      <c r="J11" s="16" t="s">
        <v>117</v>
      </c>
      <c r="K11" s="17" t="s">
        <v>119</v>
      </c>
      <c r="L11" s="19" t="s">
        <v>120</v>
      </c>
      <c r="M11" s="16"/>
      <c r="N11" s="17"/>
      <c r="O11" s="19"/>
      <c r="P11" s="19"/>
      <c r="Q11" s="5"/>
      <c r="R11" s="5"/>
      <c r="S11" s="5"/>
      <c r="T11" s="5"/>
      <c r="U11" s="20"/>
      <c r="V11" s="20"/>
    </row>
    <row r="12" ht="15.75" customHeight="1">
      <c r="A12" s="3" t="str">
        <f>OFFICIAL_ALLOCATIONS!A12</f>
        <v>F011</v>
      </c>
      <c r="B12" s="3" t="s">
        <v>145</v>
      </c>
      <c r="C12" s="11"/>
      <c r="D12" s="21" t="s">
        <v>105</v>
      </c>
      <c r="E12" s="21" t="s">
        <v>113</v>
      </c>
      <c r="F12" s="5" t="s">
        <v>146</v>
      </c>
      <c r="G12" s="5" t="s">
        <v>115</v>
      </c>
      <c r="H12" s="14">
        <v>7214687.0</v>
      </c>
      <c r="I12" s="22">
        <v>7903903.0</v>
      </c>
      <c r="J12" s="16" t="s">
        <v>117</v>
      </c>
      <c r="K12" s="17" t="s">
        <v>119</v>
      </c>
      <c r="L12" s="19" t="s">
        <v>120</v>
      </c>
      <c r="M12" s="16"/>
      <c r="N12" s="17"/>
      <c r="O12" s="19"/>
      <c r="P12" s="19"/>
      <c r="Q12" s="5"/>
      <c r="R12" s="5"/>
      <c r="S12" s="5"/>
      <c r="T12" s="5"/>
      <c r="U12" s="20"/>
      <c r="V12" s="20"/>
    </row>
    <row r="13" ht="15.75" customHeight="1">
      <c r="A13" s="3" t="str">
        <f>OFFICIAL_ALLOCATIONS!A13</f>
        <v>F012</v>
      </c>
      <c r="B13" s="3" t="s">
        <v>147</v>
      </c>
      <c r="C13" s="11"/>
      <c r="D13" s="21" t="s">
        <v>105</v>
      </c>
      <c r="E13" s="21" t="s">
        <v>113</v>
      </c>
      <c r="F13" s="5" t="s">
        <v>148</v>
      </c>
      <c r="G13" s="5" t="s">
        <v>115</v>
      </c>
      <c r="H13" s="14">
        <v>2558365.0</v>
      </c>
      <c r="I13" s="22">
        <v>2802764.0</v>
      </c>
      <c r="J13" s="16" t="s">
        <v>117</v>
      </c>
      <c r="K13" s="17" t="s">
        <v>119</v>
      </c>
      <c r="L13" s="19" t="s">
        <v>120</v>
      </c>
      <c r="M13" s="16"/>
      <c r="N13" s="17"/>
      <c r="O13" s="19"/>
      <c r="P13" s="19"/>
      <c r="Q13" s="5"/>
      <c r="R13" s="5"/>
      <c r="S13" s="5"/>
      <c r="T13" s="5"/>
      <c r="U13" s="20"/>
      <c r="V13" s="20"/>
    </row>
    <row r="14" ht="15.75" customHeight="1">
      <c r="A14" s="3" t="str">
        <f>OFFICIAL_ALLOCATIONS!A14</f>
        <v>F013</v>
      </c>
      <c r="B14" s="3" t="s">
        <v>149</v>
      </c>
      <c r="C14" s="11"/>
      <c r="D14" s="21" t="s">
        <v>105</v>
      </c>
      <c r="E14" s="21" t="s">
        <v>113</v>
      </c>
      <c r="F14" s="5" t="s">
        <v>150</v>
      </c>
      <c r="G14" s="5" t="s">
        <v>115</v>
      </c>
      <c r="H14" s="14">
        <v>1.1856608E7</v>
      </c>
      <c r="I14" s="22">
        <v>1.2989265E7</v>
      </c>
      <c r="J14" s="16" t="s">
        <v>117</v>
      </c>
      <c r="K14" s="17" t="s">
        <v>119</v>
      </c>
      <c r="L14" s="19" t="s">
        <v>120</v>
      </c>
      <c r="M14" s="16"/>
      <c r="N14" s="17"/>
      <c r="O14" s="19"/>
      <c r="P14" s="19"/>
      <c r="Q14" s="5"/>
      <c r="R14" s="5"/>
      <c r="S14" s="5"/>
      <c r="T14" s="5"/>
      <c r="U14" s="20"/>
      <c r="V14" s="20"/>
    </row>
    <row r="15" ht="15.75" customHeight="1">
      <c r="A15" s="3" t="str">
        <f>OFFICIAL_ALLOCATIONS!A15</f>
        <v>F014</v>
      </c>
      <c r="B15" s="3" t="s">
        <v>151</v>
      </c>
      <c r="C15" s="11"/>
      <c r="D15" s="21" t="s">
        <v>105</v>
      </c>
      <c r="E15" s="21" t="s">
        <v>113</v>
      </c>
      <c r="F15" s="5" t="s">
        <v>152</v>
      </c>
      <c r="G15" s="5" t="s">
        <v>115</v>
      </c>
      <c r="H15" s="14">
        <v>1.0530658E7</v>
      </c>
      <c r="I15" s="22">
        <v>1.1536648E7</v>
      </c>
      <c r="J15" s="16" t="s">
        <v>117</v>
      </c>
      <c r="K15" s="17" t="s">
        <v>119</v>
      </c>
      <c r="L15" s="19" t="s">
        <v>120</v>
      </c>
      <c r="M15" s="16"/>
      <c r="N15" s="17"/>
      <c r="O15" s="19"/>
      <c r="P15" s="19"/>
      <c r="Q15" s="5"/>
      <c r="R15" s="5"/>
      <c r="S15" s="5"/>
      <c r="T15" s="5"/>
      <c r="U15" s="20"/>
      <c r="V15" s="20"/>
    </row>
    <row r="16" ht="15.75" customHeight="1">
      <c r="A16" s="3" t="str">
        <f>OFFICIAL_ALLOCATIONS!A16</f>
        <v>F015</v>
      </c>
      <c r="B16" s="3" t="s">
        <v>153</v>
      </c>
      <c r="C16" s="11"/>
      <c r="D16" s="21" t="s">
        <v>105</v>
      </c>
      <c r="E16" s="21" t="s">
        <v>113</v>
      </c>
      <c r="F16" s="5" t="s">
        <v>154</v>
      </c>
      <c r="G16" s="5" t="s">
        <v>115</v>
      </c>
      <c r="H16" s="14">
        <v>8528067.0</v>
      </c>
      <c r="I16" s="22">
        <v>9342750.0</v>
      </c>
      <c r="J16" s="16" t="s">
        <v>117</v>
      </c>
      <c r="K16" s="17" t="s">
        <v>119</v>
      </c>
      <c r="L16" s="19" t="s">
        <v>120</v>
      </c>
      <c r="M16" s="16"/>
      <c r="N16" s="17"/>
      <c r="O16" s="19"/>
      <c r="P16" s="19"/>
      <c r="Q16" s="5"/>
      <c r="R16" s="5"/>
      <c r="S16" s="5"/>
      <c r="T16" s="5"/>
      <c r="U16" s="20"/>
      <c r="V16" s="20"/>
    </row>
    <row r="17" ht="15.75" customHeight="1">
      <c r="A17" s="3" t="str">
        <f>OFFICIAL_ALLOCATIONS!A17</f>
        <v>F016</v>
      </c>
      <c r="B17" s="3" t="s">
        <v>155</v>
      </c>
      <c r="C17" s="11"/>
      <c r="D17" s="21" t="s">
        <v>105</v>
      </c>
      <c r="E17" s="21" t="s">
        <v>113</v>
      </c>
      <c r="F17" s="5" t="s">
        <v>156</v>
      </c>
      <c r="G17" s="5" t="s">
        <v>115</v>
      </c>
      <c r="H17" s="14">
        <v>21460.0</v>
      </c>
      <c r="I17" s="22">
        <v>23510.0</v>
      </c>
      <c r="J17" s="16" t="s">
        <v>117</v>
      </c>
      <c r="K17" s="17" t="s">
        <v>119</v>
      </c>
      <c r="L17" s="19" t="s">
        <v>120</v>
      </c>
      <c r="M17" s="16"/>
      <c r="N17" s="17"/>
      <c r="O17" s="19"/>
      <c r="P17" s="19"/>
      <c r="Q17" s="5"/>
      <c r="R17" s="5"/>
      <c r="S17" s="5"/>
      <c r="T17" s="5"/>
      <c r="U17" s="20"/>
      <c r="V17" s="20"/>
    </row>
    <row r="18" ht="15.75" customHeight="1">
      <c r="A18" s="3" t="str">
        <f>OFFICIAL_ALLOCATIONS!A18</f>
        <v>F017</v>
      </c>
      <c r="B18" s="3" t="s">
        <v>157</v>
      </c>
      <c r="C18" s="11"/>
      <c r="D18" s="21" t="s">
        <v>105</v>
      </c>
      <c r="E18" s="21" t="s">
        <v>113</v>
      </c>
      <c r="F18" s="5" t="s">
        <v>158</v>
      </c>
      <c r="G18" s="5" t="s">
        <v>115</v>
      </c>
      <c r="H18" s="14">
        <v>2519925.0</v>
      </c>
      <c r="I18" s="22">
        <v>2760653.0</v>
      </c>
      <c r="J18" s="16" t="s">
        <v>117</v>
      </c>
      <c r="K18" s="17" t="s">
        <v>119</v>
      </c>
      <c r="L18" s="19" t="s">
        <v>120</v>
      </c>
      <c r="M18" s="16"/>
      <c r="N18" s="17"/>
      <c r="O18" s="19"/>
      <c r="P18" s="19"/>
      <c r="Q18" s="5"/>
      <c r="R18" s="5"/>
      <c r="S18" s="5"/>
      <c r="T18" s="5"/>
      <c r="U18" s="20"/>
      <c r="V18" s="20"/>
    </row>
    <row r="19" ht="15.75" customHeight="1">
      <c r="A19" s="3" t="str">
        <f>OFFICIAL_ALLOCATIONS!A19</f>
        <v>F018</v>
      </c>
      <c r="B19" s="3" t="s">
        <v>159</v>
      </c>
      <c r="C19" s="11"/>
      <c r="D19" s="21" t="s">
        <v>105</v>
      </c>
      <c r="E19" s="21" t="s">
        <v>113</v>
      </c>
      <c r="F19" s="5" t="s">
        <v>158</v>
      </c>
      <c r="G19" s="5" t="s">
        <v>115</v>
      </c>
      <c r="H19" s="14">
        <v>1079828.0</v>
      </c>
      <c r="I19" s="22">
        <v>1182984.0</v>
      </c>
      <c r="J19" s="16" t="s">
        <v>117</v>
      </c>
      <c r="K19" s="17" t="s">
        <v>119</v>
      </c>
      <c r="L19" s="19" t="s">
        <v>120</v>
      </c>
      <c r="M19" s="16"/>
      <c r="N19" s="17"/>
      <c r="O19" s="19"/>
      <c r="P19" s="19"/>
      <c r="Q19" s="5"/>
      <c r="R19" s="5"/>
      <c r="S19" s="5"/>
      <c r="T19" s="5"/>
      <c r="U19" s="20"/>
      <c r="V19" s="20"/>
    </row>
    <row r="20" ht="15.75" customHeight="1">
      <c r="A20" s="3" t="str">
        <f>OFFICIAL_ALLOCATIONS!A20</f>
        <v>F019</v>
      </c>
      <c r="B20" s="3" t="s">
        <v>160</v>
      </c>
      <c r="C20" s="11"/>
      <c r="D20" s="21" t="s">
        <v>105</v>
      </c>
      <c r="E20" s="21" t="s">
        <v>113</v>
      </c>
      <c r="F20" s="5" t="s">
        <v>158</v>
      </c>
      <c r="G20" s="5" t="s">
        <v>115</v>
      </c>
      <c r="H20" s="14">
        <v>876004.0</v>
      </c>
      <c r="I20" s="22">
        <v>959689.0</v>
      </c>
      <c r="J20" s="16" t="s">
        <v>117</v>
      </c>
      <c r="K20" s="17" t="s">
        <v>119</v>
      </c>
      <c r="L20" s="19" t="s">
        <v>120</v>
      </c>
      <c r="M20" s="16"/>
      <c r="N20" s="17"/>
      <c r="O20" s="19"/>
      <c r="P20" s="19"/>
      <c r="Q20" s="5"/>
      <c r="R20" s="5"/>
      <c r="S20" s="5"/>
      <c r="T20" s="5"/>
      <c r="U20" s="20"/>
      <c r="V20" s="20"/>
    </row>
    <row r="21" ht="15.75" customHeight="1">
      <c r="A21" s="3" t="str">
        <f>OFFICIAL_ALLOCATIONS!A21</f>
        <v>F020</v>
      </c>
      <c r="B21" s="3" t="s">
        <v>161</v>
      </c>
      <c r="C21" s="11"/>
      <c r="D21" s="21" t="s">
        <v>105</v>
      </c>
      <c r="E21" s="21" t="s">
        <v>113</v>
      </c>
      <c r="F21" s="5" t="s">
        <v>162</v>
      </c>
      <c r="G21" s="5" t="s">
        <v>115</v>
      </c>
      <c r="H21" s="14">
        <v>68969.0</v>
      </c>
      <c r="I21" s="22">
        <v>75558.0</v>
      </c>
      <c r="J21" s="16" t="s">
        <v>117</v>
      </c>
      <c r="K21" s="17" t="s">
        <v>119</v>
      </c>
      <c r="L21" s="19" t="s">
        <v>120</v>
      </c>
      <c r="M21" s="16"/>
      <c r="N21" s="17"/>
      <c r="O21" s="19"/>
      <c r="P21" s="19"/>
      <c r="Q21" s="5"/>
      <c r="R21" s="5"/>
      <c r="S21" s="5"/>
      <c r="T21" s="5"/>
      <c r="U21" s="20"/>
      <c r="V21" s="20"/>
    </row>
    <row r="22" ht="15.75" customHeight="1">
      <c r="A22" s="3" t="str">
        <f>OFFICIAL_ALLOCATIONS!A22</f>
        <v>F021</v>
      </c>
      <c r="B22" s="3" t="s">
        <v>163</v>
      </c>
      <c r="C22" s="11"/>
      <c r="D22" s="21" t="s">
        <v>105</v>
      </c>
      <c r="E22" s="21" t="s">
        <v>113</v>
      </c>
      <c r="F22" s="5" t="s">
        <v>164</v>
      </c>
      <c r="G22" s="5" t="s">
        <v>115</v>
      </c>
      <c r="H22" s="14">
        <v>31803.0</v>
      </c>
      <c r="I22" s="22">
        <v>34842.0</v>
      </c>
      <c r="J22" s="16" t="s">
        <v>117</v>
      </c>
      <c r="K22" s="17" t="s">
        <v>119</v>
      </c>
      <c r="L22" s="19" t="s">
        <v>120</v>
      </c>
      <c r="M22" s="16"/>
      <c r="N22" s="17"/>
      <c r="O22" s="19"/>
      <c r="P22" s="19"/>
      <c r="Q22" s="5"/>
      <c r="R22" s="5"/>
      <c r="S22" s="5"/>
      <c r="T22" s="5"/>
      <c r="U22" s="20"/>
      <c r="V22" s="20"/>
    </row>
    <row r="23" ht="15.75" customHeight="1">
      <c r="A23" s="3" t="str">
        <f>OFFICIAL_ALLOCATIONS!A23</f>
        <v>F022</v>
      </c>
      <c r="B23" s="3" t="s">
        <v>165</v>
      </c>
      <c r="C23" s="11"/>
      <c r="D23" s="21" t="s">
        <v>105</v>
      </c>
      <c r="E23" s="21" t="s">
        <v>113</v>
      </c>
      <c r="F23" s="5" t="s">
        <v>166</v>
      </c>
      <c r="G23" s="5" t="s">
        <v>115</v>
      </c>
      <c r="H23" s="14">
        <v>407990.0</v>
      </c>
      <c r="I23" s="22">
        <v>446965.0</v>
      </c>
      <c r="J23" s="16" t="s">
        <v>117</v>
      </c>
      <c r="K23" s="17" t="s">
        <v>119</v>
      </c>
      <c r="L23" s="19" t="s">
        <v>120</v>
      </c>
      <c r="M23" s="16"/>
      <c r="N23" s="17"/>
      <c r="O23" s="19"/>
      <c r="P23" s="19"/>
      <c r="Q23" s="5"/>
      <c r="R23" s="5"/>
      <c r="S23" s="5"/>
      <c r="T23" s="5"/>
      <c r="U23" s="20"/>
      <c r="V23" s="20"/>
    </row>
    <row r="24" ht="15.75" customHeight="1">
      <c r="A24" s="3" t="str">
        <f>OFFICIAL_ALLOCATIONS!A24</f>
        <v>F023</v>
      </c>
      <c r="B24" s="3" t="s">
        <v>167</v>
      </c>
      <c r="C24" s="11"/>
      <c r="D24" s="21" t="s">
        <v>105</v>
      </c>
      <c r="E24" s="21" t="s">
        <v>113</v>
      </c>
      <c r="F24" s="5" t="s">
        <v>168</v>
      </c>
      <c r="G24" s="5" t="s">
        <v>115</v>
      </c>
      <c r="H24" s="14">
        <v>512653.0</v>
      </c>
      <c r="I24" s="22">
        <v>561627.0</v>
      </c>
      <c r="J24" s="16" t="s">
        <v>117</v>
      </c>
      <c r="K24" s="17" t="s">
        <v>119</v>
      </c>
      <c r="L24" s="19" t="s">
        <v>120</v>
      </c>
      <c r="M24" s="16"/>
      <c r="N24" s="17"/>
      <c r="O24" s="19"/>
      <c r="P24" s="19"/>
      <c r="Q24" s="5"/>
      <c r="R24" s="5"/>
      <c r="S24" s="5"/>
      <c r="T24" s="5"/>
      <c r="U24" s="20"/>
      <c r="V24" s="20"/>
    </row>
    <row r="25" ht="15.75" customHeight="1">
      <c r="A25" s="3" t="str">
        <f>OFFICIAL_ALLOCATIONS!A25</f>
        <v>F024</v>
      </c>
      <c r="B25" s="3" t="s">
        <v>169</v>
      </c>
      <c r="C25" s="11"/>
      <c r="D25" s="21" t="s">
        <v>105</v>
      </c>
      <c r="E25" s="21" t="s">
        <v>113</v>
      </c>
      <c r="F25" s="5" t="s">
        <v>170</v>
      </c>
      <c r="G25" s="5" t="s">
        <v>115</v>
      </c>
      <c r="H25" s="14">
        <v>89.0</v>
      </c>
      <c r="I25" s="22">
        <v>97.0</v>
      </c>
      <c r="J25" s="16" t="s">
        <v>117</v>
      </c>
      <c r="K25" s="17" t="s">
        <v>119</v>
      </c>
      <c r="L25" s="19" t="s">
        <v>120</v>
      </c>
      <c r="M25" s="16"/>
      <c r="N25" s="17"/>
      <c r="O25" s="19"/>
      <c r="P25" s="19"/>
      <c r="Q25" s="5"/>
      <c r="R25" s="5"/>
      <c r="S25" s="5"/>
      <c r="T25" s="5"/>
      <c r="U25" s="20"/>
      <c r="V25" s="20"/>
    </row>
    <row r="26" ht="15.75" customHeight="1">
      <c r="A26" s="3" t="str">
        <f>OFFICIAL_ALLOCATIONS!A26</f>
        <v>F025</v>
      </c>
      <c r="B26" s="3" t="s">
        <v>171</v>
      </c>
      <c r="C26" s="11"/>
      <c r="D26" s="21" t="s">
        <v>105</v>
      </c>
      <c r="E26" s="21" t="s">
        <v>113</v>
      </c>
      <c r="F26" s="5" t="s">
        <v>172</v>
      </c>
      <c r="G26" s="5" t="s">
        <v>115</v>
      </c>
      <c r="H26" s="14">
        <v>1617372.0</v>
      </c>
      <c r="I26" s="22">
        <v>1771879.0</v>
      </c>
      <c r="J26" s="16" t="s">
        <v>117</v>
      </c>
      <c r="K26" s="17" t="s">
        <v>119</v>
      </c>
      <c r="L26" s="19" t="s">
        <v>120</v>
      </c>
      <c r="M26" s="16"/>
      <c r="N26" s="17"/>
      <c r="O26" s="19"/>
      <c r="P26" s="19"/>
      <c r="Q26" s="5"/>
      <c r="R26" s="5"/>
      <c r="S26" s="5"/>
      <c r="T26" s="5"/>
      <c r="U26" s="20"/>
      <c r="V26" s="20"/>
    </row>
    <row r="27" ht="15.75" customHeight="1">
      <c r="A27" s="3" t="str">
        <f>OFFICIAL_ALLOCATIONS!A27</f>
        <v>F026</v>
      </c>
      <c r="B27" s="3" t="s">
        <v>173</v>
      </c>
      <c r="C27" s="11"/>
      <c r="D27" s="21" t="s">
        <v>105</v>
      </c>
      <c r="E27" s="21" t="s">
        <v>113</v>
      </c>
      <c r="F27" s="5" t="s">
        <v>174</v>
      </c>
      <c r="G27" s="5" t="s">
        <v>115</v>
      </c>
      <c r="H27" s="14">
        <v>9663688.0</v>
      </c>
      <c r="I27" s="22">
        <v>1.0586856E7</v>
      </c>
      <c r="J27" s="16" t="s">
        <v>117</v>
      </c>
      <c r="K27" s="17" t="s">
        <v>119</v>
      </c>
      <c r="L27" s="19" t="s">
        <v>120</v>
      </c>
      <c r="M27" s="16"/>
      <c r="N27" s="17"/>
      <c r="O27" s="19"/>
      <c r="P27" s="19"/>
      <c r="Q27" s="5"/>
      <c r="R27" s="5"/>
      <c r="S27" s="5"/>
      <c r="T27" s="5"/>
      <c r="U27" s="20"/>
      <c r="V27" s="20"/>
    </row>
    <row r="28" ht="15.75" customHeight="1">
      <c r="A28" s="3" t="str">
        <f>OFFICIAL_ALLOCATIONS!A28</f>
        <v>F027</v>
      </c>
      <c r="B28" s="3" t="s">
        <v>175</v>
      </c>
      <c r="C28" s="11"/>
      <c r="D28" s="21" t="s">
        <v>105</v>
      </c>
      <c r="E28" s="21" t="s">
        <v>113</v>
      </c>
      <c r="F28" s="5" t="s">
        <v>174</v>
      </c>
      <c r="G28" s="5" t="s">
        <v>115</v>
      </c>
      <c r="H28" s="14">
        <v>3623243.0</v>
      </c>
      <c r="I28" s="22">
        <v>3969369.0</v>
      </c>
      <c r="J28" s="16" t="s">
        <v>117</v>
      </c>
      <c r="K28" s="17" t="s">
        <v>119</v>
      </c>
      <c r="L28" s="19" t="s">
        <v>120</v>
      </c>
      <c r="M28" s="16"/>
      <c r="N28" s="17"/>
      <c r="O28" s="19"/>
      <c r="P28" s="19"/>
      <c r="Q28" s="5"/>
      <c r="R28" s="5"/>
      <c r="S28" s="5"/>
      <c r="T28" s="5"/>
      <c r="U28" s="20"/>
      <c r="V28" s="20"/>
    </row>
    <row r="29" ht="15.75" customHeight="1">
      <c r="A29" s="3" t="str">
        <f>OFFICIAL_ALLOCATIONS!A29</f>
        <v>F028</v>
      </c>
      <c r="B29" s="3" t="s">
        <v>176</v>
      </c>
      <c r="C29" s="11"/>
      <c r="D29" s="21" t="s">
        <v>105</v>
      </c>
      <c r="E29" s="21" t="s">
        <v>113</v>
      </c>
      <c r="F29" s="5" t="s">
        <v>174</v>
      </c>
      <c r="G29" s="5" t="s">
        <v>115</v>
      </c>
      <c r="H29" s="14">
        <v>2728391.0</v>
      </c>
      <c r="I29" s="22">
        <v>2989033.0</v>
      </c>
      <c r="J29" s="16" t="s">
        <v>117</v>
      </c>
      <c r="K29" s="17" t="s">
        <v>119</v>
      </c>
      <c r="L29" s="19" t="s">
        <v>120</v>
      </c>
      <c r="M29" s="16"/>
      <c r="N29" s="17"/>
      <c r="O29" s="19"/>
      <c r="P29" s="19"/>
      <c r="Q29" s="5"/>
      <c r="R29" s="5"/>
      <c r="S29" s="5"/>
      <c r="T29" s="5"/>
      <c r="U29" s="20"/>
      <c r="V29" s="20"/>
    </row>
    <row r="30" ht="15.75" customHeight="1">
      <c r="A30" s="3" t="str">
        <f>OFFICIAL_ALLOCATIONS!A30</f>
        <v>F029</v>
      </c>
      <c r="B30" s="3" t="s">
        <v>177</v>
      </c>
      <c r="C30" s="11"/>
      <c r="D30" s="21" t="s">
        <v>105</v>
      </c>
      <c r="E30" s="21" t="s">
        <v>113</v>
      </c>
      <c r="F30" s="5" t="s">
        <v>178</v>
      </c>
      <c r="G30" s="5" t="s">
        <v>115</v>
      </c>
      <c r="H30" s="14">
        <v>5199840.0</v>
      </c>
      <c r="I30" s="22">
        <v>5696578.0</v>
      </c>
      <c r="J30" s="16" t="s">
        <v>117</v>
      </c>
      <c r="K30" s="17" t="s">
        <v>119</v>
      </c>
      <c r="L30" s="19" t="s">
        <v>120</v>
      </c>
      <c r="M30" s="16"/>
      <c r="N30" s="17"/>
      <c r="O30" s="19"/>
      <c r="P30" s="19"/>
      <c r="Q30" s="5"/>
      <c r="R30" s="5"/>
      <c r="S30" s="5"/>
      <c r="T30" s="5"/>
      <c r="U30" s="20"/>
      <c r="V30" s="20"/>
    </row>
    <row r="31" ht="15.75" customHeight="1">
      <c r="A31" s="3" t="str">
        <f>OFFICIAL_ALLOCATIONS!A31</f>
        <v>F030</v>
      </c>
      <c r="B31" s="3" t="s">
        <v>180</v>
      </c>
      <c r="C31" s="11"/>
      <c r="D31" s="21" t="s">
        <v>105</v>
      </c>
      <c r="E31" s="21" t="s">
        <v>113</v>
      </c>
      <c r="F31" s="5" t="s">
        <v>181</v>
      </c>
      <c r="G31" s="5" t="s">
        <v>115</v>
      </c>
      <c r="H31" s="14">
        <v>1006602.0</v>
      </c>
      <c r="I31" s="22">
        <v>1102763.0</v>
      </c>
      <c r="J31" s="16" t="s">
        <v>117</v>
      </c>
      <c r="K31" s="17" t="s">
        <v>119</v>
      </c>
      <c r="L31" s="19" t="s">
        <v>120</v>
      </c>
      <c r="M31" s="16"/>
      <c r="N31" s="17"/>
      <c r="O31" s="19"/>
      <c r="P31" s="19"/>
      <c r="Q31" s="5"/>
      <c r="R31" s="5"/>
      <c r="S31" s="5"/>
      <c r="T31" s="5"/>
      <c r="U31" s="20"/>
      <c r="V31" s="20"/>
    </row>
    <row r="32" ht="15.75" customHeight="1">
      <c r="A32" s="3" t="str">
        <f>OFFICIAL_ALLOCATIONS!A32</f>
        <v>F031</v>
      </c>
      <c r="B32" s="3" t="s">
        <v>182</v>
      </c>
      <c r="C32" s="11"/>
      <c r="D32" s="21" t="s">
        <v>105</v>
      </c>
      <c r="E32" s="21" t="s">
        <v>113</v>
      </c>
      <c r="F32" s="5" t="s">
        <v>181</v>
      </c>
      <c r="G32" s="5" t="s">
        <v>115</v>
      </c>
      <c r="H32" s="14">
        <v>1550998.0</v>
      </c>
      <c r="I32" s="22">
        <v>1699164.0</v>
      </c>
      <c r="J32" s="16" t="s">
        <v>117</v>
      </c>
      <c r="K32" s="17" t="s">
        <v>119</v>
      </c>
      <c r="L32" s="19" t="s">
        <v>120</v>
      </c>
      <c r="M32" s="16"/>
      <c r="N32" s="17"/>
      <c r="O32" s="19"/>
      <c r="P32" s="19"/>
      <c r="Q32" s="5"/>
      <c r="R32" s="5"/>
      <c r="S32" s="5"/>
      <c r="T32" s="5"/>
      <c r="U32" s="20"/>
      <c r="V32" s="20"/>
    </row>
    <row r="33" ht="15.75" customHeight="1">
      <c r="A33" s="3" t="str">
        <f>OFFICIAL_ALLOCATIONS!A33</f>
        <v>F032</v>
      </c>
      <c r="B33" s="3" t="s">
        <v>183</v>
      </c>
      <c r="C33" s="11"/>
      <c r="D33" s="21" t="s">
        <v>105</v>
      </c>
      <c r="E33" s="21" t="s">
        <v>113</v>
      </c>
      <c r="F33" s="5" t="s">
        <v>184</v>
      </c>
      <c r="G33" s="5" t="s">
        <v>115</v>
      </c>
      <c r="H33" s="14">
        <v>924021.0</v>
      </c>
      <c r="I33" s="22">
        <v>1012292.0</v>
      </c>
      <c r="J33" s="16" t="s">
        <v>117</v>
      </c>
      <c r="K33" s="17" t="s">
        <v>119</v>
      </c>
      <c r="L33" s="19" t="s">
        <v>120</v>
      </c>
      <c r="M33" s="16"/>
      <c r="N33" s="17"/>
      <c r="O33" s="19"/>
      <c r="P33" s="19"/>
      <c r="Q33" s="5"/>
      <c r="R33" s="5"/>
      <c r="S33" s="5"/>
      <c r="T33" s="5"/>
      <c r="U33" s="20"/>
      <c r="V33" s="20"/>
    </row>
    <row r="34" ht="15.75" customHeight="1">
      <c r="A34" s="3" t="str">
        <f>OFFICIAL_ALLOCATIONS!A34</f>
        <v>F033</v>
      </c>
      <c r="B34" s="3" t="s">
        <v>185</v>
      </c>
      <c r="C34" s="11"/>
      <c r="D34" s="21" t="s">
        <v>105</v>
      </c>
      <c r="E34" s="21" t="s">
        <v>113</v>
      </c>
      <c r="F34" s="5" t="s">
        <v>186</v>
      </c>
      <c r="G34" s="5" t="s">
        <v>115</v>
      </c>
      <c r="H34" s="14">
        <v>1240305.0</v>
      </c>
      <c r="I34" s="22">
        <v>1358791.0</v>
      </c>
      <c r="J34" s="16" t="s">
        <v>117</v>
      </c>
      <c r="K34" s="17" t="s">
        <v>119</v>
      </c>
      <c r="L34" s="19" t="s">
        <v>120</v>
      </c>
      <c r="M34" s="16"/>
      <c r="N34" s="17"/>
      <c r="O34" s="19"/>
      <c r="P34" s="19"/>
      <c r="Q34" s="5"/>
      <c r="R34" s="5"/>
      <c r="S34" s="5"/>
      <c r="T34" s="5"/>
      <c r="U34" s="20"/>
      <c r="V34" s="20"/>
    </row>
    <row r="35" ht="15.75" customHeight="1">
      <c r="A35" s="3" t="str">
        <f>OFFICIAL_ALLOCATIONS!A35</f>
        <v>F034</v>
      </c>
      <c r="B35" s="3" t="s">
        <v>187</v>
      </c>
      <c r="C35" s="11"/>
      <c r="D35" s="21" t="s">
        <v>105</v>
      </c>
      <c r="E35" s="21" t="s">
        <v>113</v>
      </c>
      <c r="F35" s="5" t="s">
        <v>188</v>
      </c>
      <c r="G35" s="5" t="s">
        <v>115</v>
      </c>
      <c r="H35" s="14">
        <v>5539.0</v>
      </c>
      <c r="I35" s="22">
        <v>6068.0</v>
      </c>
      <c r="J35" s="16" t="s">
        <v>117</v>
      </c>
      <c r="K35" s="17" t="s">
        <v>119</v>
      </c>
      <c r="L35" s="19" t="s">
        <v>120</v>
      </c>
      <c r="M35" s="16"/>
      <c r="N35" s="17"/>
      <c r="O35" s="19"/>
      <c r="P35" s="19"/>
      <c r="Q35" s="5"/>
      <c r="R35" s="5"/>
      <c r="S35" s="5"/>
      <c r="T35" s="5"/>
      <c r="U35" s="20"/>
      <c r="V35" s="20"/>
    </row>
    <row r="36" ht="15.75" customHeight="1">
      <c r="A36" s="3" t="str">
        <f>OFFICIAL_ALLOCATIONS!A36</f>
        <v>F035</v>
      </c>
      <c r="B36" s="3" t="s">
        <v>189</v>
      </c>
      <c r="C36" s="11"/>
      <c r="D36" s="21" t="s">
        <v>190</v>
      </c>
      <c r="E36" s="21" t="s">
        <v>191</v>
      </c>
      <c r="F36" s="5" t="s">
        <v>192</v>
      </c>
      <c r="G36" s="5" t="s">
        <v>115</v>
      </c>
      <c r="H36" s="14">
        <v>255476.0</v>
      </c>
      <c r="I36" s="22">
        <v>297830.0</v>
      </c>
      <c r="J36" s="16" t="s">
        <v>117</v>
      </c>
      <c r="K36" s="17" t="s">
        <v>119</v>
      </c>
      <c r="L36" s="19" t="s">
        <v>120</v>
      </c>
      <c r="M36" s="16"/>
      <c r="N36" s="17"/>
      <c r="O36" s="19"/>
      <c r="P36" s="19"/>
      <c r="Q36" s="5"/>
      <c r="R36" s="5"/>
      <c r="S36" s="5"/>
      <c r="T36" s="5"/>
      <c r="U36" s="20"/>
      <c r="V36" s="20"/>
    </row>
    <row r="37" ht="15.75" customHeight="1">
      <c r="A37" s="3" t="str">
        <f>OFFICIAL_ALLOCATIONS!A37</f>
        <v>F036</v>
      </c>
      <c r="B37" s="3" t="s">
        <v>193</v>
      </c>
      <c r="C37" s="11"/>
      <c r="D37" s="21" t="s">
        <v>190</v>
      </c>
      <c r="E37" s="21" t="s">
        <v>191</v>
      </c>
      <c r="F37" s="5" t="s">
        <v>194</v>
      </c>
      <c r="G37" s="5" t="s">
        <v>115</v>
      </c>
      <c r="H37" s="14">
        <v>391158.0</v>
      </c>
      <c r="I37" s="22">
        <v>456006.0</v>
      </c>
      <c r="J37" s="16" t="s">
        <v>117</v>
      </c>
      <c r="K37" s="17" t="s">
        <v>119</v>
      </c>
      <c r="L37" s="19" t="s">
        <v>120</v>
      </c>
      <c r="M37" s="16"/>
      <c r="N37" s="17"/>
      <c r="O37" s="19"/>
      <c r="P37" s="19"/>
      <c r="Q37" s="5"/>
      <c r="R37" s="5"/>
      <c r="S37" s="5"/>
      <c r="T37" s="5"/>
      <c r="U37" s="20"/>
      <c r="V37" s="20"/>
    </row>
    <row r="38" ht="15.75" customHeight="1">
      <c r="A38" s="3" t="str">
        <f>OFFICIAL_ALLOCATIONS!A38</f>
        <v>F037</v>
      </c>
      <c r="B38" s="3" t="s">
        <v>195</v>
      </c>
      <c r="C38" s="11"/>
      <c r="D38" s="21" t="s">
        <v>190</v>
      </c>
      <c r="E38" s="21" t="s">
        <v>191</v>
      </c>
      <c r="F38" s="5" t="s">
        <v>196</v>
      </c>
      <c r="G38" s="5" t="s">
        <v>115</v>
      </c>
      <c r="H38" s="14">
        <v>33053.0</v>
      </c>
      <c r="I38" s="22">
        <v>38533.0</v>
      </c>
      <c r="J38" s="16" t="s">
        <v>117</v>
      </c>
      <c r="K38" s="17" t="s">
        <v>119</v>
      </c>
      <c r="L38" s="19" t="s">
        <v>120</v>
      </c>
      <c r="M38" s="16"/>
      <c r="N38" s="17"/>
      <c r="O38" s="19"/>
      <c r="P38" s="19"/>
      <c r="Q38" s="5"/>
      <c r="R38" s="5"/>
      <c r="S38" s="5"/>
      <c r="T38" s="5"/>
      <c r="U38" s="20"/>
      <c r="V38" s="20"/>
    </row>
    <row r="39" ht="15.75" customHeight="1">
      <c r="A39" s="3" t="str">
        <f>OFFICIAL_ALLOCATIONS!A39</f>
        <v>F038</v>
      </c>
      <c r="B39" s="3" t="s">
        <v>197</v>
      </c>
      <c r="C39" s="11"/>
      <c r="D39" s="21" t="s">
        <v>190</v>
      </c>
      <c r="E39" s="21" t="s">
        <v>191</v>
      </c>
      <c r="F39" s="5" t="s">
        <v>198</v>
      </c>
      <c r="G39" s="5" t="s">
        <v>115</v>
      </c>
      <c r="H39" s="14">
        <v>902.0</v>
      </c>
      <c r="I39" s="22">
        <v>1052.0</v>
      </c>
      <c r="J39" s="16" t="s">
        <v>117</v>
      </c>
      <c r="K39" s="17" t="s">
        <v>119</v>
      </c>
      <c r="L39" s="19" t="s">
        <v>120</v>
      </c>
      <c r="M39" s="16"/>
      <c r="N39" s="17"/>
      <c r="O39" s="19"/>
      <c r="P39" s="19"/>
      <c r="Q39" s="5"/>
      <c r="R39" s="5"/>
      <c r="S39" s="5"/>
      <c r="T39" s="5"/>
      <c r="U39" s="20"/>
      <c r="V39" s="20"/>
    </row>
    <row r="40" ht="15.75" customHeight="1">
      <c r="A40" s="3" t="str">
        <f>OFFICIAL_ALLOCATIONS!A40</f>
        <v>F039</v>
      </c>
      <c r="B40" s="3" t="s">
        <v>199</v>
      </c>
      <c r="C40" s="11"/>
      <c r="D40" s="21" t="s">
        <v>190</v>
      </c>
      <c r="E40" s="21" t="s">
        <v>191</v>
      </c>
      <c r="F40" s="5" t="s">
        <v>200</v>
      </c>
      <c r="G40" s="5" t="s">
        <v>115</v>
      </c>
      <c r="H40" s="14">
        <v>2406.0</v>
      </c>
      <c r="I40" s="22">
        <v>2804.0</v>
      </c>
      <c r="J40" s="16" t="s">
        <v>117</v>
      </c>
      <c r="K40" s="17" t="s">
        <v>119</v>
      </c>
      <c r="L40" s="19" t="s">
        <v>120</v>
      </c>
      <c r="M40" s="16"/>
      <c r="N40" s="17"/>
      <c r="O40" s="19"/>
      <c r="P40" s="19"/>
      <c r="Q40" s="5"/>
      <c r="R40" s="5"/>
      <c r="S40" s="5"/>
      <c r="T40" s="5"/>
      <c r="U40" s="20"/>
      <c r="V40" s="20"/>
    </row>
    <row r="41" ht="15.75" customHeight="1">
      <c r="A41" s="3" t="str">
        <f>OFFICIAL_ALLOCATIONS!A41</f>
        <v>F040</v>
      </c>
      <c r="B41" s="3" t="s">
        <v>201</v>
      </c>
      <c r="C41" s="11"/>
      <c r="D41" s="21" t="s">
        <v>190</v>
      </c>
      <c r="E41" s="21" t="s">
        <v>191</v>
      </c>
      <c r="F41" s="5" t="s">
        <v>178</v>
      </c>
      <c r="G41" s="5" t="s">
        <v>115</v>
      </c>
      <c r="H41" s="14">
        <v>1.366693E7</v>
      </c>
      <c r="I41" s="22">
        <v>1.5932703E7</v>
      </c>
      <c r="J41" s="16" t="s">
        <v>117</v>
      </c>
      <c r="K41" s="17" t="s">
        <v>119</v>
      </c>
      <c r="L41" s="19" t="s">
        <v>120</v>
      </c>
      <c r="M41" s="16"/>
      <c r="N41" s="17"/>
      <c r="O41" s="19"/>
      <c r="P41" s="19"/>
      <c r="Q41" s="5"/>
      <c r="R41" s="5"/>
      <c r="S41" s="5"/>
      <c r="T41" s="5"/>
      <c r="U41" s="20"/>
      <c r="V41" s="20"/>
    </row>
    <row r="42" ht="15.75" customHeight="1">
      <c r="A42" s="3" t="str">
        <f>OFFICIAL_ALLOCATIONS!A42</f>
        <v>F041</v>
      </c>
      <c r="B42" s="3" t="s">
        <v>202</v>
      </c>
      <c r="C42" s="11"/>
      <c r="D42" s="21" t="s">
        <v>190</v>
      </c>
      <c r="E42" s="21" t="s">
        <v>191</v>
      </c>
      <c r="F42" s="5" t="s">
        <v>203</v>
      </c>
      <c r="G42" s="5" t="s">
        <v>115</v>
      </c>
      <c r="H42" s="14">
        <v>1.1218848E7</v>
      </c>
      <c r="I42" s="22">
        <v>1.3078765E7</v>
      </c>
      <c r="J42" s="16" t="s">
        <v>117</v>
      </c>
      <c r="K42" s="17" t="s">
        <v>119</v>
      </c>
      <c r="L42" s="19" t="s">
        <v>120</v>
      </c>
      <c r="M42" s="16"/>
      <c r="N42" s="17"/>
      <c r="O42" s="19"/>
      <c r="P42" s="19"/>
      <c r="Q42" s="5"/>
      <c r="R42" s="5"/>
      <c r="S42" s="5"/>
      <c r="T42" s="5"/>
      <c r="U42" s="20"/>
      <c r="V42" s="20"/>
    </row>
    <row r="43" ht="15.75" customHeight="1">
      <c r="A43" s="3" t="str">
        <f>OFFICIAL_ALLOCATIONS!A43</f>
        <v>F042</v>
      </c>
      <c r="B43" s="3" t="s">
        <v>204</v>
      </c>
      <c r="C43" s="11"/>
      <c r="D43" s="21" t="s">
        <v>190</v>
      </c>
      <c r="E43" s="21" t="s">
        <v>191</v>
      </c>
      <c r="F43" s="5" t="s">
        <v>205</v>
      </c>
      <c r="G43" s="5" t="s">
        <v>115</v>
      </c>
      <c r="H43" s="14">
        <v>12842.0</v>
      </c>
      <c r="I43" s="22">
        <v>14971.0</v>
      </c>
      <c r="J43" s="16" t="s">
        <v>117</v>
      </c>
      <c r="K43" s="17" t="s">
        <v>119</v>
      </c>
      <c r="L43" s="19" t="s">
        <v>120</v>
      </c>
      <c r="M43" s="16"/>
      <c r="N43" s="17"/>
      <c r="O43" s="19"/>
      <c r="P43" s="19"/>
      <c r="Q43" s="5"/>
      <c r="R43" s="5"/>
      <c r="S43" s="5"/>
      <c r="T43" s="5"/>
      <c r="U43" s="20"/>
      <c r="V43" s="20"/>
    </row>
    <row r="44" ht="15.75" customHeight="1">
      <c r="A44" s="3" t="str">
        <f>OFFICIAL_ALLOCATIONS!A44</f>
        <v>F043</v>
      </c>
      <c r="B44" s="3" t="s">
        <v>206</v>
      </c>
      <c r="C44" s="11"/>
      <c r="D44" s="21" t="s">
        <v>190</v>
      </c>
      <c r="E44" s="21" t="s">
        <v>191</v>
      </c>
      <c r="F44" s="5" t="s">
        <v>207</v>
      </c>
      <c r="G44" s="5" t="s">
        <v>115</v>
      </c>
      <c r="H44" s="14">
        <v>52001.0</v>
      </c>
      <c r="I44" s="22">
        <v>60622.0</v>
      </c>
      <c r="J44" s="16" t="s">
        <v>117</v>
      </c>
      <c r="K44" s="17" t="s">
        <v>119</v>
      </c>
      <c r="L44" s="19" t="s">
        <v>120</v>
      </c>
      <c r="M44" s="16"/>
      <c r="N44" s="17"/>
      <c r="O44" s="19"/>
      <c r="P44" s="19"/>
      <c r="Q44" s="5"/>
      <c r="R44" s="5"/>
      <c r="S44" s="5"/>
      <c r="T44" s="5"/>
      <c r="U44" s="20"/>
      <c r="V44" s="20"/>
    </row>
    <row r="45" ht="15.75" customHeight="1">
      <c r="A45" s="3" t="str">
        <f>OFFICIAL_ALLOCATIONS!A45</f>
        <v>F044</v>
      </c>
      <c r="B45" s="3" t="s">
        <v>208</v>
      </c>
      <c r="C45" s="11"/>
      <c r="D45" s="21" t="s">
        <v>190</v>
      </c>
      <c r="E45" s="21" t="s">
        <v>191</v>
      </c>
      <c r="F45" s="5" t="s">
        <v>209</v>
      </c>
      <c r="G45" s="5" t="s">
        <v>115</v>
      </c>
      <c r="H45" s="14">
        <v>14952.0</v>
      </c>
      <c r="I45" s="22">
        <v>17431.0</v>
      </c>
      <c r="J45" s="16" t="s">
        <v>117</v>
      </c>
      <c r="K45" s="17" t="s">
        <v>119</v>
      </c>
      <c r="L45" s="19" t="s">
        <v>120</v>
      </c>
      <c r="M45" s="16"/>
      <c r="N45" s="17"/>
      <c r="O45" s="19"/>
      <c r="P45" s="19"/>
      <c r="Q45" s="5"/>
      <c r="R45" s="5"/>
      <c r="S45" s="5"/>
      <c r="T45" s="5"/>
      <c r="U45" s="20"/>
      <c r="V45" s="20"/>
    </row>
    <row r="46" ht="15.75" customHeight="1">
      <c r="A46" s="3" t="str">
        <f>OFFICIAL_ALLOCATIONS!A46</f>
        <v>F045</v>
      </c>
      <c r="B46" s="3" t="s">
        <v>210</v>
      </c>
      <c r="C46" s="11"/>
      <c r="D46" s="21" t="s">
        <v>190</v>
      </c>
      <c r="E46" s="21" t="s">
        <v>191</v>
      </c>
      <c r="F46" s="5" t="s">
        <v>211</v>
      </c>
      <c r="G46" s="5" t="s">
        <v>115</v>
      </c>
      <c r="H46" s="14">
        <v>46390.0</v>
      </c>
      <c r="I46" s="22">
        <v>54081.0</v>
      </c>
      <c r="J46" s="16" t="s">
        <v>117</v>
      </c>
      <c r="K46" s="17" t="s">
        <v>119</v>
      </c>
      <c r="L46" s="19" t="s">
        <v>120</v>
      </c>
      <c r="M46" s="16"/>
      <c r="N46" s="17"/>
      <c r="O46" s="19"/>
      <c r="P46" s="19"/>
      <c r="Q46" s="5"/>
      <c r="R46" s="5"/>
      <c r="S46" s="5"/>
      <c r="T46" s="5"/>
      <c r="U46" s="20"/>
      <c r="V46" s="20"/>
    </row>
    <row r="47" ht="15.75" customHeight="1">
      <c r="A47" s="3" t="str">
        <f>OFFICIAL_ALLOCATIONS!A47</f>
        <v>F046</v>
      </c>
      <c r="B47" s="3" t="s">
        <v>212</v>
      </c>
      <c r="C47" s="11"/>
      <c r="D47" s="21" t="s">
        <v>190</v>
      </c>
      <c r="E47" s="21" t="s">
        <v>191</v>
      </c>
      <c r="F47" s="5" t="s">
        <v>213</v>
      </c>
      <c r="G47" s="5" t="s">
        <v>115</v>
      </c>
      <c r="H47" s="14">
        <v>50549.0</v>
      </c>
      <c r="I47" s="22">
        <v>58930.0</v>
      </c>
      <c r="J47" s="16" t="s">
        <v>117</v>
      </c>
      <c r="K47" s="17" t="s">
        <v>119</v>
      </c>
      <c r="L47" s="19" t="s">
        <v>120</v>
      </c>
      <c r="M47" s="16"/>
      <c r="N47" s="17"/>
      <c r="O47" s="19"/>
      <c r="P47" s="19"/>
      <c r="Q47" s="5"/>
      <c r="R47" s="5"/>
      <c r="S47" s="5"/>
      <c r="T47" s="5"/>
      <c r="U47" s="20"/>
      <c r="V47" s="20"/>
    </row>
    <row r="48" ht="15.75" customHeight="1">
      <c r="A48" s="3" t="str">
        <f>OFFICIAL_ALLOCATIONS!A48</f>
        <v>F047</v>
      </c>
      <c r="B48" s="3" t="s">
        <v>214</v>
      </c>
      <c r="C48" s="11"/>
      <c r="D48" s="21" t="s">
        <v>190</v>
      </c>
      <c r="E48" s="21" t="s">
        <v>191</v>
      </c>
      <c r="F48" s="5" t="s">
        <v>215</v>
      </c>
      <c r="G48" s="5" t="s">
        <v>115</v>
      </c>
      <c r="H48" s="14">
        <v>44367.0</v>
      </c>
      <c r="I48" s="22">
        <v>51723.0</v>
      </c>
      <c r="J48" s="16" t="s">
        <v>117</v>
      </c>
      <c r="K48" s="17" t="s">
        <v>119</v>
      </c>
      <c r="L48" s="19" t="s">
        <v>120</v>
      </c>
      <c r="M48" s="16"/>
      <c r="N48" s="17"/>
      <c r="O48" s="19"/>
      <c r="P48" s="19"/>
      <c r="Q48" s="5"/>
      <c r="R48" s="5"/>
      <c r="S48" s="5"/>
      <c r="T48" s="5"/>
      <c r="U48" s="20"/>
      <c r="V48" s="20"/>
    </row>
    <row r="49" ht="15.75" customHeight="1">
      <c r="A49" s="3" t="str">
        <f>OFFICIAL_ALLOCATIONS!A49</f>
        <v>F048</v>
      </c>
      <c r="B49" s="3" t="s">
        <v>216</v>
      </c>
      <c r="C49" s="11"/>
      <c r="D49" s="21" t="s">
        <v>190</v>
      </c>
      <c r="E49" s="21" t="s">
        <v>191</v>
      </c>
      <c r="F49" s="5" t="s">
        <v>217</v>
      </c>
      <c r="G49" s="5" t="s">
        <v>115</v>
      </c>
      <c r="H49" s="14">
        <v>2050.0</v>
      </c>
      <c r="I49" s="22">
        <v>2390.0</v>
      </c>
      <c r="J49" s="16" t="s">
        <v>117</v>
      </c>
      <c r="K49" s="17" t="s">
        <v>119</v>
      </c>
      <c r="L49" s="19" t="s">
        <v>120</v>
      </c>
      <c r="M49" s="16"/>
      <c r="N49" s="17"/>
      <c r="O49" s="19"/>
      <c r="P49" s="19"/>
      <c r="Q49" s="5"/>
      <c r="R49" s="5"/>
      <c r="S49" s="5"/>
      <c r="T49" s="5"/>
      <c r="U49" s="20"/>
      <c r="V49" s="20"/>
    </row>
    <row r="50" ht="15.75" customHeight="1">
      <c r="A50" s="3" t="str">
        <f>OFFICIAL_ALLOCATIONS!A50</f>
        <v>F049</v>
      </c>
      <c r="B50" s="3" t="s">
        <v>218</v>
      </c>
      <c r="C50" s="11"/>
      <c r="D50" s="21" t="s">
        <v>190</v>
      </c>
      <c r="E50" s="21" t="s">
        <v>191</v>
      </c>
      <c r="F50" s="5" t="s">
        <v>219</v>
      </c>
      <c r="G50" s="5" t="s">
        <v>115</v>
      </c>
      <c r="H50" s="14">
        <v>265.0</v>
      </c>
      <c r="I50" s="22">
        <v>310.0</v>
      </c>
      <c r="J50" s="16" t="s">
        <v>117</v>
      </c>
      <c r="K50" s="17" t="s">
        <v>119</v>
      </c>
      <c r="L50" s="19" t="s">
        <v>120</v>
      </c>
      <c r="M50" s="16"/>
      <c r="N50" s="17"/>
      <c r="O50" s="19"/>
      <c r="P50" s="19"/>
      <c r="Q50" s="5"/>
      <c r="R50" s="5"/>
      <c r="S50" s="5"/>
      <c r="T50" s="5"/>
      <c r="U50" s="20"/>
      <c r="V50" s="20"/>
    </row>
    <row r="51" ht="15.75" customHeight="1">
      <c r="A51" s="3" t="str">
        <f>OFFICIAL_ALLOCATIONS!A51</f>
        <v>F050</v>
      </c>
      <c r="B51" s="3" t="s">
        <v>221</v>
      </c>
      <c r="C51" s="11"/>
      <c r="D51" s="21" t="s">
        <v>190</v>
      </c>
      <c r="E51" s="21" t="s">
        <v>191</v>
      </c>
      <c r="F51" s="5" t="s">
        <v>222</v>
      </c>
      <c r="G51" s="5" t="s">
        <v>115</v>
      </c>
      <c r="H51" s="14">
        <v>2559.0</v>
      </c>
      <c r="I51" s="22">
        <v>2983.0</v>
      </c>
      <c r="J51" s="16" t="s">
        <v>117</v>
      </c>
      <c r="K51" s="17" t="s">
        <v>119</v>
      </c>
      <c r="L51" s="19" t="s">
        <v>120</v>
      </c>
      <c r="M51" s="16"/>
      <c r="N51" s="17"/>
      <c r="O51" s="19"/>
      <c r="P51" s="19"/>
      <c r="Q51" s="5"/>
      <c r="R51" s="5"/>
      <c r="S51" s="5"/>
      <c r="T51" s="5"/>
      <c r="U51" s="20"/>
      <c r="V51" s="20"/>
    </row>
    <row r="52" ht="15.75" customHeight="1">
      <c r="A52" s="3" t="str">
        <f>OFFICIAL_ALLOCATIONS!A52</f>
        <v>F051</v>
      </c>
      <c r="B52" s="3" t="s">
        <v>229</v>
      </c>
      <c r="C52" s="11"/>
      <c r="D52" s="21" t="s">
        <v>190</v>
      </c>
      <c r="E52" s="21" t="s">
        <v>191</v>
      </c>
      <c r="F52" s="5" t="s">
        <v>231</v>
      </c>
      <c r="G52" s="5" t="s">
        <v>115</v>
      </c>
      <c r="H52" s="14">
        <v>246.0</v>
      </c>
      <c r="I52" s="22">
        <v>287.0</v>
      </c>
      <c r="J52" s="16" t="s">
        <v>117</v>
      </c>
      <c r="K52" s="17" t="s">
        <v>119</v>
      </c>
      <c r="L52" s="19" t="s">
        <v>120</v>
      </c>
      <c r="M52" s="16"/>
      <c r="N52" s="17"/>
      <c r="O52" s="19"/>
      <c r="P52" s="19"/>
      <c r="Q52" s="5"/>
      <c r="R52" s="5"/>
      <c r="S52" s="5"/>
      <c r="T52" s="5"/>
      <c r="U52" s="20"/>
      <c r="V52" s="20"/>
    </row>
    <row r="53" ht="15.75" customHeight="1">
      <c r="A53" s="3" t="str">
        <f>OFFICIAL_ALLOCATIONS!A53</f>
        <v>F052</v>
      </c>
      <c r="B53" s="3" t="s">
        <v>243</v>
      </c>
      <c r="C53" s="11"/>
      <c r="D53" s="21" t="s">
        <v>190</v>
      </c>
      <c r="E53" s="21" t="s">
        <v>191</v>
      </c>
      <c r="F53" s="5" t="s">
        <v>246</v>
      </c>
      <c r="G53" s="5" t="s">
        <v>115</v>
      </c>
      <c r="H53" s="14">
        <v>6602.0</v>
      </c>
      <c r="I53" s="22">
        <v>7696.0</v>
      </c>
      <c r="J53" s="16" t="s">
        <v>117</v>
      </c>
      <c r="K53" s="17" t="s">
        <v>119</v>
      </c>
      <c r="L53" s="19" t="s">
        <v>120</v>
      </c>
      <c r="M53" s="16"/>
      <c r="N53" s="17"/>
      <c r="O53" s="19"/>
      <c r="P53" s="19"/>
      <c r="Q53" s="5"/>
      <c r="R53" s="5"/>
      <c r="S53" s="5"/>
      <c r="T53" s="5"/>
      <c r="U53" s="20"/>
      <c r="V53" s="20"/>
    </row>
    <row r="54" ht="15.75" customHeight="1">
      <c r="A54" s="3" t="str">
        <f>OFFICIAL_ALLOCATIONS!A54</f>
        <v>F053</v>
      </c>
      <c r="B54" s="3" t="s">
        <v>258</v>
      </c>
      <c r="C54" s="11"/>
      <c r="D54" s="21" t="s">
        <v>190</v>
      </c>
      <c r="E54" s="21" t="s">
        <v>191</v>
      </c>
      <c r="F54" s="5" t="s">
        <v>260</v>
      </c>
      <c r="G54" s="5" t="s">
        <v>115</v>
      </c>
      <c r="H54" s="14">
        <v>715.0</v>
      </c>
      <c r="I54" s="22">
        <v>833.0</v>
      </c>
      <c r="J54" s="16" t="s">
        <v>117</v>
      </c>
      <c r="K54" s="17" t="s">
        <v>119</v>
      </c>
      <c r="L54" s="19" t="s">
        <v>120</v>
      </c>
      <c r="M54" s="16"/>
      <c r="N54" s="17"/>
      <c r="O54" s="19"/>
      <c r="P54" s="19"/>
      <c r="Q54" s="5"/>
      <c r="R54" s="5"/>
      <c r="S54" s="5"/>
      <c r="T54" s="5"/>
      <c r="U54" s="20"/>
      <c r="V54" s="20"/>
    </row>
    <row r="55" ht="15.75" customHeight="1">
      <c r="A55" s="3" t="str">
        <f>OFFICIAL_ALLOCATIONS!A55</f>
        <v>F054</v>
      </c>
      <c r="B55" s="3" t="s">
        <v>277</v>
      </c>
      <c r="C55" s="11"/>
      <c r="D55" s="21" t="s">
        <v>190</v>
      </c>
      <c r="E55" s="21" t="s">
        <v>191</v>
      </c>
      <c r="F55" s="5" t="s">
        <v>279</v>
      </c>
      <c r="G55" s="5" t="s">
        <v>115</v>
      </c>
      <c r="H55" s="14">
        <v>4494857.0</v>
      </c>
      <c r="I55" s="22">
        <v>5240036.0</v>
      </c>
      <c r="J55" s="16" t="s">
        <v>117</v>
      </c>
      <c r="K55" s="17" t="s">
        <v>119</v>
      </c>
      <c r="L55" s="19" t="s">
        <v>120</v>
      </c>
      <c r="M55" s="16"/>
      <c r="N55" s="17"/>
      <c r="O55" s="19"/>
      <c r="P55" s="19"/>
      <c r="Q55" s="5"/>
      <c r="R55" s="5"/>
      <c r="S55" s="5"/>
      <c r="T55" s="5"/>
      <c r="U55" s="20"/>
      <c r="V55" s="20"/>
    </row>
    <row r="56" ht="15.75" customHeight="1">
      <c r="A56" s="3" t="str">
        <f>OFFICIAL_ALLOCATIONS!A56</f>
        <v>F055</v>
      </c>
      <c r="B56" s="3" t="s">
        <v>297</v>
      </c>
      <c r="C56" s="11"/>
      <c r="D56" s="21" t="s">
        <v>190</v>
      </c>
      <c r="E56" s="21" t="s">
        <v>191</v>
      </c>
      <c r="F56" s="5" t="s">
        <v>301</v>
      </c>
      <c r="G56" s="5" t="s">
        <v>115</v>
      </c>
      <c r="H56" s="14">
        <v>487238.0</v>
      </c>
      <c r="I56" s="22">
        <v>568015.0</v>
      </c>
      <c r="J56" s="16" t="s">
        <v>117</v>
      </c>
      <c r="K56" s="17" t="s">
        <v>119</v>
      </c>
      <c r="L56" s="19" t="s">
        <v>120</v>
      </c>
      <c r="M56" s="16"/>
      <c r="N56" s="17"/>
      <c r="O56" s="19"/>
      <c r="P56" s="19"/>
      <c r="Q56" s="5"/>
      <c r="R56" s="5"/>
      <c r="S56" s="5"/>
      <c r="T56" s="5"/>
      <c r="U56" s="20"/>
      <c r="V56" s="20"/>
    </row>
    <row r="57" ht="15.75" customHeight="1">
      <c r="A57" s="3" t="str">
        <f>OFFICIAL_ALLOCATIONS!A57</f>
        <v>F056</v>
      </c>
      <c r="B57" s="3" t="s">
        <v>308</v>
      </c>
      <c r="C57" s="11"/>
      <c r="D57" s="21" t="s">
        <v>190</v>
      </c>
      <c r="E57" s="21" t="s">
        <v>191</v>
      </c>
      <c r="F57" s="5" t="s">
        <v>309</v>
      </c>
      <c r="G57" s="5" t="s">
        <v>115</v>
      </c>
      <c r="H57" s="14">
        <v>11961.0</v>
      </c>
      <c r="I57" s="22">
        <v>13944.0</v>
      </c>
      <c r="J57" s="16" t="s">
        <v>117</v>
      </c>
      <c r="K57" s="17" t="s">
        <v>119</v>
      </c>
      <c r="L57" s="19" t="s">
        <v>120</v>
      </c>
      <c r="M57" s="16"/>
      <c r="N57" s="17"/>
      <c r="O57" s="19"/>
      <c r="P57" s="19"/>
      <c r="Q57" s="5"/>
      <c r="R57" s="5"/>
      <c r="S57" s="5"/>
      <c r="T57" s="5"/>
      <c r="U57" s="20"/>
      <c r="V57" s="20"/>
    </row>
    <row r="58" ht="15.75" customHeight="1">
      <c r="A58" s="3" t="str">
        <f>OFFICIAL_ALLOCATIONS!A58</f>
        <v>F057</v>
      </c>
      <c r="B58" s="3" t="s">
        <v>325</v>
      </c>
      <c r="C58" s="11"/>
      <c r="D58" s="21" t="s">
        <v>190</v>
      </c>
      <c r="E58" s="21" t="s">
        <v>191</v>
      </c>
      <c r="F58" s="5" t="s">
        <v>327</v>
      </c>
      <c r="G58" s="5" t="s">
        <v>115</v>
      </c>
      <c r="H58" s="14">
        <v>15530.0</v>
      </c>
      <c r="I58" s="22">
        <v>18105.0</v>
      </c>
      <c r="J58" s="16" t="s">
        <v>117</v>
      </c>
      <c r="K58" s="17" t="s">
        <v>119</v>
      </c>
      <c r="L58" s="19" t="s">
        <v>120</v>
      </c>
      <c r="M58" s="16"/>
      <c r="N58" s="17"/>
      <c r="O58" s="19"/>
      <c r="P58" s="19"/>
      <c r="Q58" s="5"/>
      <c r="R58" s="5"/>
      <c r="S58" s="5"/>
      <c r="T58" s="5"/>
      <c r="U58" s="20"/>
      <c r="V58" s="20"/>
    </row>
    <row r="59" ht="15.75" customHeight="1">
      <c r="A59" s="3" t="str">
        <f>OFFICIAL_ALLOCATIONS!A59</f>
        <v>F058</v>
      </c>
      <c r="B59" s="3" t="s">
        <v>334</v>
      </c>
      <c r="C59" s="11"/>
      <c r="D59" s="21" t="s">
        <v>190</v>
      </c>
      <c r="E59" s="21" t="s">
        <v>191</v>
      </c>
      <c r="F59" s="5" t="s">
        <v>335</v>
      </c>
      <c r="G59" s="5" t="s">
        <v>115</v>
      </c>
      <c r="H59" s="14">
        <v>2893.0</v>
      </c>
      <c r="I59" s="22">
        <v>3372.0</v>
      </c>
      <c r="J59" s="16" t="s">
        <v>117</v>
      </c>
      <c r="K59" s="17" t="s">
        <v>119</v>
      </c>
      <c r="L59" s="19" t="s">
        <v>120</v>
      </c>
      <c r="M59" s="16"/>
      <c r="N59" s="17"/>
      <c r="O59" s="19"/>
      <c r="P59" s="19"/>
      <c r="Q59" s="5"/>
      <c r="R59" s="5"/>
      <c r="S59" s="5"/>
      <c r="T59" s="5"/>
      <c r="U59" s="20"/>
      <c r="V59" s="20"/>
    </row>
    <row r="60" ht="15.75" customHeight="1">
      <c r="A60" s="3" t="str">
        <f>OFFICIAL_ALLOCATIONS!A60</f>
        <v>F059</v>
      </c>
      <c r="B60" s="3" t="s">
        <v>337</v>
      </c>
      <c r="C60" s="11"/>
      <c r="D60" s="21" t="s">
        <v>190</v>
      </c>
      <c r="E60" s="21" t="s">
        <v>191</v>
      </c>
      <c r="F60" s="5" t="s">
        <v>338</v>
      </c>
      <c r="G60" s="5" t="s">
        <v>115</v>
      </c>
      <c r="H60" s="14">
        <v>236403.0</v>
      </c>
      <c r="I60" s="22">
        <v>275595.0</v>
      </c>
      <c r="J60" s="16" t="s">
        <v>117</v>
      </c>
      <c r="K60" s="17" t="s">
        <v>119</v>
      </c>
      <c r="L60" s="19" t="s">
        <v>120</v>
      </c>
      <c r="M60" s="16"/>
      <c r="N60" s="17"/>
      <c r="O60" s="19"/>
      <c r="P60" s="19"/>
      <c r="Q60" s="5"/>
      <c r="R60" s="5"/>
      <c r="S60" s="5"/>
      <c r="T60" s="5"/>
      <c r="U60" s="20"/>
      <c r="V60" s="20"/>
    </row>
    <row r="61" ht="15.75" customHeight="1">
      <c r="A61" s="3" t="str">
        <f>OFFICIAL_ALLOCATIONS!A61</f>
        <v>F060</v>
      </c>
      <c r="B61" s="3" t="s">
        <v>339</v>
      </c>
      <c r="C61" s="11"/>
      <c r="D61" s="21" t="s">
        <v>340</v>
      </c>
      <c r="E61" s="21" t="s">
        <v>341</v>
      </c>
      <c r="F61" s="5" t="s">
        <v>342</v>
      </c>
      <c r="G61" s="5" t="s">
        <v>115</v>
      </c>
      <c r="H61" s="14">
        <v>109943.0</v>
      </c>
      <c r="I61" s="22">
        <v>120305.0</v>
      </c>
      <c r="J61" s="16" t="s">
        <v>117</v>
      </c>
      <c r="K61" s="17" t="s">
        <v>119</v>
      </c>
      <c r="L61" s="19" t="s">
        <v>120</v>
      </c>
      <c r="M61" s="16"/>
      <c r="N61" s="17"/>
      <c r="O61" s="19"/>
      <c r="P61" s="19"/>
      <c r="Q61" s="5"/>
      <c r="R61" s="5"/>
      <c r="S61" s="5"/>
      <c r="T61" s="5"/>
      <c r="U61" s="20"/>
      <c r="V61" s="20"/>
    </row>
    <row r="62" ht="15.75" customHeight="1">
      <c r="A62" s="3" t="str">
        <f>OFFICIAL_ALLOCATIONS!A62</f>
        <v>F061</v>
      </c>
      <c r="B62" s="3" t="s">
        <v>343</v>
      </c>
      <c r="C62" s="11"/>
      <c r="D62" s="21" t="s">
        <v>340</v>
      </c>
      <c r="E62" s="21" t="s">
        <v>341</v>
      </c>
      <c r="F62" s="5" t="s">
        <v>344</v>
      </c>
      <c r="G62" s="5" t="s">
        <v>115</v>
      </c>
      <c r="H62" s="14">
        <v>648135.0</v>
      </c>
      <c r="I62" s="22">
        <v>709220.0</v>
      </c>
      <c r="J62" s="16" t="s">
        <v>117</v>
      </c>
      <c r="K62" s="17" t="s">
        <v>119</v>
      </c>
      <c r="L62" s="19" t="s">
        <v>120</v>
      </c>
      <c r="M62" s="16"/>
      <c r="N62" s="17"/>
      <c r="O62" s="19"/>
      <c r="P62" s="19"/>
      <c r="Q62" s="5"/>
      <c r="R62" s="5"/>
      <c r="S62" s="5"/>
      <c r="T62" s="5"/>
      <c r="U62" s="20"/>
      <c r="V62" s="20"/>
    </row>
    <row r="63" ht="15.75" customHeight="1">
      <c r="A63" s="3" t="str">
        <f>OFFICIAL_ALLOCATIONS!A63</f>
        <v>F062</v>
      </c>
      <c r="B63" s="3" t="s">
        <v>345</v>
      </c>
      <c r="C63" s="11"/>
      <c r="D63" s="21" t="s">
        <v>340</v>
      </c>
      <c r="E63" s="21" t="s">
        <v>341</v>
      </c>
      <c r="F63" s="5" t="s">
        <v>346</v>
      </c>
      <c r="G63" s="5" t="s">
        <v>115</v>
      </c>
      <c r="H63" s="14">
        <v>369109.0</v>
      </c>
      <c r="I63" s="22">
        <v>403897.0</v>
      </c>
      <c r="J63" s="16" t="s">
        <v>117</v>
      </c>
      <c r="K63" s="17" t="s">
        <v>119</v>
      </c>
      <c r="L63" s="19" t="s">
        <v>120</v>
      </c>
      <c r="M63" s="16"/>
      <c r="N63" s="17"/>
      <c r="O63" s="19"/>
      <c r="P63" s="19"/>
      <c r="Q63" s="5"/>
      <c r="R63" s="5"/>
      <c r="S63" s="5"/>
      <c r="T63" s="5"/>
      <c r="U63" s="20"/>
      <c r="V63" s="20"/>
    </row>
    <row r="64" ht="15.75" customHeight="1">
      <c r="A64" s="3" t="str">
        <f>OFFICIAL_ALLOCATIONS!A64</f>
        <v>F063</v>
      </c>
      <c r="B64" s="3" t="s">
        <v>347</v>
      </c>
      <c r="C64" s="11"/>
      <c r="D64" s="21" t="s">
        <v>340</v>
      </c>
      <c r="E64" s="21" t="s">
        <v>341</v>
      </c>
      <c r="F64" s="5" t="s">
        <v>348</v>
      </c>
      <c r="G64" s="5" t="s">
        <v>115</v>
      </c>
      <c r="H64" s="14">
        <v>359956.0</v>
      </c>
      <c r="I64" s="22">
        <v>393882.0</v>
      </c>
      <c r="J64" s="16" t="s">
        <v>117</v>
      </c>
      <c r="K64" s="17" t="s">
        <v>119</v>
      </c>
      <c r="L64" s="19" t="s">
        <v>120</v>
      </c>
      <c r="M64" s="16"/>
      <c r="N64" s="17"/>
      <c r="O64" s="19"/>
      <c r="P64" s="19"/>
      <c r="Q64" s="5"/>
      <c r="R64" s="5"/>
      <c r="S64" s="5"/>
      <c r="T64" s="5"/>
      <c r="U64" s="20"/>
      <c r="V64" s="20"/>
    </row>
    <row r="65" ht="15.75" customHeight="1">
      <c r="A65" s="3" t="str">
        <f>OFFICIAL_ALLOCATIONS!A65</f>
        <v>F064</v>
      </c>
      <c r="B65" s="3" t="s">
        <v>349</v>
      </c>
      <c r="C65" s="11"/>
      <c r="D65" s="21" t="s">
        <v>340</v>
      </c>
      <c r="E65" s="21" t="s">
        <v>341</v>
      </c>
      <c r="F65" s="5" t="s">
        <v>350</v>
      </c>
      <c r="G65" s="5" t="s">
        <v>115</v>
      </c>
      <c r="H65" s="14">
        <v>171860.0</v>
      </c>
      <c r="I65" s="22">
        <v>188058.0</v>
      </c>
      <c r="J65" s="16" t="s">
        <v>117</v>
      </c>
      <c r="K65" s="17" t="s">
        <v>119</v>
      </c>
      <c r="L65" s="19" t="s">
        <v>120</v>
      </c>
      <c r="M65" s="16"/>
      <c r="N65" s="17"/>
      <c r="O65" s="19"/>
      <c r="P65" s="19"/>
      <c r="Q65" s="5"/>
      <c r="R65" s="5"/>
      <c r="S65" s="5"/>
      <c r="T65" s="5"/>
      <c r="U65" s="20"/>
      <c r="V65" s="20"/>
    </row>
    <row r="66" ht="15.75" customHeight="1">
      <c r="A66" s="3" t="str">
        <f>OFFICIAL_ALLOCATIONS!A66</f>
        <v>F065</v>
      </c>
      <c r="B66" s="3" t="s">
        <v>351</v>
      </c>
      <c r="C66" s="11"/>
      <c r="D66" s="21" t="s">
        <v>340</v>
      </c>
      <c r="E66" s="21" t="s">
        <v>341</v>
      </c>
      <c r="F66" s="5" t="s">
        <v>352</v>
      </c>
      <c r="G66" s="5" t="s">
        <v>115</v>
      </c>
      <c r="H66" s="14">
        <v>400233.0</v>
      </c>
      <c r="I66" s="22">
        <v>437954.0</v>
      </c>
      <c r="J66" s="16" t="s">
        <v>117</v>
      </c>
      <c r="K66" s="17" t="s">
        <v>119</v>
      </c>
      <c r="L66" s="19" t="s">
        <v>120</v>
      </c>
      <c r="M66" s="16"/>
      <c r="N66" s="17"/>
      <c r="O66" s="19"/>
      <c r="P66" s="19"/>
      <c r="Q66" s="5"/>
      <c r="R66" s="5"/>
      <c r="S66" s="5"/>
      <c r="T66" s="5"/>
      <c r="U66" s="20"/>
      <c r="V66" s="20"/>
    </row>
    <row r="67" ht="15.75" customHeight="1">
      <c r="A67" s="3" t="str">
        <f>OFFICIAL_ALLOCATIONS!A67</f>
        <v>F066</v>
      </c>
      <c r="B67" s="3" t="s">
        <v>353</v>
      </c>
      <c r="C67" s="11"/>
      <c r="D67" s="21" t="s">
        <v>340</v>
      </c>
      <c r="E67" s="21" t="s">
        <v>341</v>
      </c>
      <c r="F67" s="5" t="s">
        <v>354</v>
      </c>
      <c r="G67" s="5" t="s">
        <v>115</v>
      </c>
      <c r="H67" s="14">
        <v>598709.0</v>
      </c>
      <c r="I67" s="22">
        <v>655136.0</v>
      </c>
      <c r="J67" s="16" t="s">
        <v>117</v>
      </c>
      <c r="K67" s="17" t="s">
        <v>119</v>
      </c>
      <c r="L67" s="19" t="s">
        <v>120</v>
      </c>
      <c r="M67" s="16"/>
      <c r="N67" s="17"/>
      <c r="O67" s="19"/>
      <c r="P67" s="19"/>
      <c r="Q67" s="5"/>
      <c r="R67" s="5"/>
      <c r="S67" s="5"/>
      <c r="T67" s="5"/>
      <c r="U67" s="20"/>
      <c r="V67" s="20"/>
    </row>
    <row r="68" ht="15.75" customHeight="1">
      <c r="A68" s="3" t="str">
        <f>OFFICIAL_ALLOCATIONS!A68</f>
        <v>F067</v>
      </c>
      <c r="B68" s="3" t="s">
        <v>355</v>
      </c>
      <c r="C68" s="11"/>
      <c r="D68" s="21" t="s">
        <v>340</v>
      </c>
      <c r="E68" s="21" t="s">
        <v>341</v>
      </c>
      <c r="F68" s="5" t="s">
        <v>356</v>
      </c>
      <c r="G68" s="5" t="s">
        <v>115</v>
      </c>
      <c r="H68" s="14">
        <v>126022.0</v>
      </c>
      <c r="I68" s="22">
        <v>137899.0</v>
      </c>
      <c r="J68" s="16" t="s">
        <v>117</v>
      </c>
      <c r="K68" s="17" t="s">
        <v>119</v>
      </c>
      <c r="L68" s="19" t="s">
        <v>120</v>
      </c>
      <c r="M68" s="16"/>
      <c r="N68" s="17"/>
      <c r="O68" s="19"/>
      <c r="P68" s="19"/>
      <c r="Q68" s="5"/>
      <c r="R68" s="5"/>
      <c r="S68" s="5"/>
      <c r="T68" s="5"/>
      <c r="U68" s="20"/>
      <c r="V68" s="20"/>
    </row>
    <row r="69" ht="15.75" customHeight="1">
      <c r="A69" s="3" t="str">
        <f>OFFICIAL_ALLOCATIONS!A69</f>
        <v>F068</v>
      </c>
      <c r="B69" s="3" t="s">
        <v>357</v>
      </c>
      <c r="C69" s="11"/>
      <c r="D69" s="21" t="s">
        <v>340</v>
      </c>
      <c r="E69" s="21" t="s">
        <v>341</v>
      </c>
      <c r="F69" s="5" t="s">
        <v>358</v>
      </c>
      <c r="G69" s="5" t="s">
        <v>115</v>
      </c>
      <c r="H69" s="14">
        <v>836948.0</v>
      </c>
      <c r="I69" s="22">
        <v>915828.0</v>
      </c>
      <c r="J69" s="16" t="s">
        <v>117</v>
      </c>
      <c r="K69" s="17" t="s">
        <v>119</v>
      </c>
      <c r="L69" s="19" t="s">
        <v>120</v>
      </c>
      <c r="M69" s="16"/>
      <c r="N69" s="17"/>
      <c r="O69" s="19"/>
      <c r="P69" s="19"/>
      <c r="Q69" s="5"/>
      <c r="R69" s="5"/>
      <c r="S69" s="5"/>
      <c r="T69" s="5"/>
      <c r="U69" s="20"/>
      <c r="V69" s="20"/>
    </row>
    <row r="70" ht="15.75" customHeight="1">
      <c r="A70" s="3" t="str">
        <f>OFFICIAL_ALLOCATIONS!A70</f>
        <v>F069</v>
      </c>
      <c r="B70" s="3" t="s">
        <v>359</v>
      </c>
      <c r="C70" s="11"/>
      <c r="D70" s="21" t="s">
        <v>340</v>
      </c>
      <c r="E70" s="21" t="s">
        <v>341</v>
      </c>
      <c r="F70" s="5" t="s">
        <v>360</v>
      </c>
      <c r="G70" s="5" t="s">
        <v>115</v>
      </c>
      <c r="H70" s="14">
        <v>124008.0</v>
      </c>
      <c r="I70" s="22">
        <v>135696.0</v>
      </c>
      <c r="J70" s="16" t="s">
        <v>117</v>
      </c>
      <c r="K70" s="17" t="s">
        <v>119</v>
      </c>
      <c r="L70" s="19" t="s">
        <v>120</v>
      </c>
      <c r="M70" s="16"/>
      <c r="N70" s="17"/>
      <c r="O70" s="19"/>
      <c r="P70" s="19"/>
      <c r="Q70" s="5"/>
      <c r="R70" s="5"/>
      <c r="S70" s="5"/>
      <c r="T70" s="5"/>
      <c r="U70" s="20"/>
      <c r="V70" s="20"/>
    </row>
    <row r="71" ht="15.75" customHeight="1">
      <c r="A71" s="3" t="str">
        <f>OFFICIAL_ALLOCATIONS!A71</f>
        <v>F070</v>
      </c>
      <c r="B71" s="3" t="s">
        <v>361</v>
      </c>
      <c r="C71" s="11"/>
      <c r="D71" s="21" t="s">
        <v>340</v>
      </c>
      <c r="E71" s="21" t="s">
        <v>341</v>
      </c>
      <c r="F71" s="5" t="s">
        <v>362</v>
      </c>
      <c r="G71" s="5" t="s">
        <v>115</v>
      </c>
      <c r="H71" s="14">
        <v>638702.0</v>
      </c>
      <c r="I71" s="22">
        <v>698898.0</v>
      </c>
      <c r="J71" s="16" t="s">
        <v>117</v>
      </c>
      <c r="K71" s="17" t="s">
        <v>119</v>
      </c>
      <c r="L71" s="19" t="s">
        <v>120</v>
      </c>
      <c r="M71" s="16"/>
      <c r="N71" s="17"/>
      <c r="O71" s="19"/>
      <c r="P71" s="19"/>
      <c r="Q71" s="5"/>
      <c r="R71" s="5"/>
      <c r="S71" s="5"/>
      <c r="T71" s="5"/>
      <c r="U71" s="20"/>
      <c r="V71" s="20"/>
    </row>
    <row r="72" ht="15.75" customHeight="1">
      <c r="A72" s="3" t="str">
        <f>OFFICIAL_ALLOCATIONS!A72</f>
        <v>F071</v>
      </c>
      <c r="B72" s="3" t="s">
        <v>363</v>
      </c>
      <c r="C72" s="11"/>
      <c r="D72" s="21" t="s">
        <v>340</v>
      </c>
      <c r="E72" s="21" t="s">
        <v>341</v>
      </c>
      <c r="F72" s="5" t="s">
        <v>364</v>
      </c>
      <c r="G72" s="5" t="s">
        <v>115</v>
      </c>
      <c r="H72" s="14">
        <v>592455.0</v>
      </c>
      <c r="I72" s="22">
        <v>648292.0</v>
      </c>
      <c r="J72" s="16" t="s">
        <v>117</v>
      </c>
      <c r="K72" s="17" t="s">
        <v>119</v>
      </c>
      <c r="L72" s="19" t="s">
        <v>120</v>
      </c>
      <c r="M72" s="16"/>
      <c r="N72" s="17"/>
      <c r="O72" s="19"/>
      <c r="P72" s="19"/>
      <c r="Q72" s="5"/>
      <c r="R72" s="5"/>
      <c r="S72" s="5"/>
      <c r="T72" s="5"/>
      <c r="U72" s="20"/>
      <c r="V72" s="20"/>
    </row>
    <row r="73" ht="15.75" customHeight="1">
      <c r="A73" s="3" t="str">
        <f>OFFICIAL_ALLOCATIONS!A73</f>
        <v>F072</v>
      </c>
      <c r="B73" s="3" t="s">
        <v>365</v>
      </c>
      <c r="C73" s="11"/>
      <c r="D73" s="21" t="s">
        <v>340</v>
      </c>
      <c r="E73" s="21" t="s">
        <v>341</v>
      </c>
      <c r="F73" s="5" t="s">
        <v>366</v>
      </c>
      <c r="G73" s="5" t="s">
        <v>115</v>
      </c>
      <c r="H73" s="14">
        <v>480806.0</v>
      </c>
      <c r="I73" s="22">
        <v>526121.0</v>
      </c>
      <c r="J73" s="16" t="s">
        <v>117</v>
      </c>
      <c r="K73" s="17" t="s">
        <v>119</v>
      </c>
      <c r="L73" s="19" t="s">
        <v>120</v>
      </c>
      <c r="M73" s="16"/>
      <c r="N73" s="17"/>
      <c r="O73" s="19"/>
      <c r="P73" s="19"/>
      <c r="Q73" s="5"/>
      <c r="R73" s="5"/>
      <c r="S73" s="5"/>
      <c r="T73" s="5"/>
      <c r="U73" s="20"/>
      <c r="V73" s="20"/>
    </row>
    <row r="74" ht="15.75" customHeight="1">
      <c r="A74" s="3" t="str">
        <f>OFFICIAL_ALLOCATIONS!A74</f>
        <v>F073</v>
      </c>
      <c r="B74" s="3" t="s">
        <v>367</v>
      </c>
      <c r="C74" s="11"/>
      <c r="D74" s="21" t="s">
        <v>340</v>
      </c>
      <c r="E74" s="21" t="s">
        <v>341</v>
      </c>
      <c r="F74" s="5" t="s">
        <v>368</v>
      </c>
      <c r="G74" s="5" t="s">
        <v>115</v>
      </c>
      <c r="H74" s="14">
        <v>404692.0</v>
      </c>
      <c r="I74" s="22">
        <v>442833.0</v>
      </c>
      <c r="J74" s="16" t="s">
        <v>117</v>
      </c>
      <c r="K74" s="17" t="s">
        <v>119</v>
      </c>
      <c r="L74" s="19" t="s">
        <v>120</v>
      </c>
      <c r="M74" s="16"/>
      <c r="N74" s="17"/>
      <c r="O74" s="19"/>
      <c r="P74" s="19"/>
      <c r="Q74" s="5"/>
      <c r="R74" s="5"/>
      <c r="S74" s="5"/>
      <c r="T74" s="5"/>
      <c r="U74" s="20"/>
      <c r="V74" s="20"/>
    </row>
    <row r="75" ht="15.75" customHeight="1">
      <c r="A75" s="3" t="str">
        <f>OFFICIAL_ALLOCATIONS!A75</f>
        <v>F074</v>
      </c>
      <c r="B75" s="3" t="s">
        <v>369</v>
      </c>
      <c r="C75" s="11"/>
      <c r="D75" s="21" t="s">
        <v>340</v>
      </c>
      <c r="E75" s="21" t="s">
        <v>341</v>
      </c>
      <c r="F75" s="5" t="s">
        <v>370</v>
      </c>
      <c r="G75" s="5" t="s">
        <v>115</v>
      </c>
      <c r="H75" s="14">
        <v>679217.0</v>
      </c>
      <c r="I75" s="22">
        <v>743232.0</v>
      </c>
      <c r="J75" s="16" t="s">
        <v>117</v>
      </c>
      <c r="K75" s="17" t="s">
        <v>119</v>
      </c>
      <c r="L75" s="19" t="s">
        <v>120</v>
      </c>
      <c r="M75" s="16"/>
      <c r="N75" s="17"/>
      <c r="O75" s="19"/>
      <c r="P75" s="19"/>
      <c r="Q75" s="5"/>
      <c r="R75" s="5"/>
      <c r="S75" s="5"/>
      <c r="T75" s="5"/>
      <c r="U75" s="20"/>
      <c r="V75" s="20"/>
    </row>
    <row r="76" ht="15.75" customHeight="1">
      <c r="A76" s="3" t="str">
        <f>OFFICIAL_ALLOCATIONS!A76</f>
        <v>F075</v>
      </c>
      <c r="B76" s="3" t="s">
        <v>371</v>
      </c>
      <c r="C76" s="11"/>
      <c r="D76" s="21" t="s">
        <v>340</v>
      </c>
      <c r="E76" s="21" t="s">
        <v>341</v>
      </c>
      <c r="F76" s="5" t="s">
        <v>372</v>
      </c>
      <c r="G76" s="5" t="s">
        <v>115</v>
      </c>
      <c r="H76" s="14">
        <v>104067.0</v>
      </c>
      <c r="I76" s="22">
        <v>113875.0</v>
      </c>
      <c r="J76" s="16" t="s">
        <v>117</v>
      </c>
      <c r="K76" s="17" t="s">
        <v>119</v>
      </c>
      <c r="L76" s="19" t="s">
        <v>120</v>
      </c>
      <c r="M76" s="16"/>
      <c r="N76" s="17"/>
      <c r="O76" s="19"/>
      <c r="P76" s="19"/>
      <c r="Q76" s="5"/>
      <c r="R76" s="5"/>
      <c r="S76" s="5"/>
      <c r="T76" s="5"/>
      <c r="U76" s="20"/>
      <c r="V76" s="20"/>
    </row>
    <row r="77" ht="15.75" customHeight="1">
      <c r="A77" s="3" t="str">
        <f>OFFICIAL_ALLOCATIONS!A77</f>
        <v>F076</v>
      </c>
      <c r="B77" s="3" t="s">
        <v>373</v>
      </c>
      <c r="C77" s="11"/>
      <c r="D77" s="21" t="s">
        <v>340</v>
      </c>
      <c r="E77" s="21" t="s">
        <v>341</v>
      </c>
      <c r="F77" s="5" t="s">
        <v>374</v>
      </c>
      <c r="G77" s="5" t="s">
        <v>115</v>
      </c>
      <c r="H77" s="14">
        <v>1616252.0</v>
      </c>
      <c r="I77" s="22">
        <v>1768581.0</v>
      </c>
      <c r="J77" s="16" t="s">
        <v>117</v>
      </c>
      <c r="K77" s="17" t="s">
        <v>119</v>
      </c>
      <c r="L77" s="19" t="s">
        <v>120</v>
      </c>
      <c r="M77" s="16"/>
      <c r="N77" s="17"/>
      <c r="O77" s="19"/>
      <c r="P77" s="19"/>
      <c r="Q77" s="5"/>
      <c r="R77" s="5"/>
      <c r="S77" s="5"/>
      <c r="T77" s="5"/>
      <c r="U77" s="20"/>
      <c r="V77" s="20"/>
    </row>
    <row r="78" ht="15.75" customHeight="1">
      <c r="A78" s="3" t="str">
        <f>OFFICIAL_ALLOCATIONS!A78</f>
        <v>F077</v>
      </c>
      <c r="B78" s="3" t="s">
        <v>375</v>
      </c>
      <c r="C78" s="11"/>
      <c r="D78" s="21" t="s">
        <v>340</v>
      </c>
      <c r="E78" s="21" t="s">
        <v>341</v>
      </c>
      <c r="F78" s="5" t="s">
        <v>376</v>
      </c>
      <c r="G78" s="5" t="s">
        <v>115</v>
      </c>
      <c r="H78" s="14">
        <v>933095.0</v>
      </c>
      <c r="I78" s="22">
        <v>1021037.0</v>
      </c>
      <c r="J78" s="16" t="s">
        <v>117</v>
      </c>
      <c r="K78" s="17" t="s">
        <v>119</v>
      </c>
      <c r="L78" s="19" t="s">
        <v>120</v>
      </c>
      <c r="M78" s="16"/>
      <c r="N78" s="17"/>
      <c r="O78" s="19"/>
      <c r="P78" s="19"/>
      <c r="Q78" s="5"/>
      <c r="R78" s="5"/>
      <c r="S78" s="5"/>
      <c r="T78" s="5"/>
      <c r="U78" s="20"/>
      <c r="V78" s="20"/>
    </row>
    <row r="79" ht="15.75" customHeight="1">
      <c r="A79" s="3" t="str">
        <f>OFFICIAL_ALLOCATIONS!A79</f>
        <v>F078</v>
      </c>
      <c r="B79" s="3" t="s">
        <v>377</v>
      </c>
      <c r="C79" s="11"/>
      <c r="D79" s="21" t="s">
        <v>340</v>
      </c>
      <c r="E79" s="21" t="s">
        <v>341</v>
      </c>
      <c r="F79" s="5" t="s">
        <v>378</v>
      </c>
      <c r="G79" s="5" t="s">
        <v>115</v>
      </c>
      <c r="H79" s="14">
        <v>989857.0</v>
      </c>
      <c r="I79" s="22">
        <v>1083149.0</v>
      </c>
      <c r="J79" s="16" t="s">
        <v>117</v>
      </c>
      <c r="K79" s="17" t="s">
        <v>119</v>
      </c>
      <c r="L79" s="19" t="s">
        <v>120</v>
      </c>
      <c r="M79" s="16"/>
      <c r="N79" s="17"/>
      <c r="O79" s="19"/>
      <c r="P79" s="19"/>
      <c r="Q79" s="5"/>
      <c r="R79" s="5"/>
      <c r="S79" s="5"/>
      <c r="T79" s="5"/>
      <c r="U79" s="20"/>
      <c r="V79" s="20"/>
    </row>
    <row r="80" ht="15.75" customHeight="1">
      <c r="A80" s="3" t="str">
        <f>OFFICIAL_ALLOCATIONS!A80</f>
        <v>F079</v>
      </c>
      <c r="B80" s="3" t="s">
        <v>379</v>
      </c>
      <c r="C80" s="11"/>
      <c r="D80" s="21" t="s">
        <v>340</v>
      </c>
      <c r="E80" s="21" t="s">
        <v>341</v>
      </c>
      <c r="F80" s="5" t="s">
        <v>380</v>
      </c>
      <c r="G80" s="5" t="s">
        <v>115</v>
      </c>
      <c r="H80" s="14">
        <v>1175783.0</v>
      </c>
      <c r="I80" s="22">
        <v>1286599.0</v>
      </c>
      <c r="J80" s="16" t="s">
        <v>117</v>
      </c>
      <c r="K80" s="17" t="s">
        <v>119</v>
      </c>
      <c r="L80" s="19" t="s">
        <v>120</v>
      </c>
      <c r="M80" s="16"/>
      <c r="N80" s="17"/>
      <c r="O80" s="19"/>
      <c r="P80" s="19"/>
      <c r="Q80" s="5"/>
      <c r="R80" s="5"/>
      <c r="S80" s="5"/>
      <c r="T80" s="5"/>
      <c r="U80" s="20"/>
      <c r="V80" s="20"/>
    </row>
    <row r="81" ht="15.75" customHeight="1">
      <c r="A81" s="3" t="str">
        <f>OFFICIAL_ALLOCATIONS!A81</f>
        <v>F080</v>
      </c>
      <c r="B81" s="3" t="s">
        <v>381</v>
      </c>
      <c r="C81" s="11"/>
      <c r="D81" s="21" t="s">
        <v>340</v>
      </c>
      <c r="E81" s="21" t="s">
        <v>341</v>
      </c>
      <c r="F81" s="5" t="s">
        <v>382</v>
      </c>
      <c r="G81" s="5" t="s">
        <v>115</v>
      </c>
      <c r="H81" s="14">
        <v>2453235.0</v>
      </c>
      <c r="I81" s="22">
        <v>2684448.0</v>
      </c>
      <c r="J81" s="16" t="s">
        <v>117</v>
      </c>
      <c r="K81" s="17" t="s">
        <v>119</v>
      </c>
      <c r="L81" s="19" t="s">
        <v>120</v>
      </c>
      <c r="M81" s="16"/>
      <c r="N81" s="17"/>
      <c r="O81" s="19"/>
      <c r="P81" s="19"/>
      <c r="Q81" s="5"/>
      <c r="R81" s="5"/>
      <c r="S81" s="5"/>
      <c r="T81" s="5"/>
      <c r="U81" s="20"/>
      <c r="V81" s="20"/>
    </row>
    <row r="82" ht="15.75" customHeight="1">
      <c r="A82" s="3" t="str">
        <f>OFFICIAL_ALLOCATIONS!A82</f>
        <v>F081</v>
      </c>
      <c r="B82" s="3" t="s">
        <v>383</v>
      </c>
      <c r="C82" s="11"/>
      <c r="D82" s="21" t="s">
        <v>340</v>
      </c>
      <c r="E82" s="21" t="s">
        <v>341</v>
      </c>
      <c r="F82" s="5" t="s">
        <v>384</v>
      </c>
      <c r="G82" s="5" t="s">
        <v>115</v>
      </c>
      <c r="H82" s="14">
        <v>133575.0</v>
      </c>
      <c r="I82" s="22">
        <v>146165.0</v>
      </c>
      <c r="J82" s="16" t="s">
        <v>117</v>
      </c>
      <c r="K82" s="17" t="s">
        <v>119</v>
      </c>
      <c r="L82" s="19" t="s">
        <v>120</v>
      </c>
      <c r="M82" s="16"/>
      <c r="N82" s="17"/>
      <c r="O82" s="19"/>
      <c r="P82" s="19"/>
      <c r="Q82" s="5"/>
      <c r="R82" s="5"/>
      <c r="S82" s="5"/>
      <c r="T82" s="5"/>
      <c r="U82" s="20"/>
      <c r="V82" s="20"/>
    </row>
    <row r="83" ht="15.75" customHeight="1">
      <c r="A83" s="3" t="str">
        <f>OFFICIAL_ALLOCATIONS!A83</f>
        <v>F082</v>
      </c>
      <c r="B83" s="3" t="s">
        <v>385</v>
      </c>
      <c r="C83" s="11"/>
      <c r="D83" s="21" t="s">
        <v>340</v>
      </c>
      <c r="E83" s="21" t="s">
        <v>341</v>
      </c>
      <c r="F83" s="5" t="s">
        <v>386</v>
      </c>
      <c r="G83" s="5" t="s">
        <v>115</v>
      </c>
      <c r="H83" s="14">
        <v>6853859.0</v>
      </c>
      <c r="I83" s="22">
        <v>7499822.0</v>
      </c>
      <c r="J83" s="16" t="s">
        <v>117</v>
      </c>
      <c r="K83" s="17" t="s">
        <v>119</v>
      </c>
      <c r="L83" s="19" t="s">
        <v>120</v>
      </c>
      <c r="M83" s="16"/>
      <c r="N83" s="17"/>
      <c r="O83" s="19"/>
      <c r="P83" s="19"/>
      <c r="Q83" s="5"/>
      <c r="R83" s="5"/>
      <c r="S83" s="5"/>
      <c r="T83" s="5"/>
      <c r="U83" s="20"/>
      <c r="V83" s="20"/>
    </row>
    <row r="84" ht="15.75" customHeight="1">
      <c r="A84" s="3" t="str">
        <f>OFFICIAL_ALLOCATIONS!A84</f>
        <v>F083</v>
      </c>
      <c r="B84" s="3" t="s">
        <v>387</v>
      </c>
      <c r="C84" s="11"/>
      <c r="D84" s="21" t="s">
        <v>340</v>
      </c>
      <c r="E84" s="21" t="s">
        <v>341</v>
      </c>
      <c r="F84" s="5" t="s">
        <v>388</v>
      </c>
      <c r="G84" s="5" t="s">
        <v>115</v>
      </c>
      <c r="H84" s="14">
        <v>822644.0</v>
      </c>
      <c r="I84" s="22">
        <v>900177.0</v>
      </c>
      <c r="J84" s="16" t="s">
        <v>117</v>
      </c>
      <c r="K84" s="17" t="s">
        <v>119</v>
      </c>
      <c r="L84" s="19" t="s">
        <v>120</v>
      </c>
      <c r="M84" s="16"/>
      <c r="N84" s="17"/>
      <c r="O84" s="19"/>
      <c r="P84" s="19"/>
      <c r="Q84" s="5"/>
      <c r="R84" s="5"/>
      <c r="S84" s="5"/>
      <c r="T84" s="5"/>
      <c r="U84" s="20"/>
      <c r="V84" s="20"/>
    </row>
    <row r="85" ht="15.75" customHeight="1">
      <c r="A85" s="3" t="str">
        <f>OFFICIAL_ALLOCATIONS!A85</f>
        <v>F084</v>
      </c>
      <c r="B85" s="3" t="s">
        <v>389</v>
      </c>
      <c r="C85" s="11"/>
      <c r="D85" s="21" t="s">
        <v>340</v>
      </c>
      <c r="E85" s="21" t="s">
        <v>341</v>
      </c>
      <c r="F85" s="5" t="s">
        <v>390</v>
      </c>
      <c r="G85" s="5" t="s">
        <v>115</v>
      </c>
      <c r="H85" s="14">
        <v>5297794.0</v>
      </c>
      <c r="I85" s="22">
        <v>5797101.0</v>
      </c>
      <c r="J85" s="16" t="s">
        <v>117</v>
      </c>
      <c r="K85" s="17" t="s">
        <v>119</v>
      </c>
      <c r="L85" s="19" t="s">
        <v>120</v>
      </c>
      <c r="M85" s="16"/>
      <c r="N85" s="17"/>
      <c r="O85" s="19"/>
      <c r="P85" s="19"/>
      <c r="Q85" s="5"/>
      <c r="R85" s="5"/>
      <c r="S85" s="5"/>
      <c r="T85" s="5"/>
      <c r="U85" s="20"/>
      <c r="V85" s="20"/>
    </row>
    <row r="86" ht="15.75" customHeight="1">
      <c r="A86" s="3" t="str">
        <f>OFFICIAL_ALLOCATIONS!A86</f>
        <v>F085</v>
      </c>
      <c r="B86" s="3" t="s">
        <v>391</v>
      </c>
      <c r="C86" s="11"/>
      <c r="D86" s="21" t="s">
        <v>340</v>
      </c>
      <c r="E86" s="21" t="s">
        <v>341</v>
      </c>
      <c r="F86" s="5" t="s">
        <v>388</v>
      </c>
      <c r="G86" s="5" t="s">
        <v>115</v>
      </c>
      <c r="H86" s="14">
        <v>714977.0</v>
      </c>
      <c r="I86" s="22">
        <v>782362.0</v>
      </c>
      <c r="J86" s="16" t="s">
        <v>117</v>
      </c>
      <c r="K86" s="17" t="s">
        <v>119</v>
      </c>
      <c r="L86" s="19" t="s">
        <v>120</v>
      </c>
      <c r="M86" s="16"/>
      <c r="N86" s="17"/>
      <c r="O86" s="19"/>
      <c r="P86" s="19"/>
      <c r="Q86" s="5"/>
      <c r="R86" s="5"/>
      <c r="S86" s="5"/>
      <c r="T86" s="5"/>
      <c r="U86" s="20"/>
      <c r="V86" s="20"/>
    </row>
    <row r="87" ht="15.75" customHeight="1">
      <c r="A87" s="3" t="str">
        <f>OFFICIAL_ALLOCATIONS!A87</f>
        <v>F086</v>
      </c>
      <c r="B87" s="3" t="s">
        <v>392</v>
      </c>
      <c r="C87" s="11"/>
      <c r="D87" s="21" t="s">
        <v>340</v>
      </c>
      <c r="E87" s="21" t="s">
        <v>341</v>
      </c>
      <c r="F87" s="5" t="s">
        <v>393</v>
      </c>
      <c r="G87" s="5" t="s">
        <v>115</v>
      </c>
      <c r="H87" s="14">
        <v>2701207.0</v>
      </c>
      <c r="I87" s="22">
        <v>2955791.0</v>
      </c>
      <c r="J87" s="16" t="s">
        <v>117</v>
      </c>
      <c r="K87" s="17" t="s">
        <v>119</v>
      </c>
      <c r="L87" s="19" t="s">
        <v>120</v>
      </c>
      <c r="M87" s="16"/>
      <c r="N87" s="17"/>
      <c r="O87" s="19"/>
      <c r="P87" s="19"/>
      <c r="Q87" s="5"/>
      <c r="R87" s="5"/>
      <c r="S87" s="5"/>
      <c r="T87" s="5"/>
      <c r="U87" s="20"/>
      <c r="V87" s="20"/>
    </row>
    <row r="88" ht="15.75" customHeight="1">
      <c r="A88" s="3" t="str">
        <f>OFFICIAL_ALLOCATIONS!A88</f>
        <v>F087</v>
      </c>
      <c r="B88" s="3" t="s">
        <v>394</v>
      </c>
      <c r="C88" s="11"/>
      <c r="D88" s="21" t="s">
        <v>340</v>
      </c>
      <c r="E88" s="21" t="s">
        <v>341</v>
      </c>
      <c r="F88" s="5" t="s">
        <v>395</v>
      </c>
      <c r="G88" s="5" t="s">
        <v>115</v>
      </c>
      <c r="H88" s="14">
        <v>357054.0</v>
      </c>
      <c r="I88" s="22">
        <v>390705.0</v>
      </c>
      <c r="J88" s="16" t="s">
        <v>117</v>
      </c>
      <c r="K88" s="17" t="s">
        <v>119</v>
      </c>
      <c r="L88" s="19" t="s">
        <v>120</v>
      </c>
      <c r="M88" s="16"/>
      <c r="N88" s="17"/>
      <c r="O88" s="19"/>
      <c r="P88" s="19"/>
      <c r="Q88" s="5"/>
      <c r="R88" s="5"/>
      <c r="S88" s="5"/>
      <c r="T88" s="5"/>
      <c r="U88" s="20"/>
      <c r="V88" s="20"/>
    </row>
    <row r="89" ht="15.75" customHeight="1">
      <c r="A89" s="3" t="str">
        <f>OFFICIAL_ALLOCATIONS!A89</f>
        <v>F088</v>
      </c>
      <c r="B89" s="3" t="s">
        <v>396</v>
      </c>
      <c r="C89" s="11"/>
      <c r="D89" s="21" t="s">
        <v>340</v>
      </c>
      <c r="E89" s="21" t="s">
        <v>341</v>
      </c>
      <c r="F89" s="5" t="s">
        <v>397</v>
      </c>
      <c r="G89" s="5" t="s">
        <v>115</v>
      </c>
      <c r="H89" s="14">
        <v>2907941.0</v>
      </c>
      <c r="I89" s="22">
        <v>3182009.0</v>
      </c>
      <c r="J89" s="16" t="s">
        <v>117</v>
      </c>
      <c r="K89" s="17" t="s">
        <v>119</v>
      </c>
      <c r="L89" s="19" t="s">
        <v>120</v>
      </c>
      <c r="M89" s="16"/>
      <c r="N89" s="17"/>
      <c r="O89" s="19"/>
      <c r="P89" s="19"/>
      <c r="Q89" s="5"/>
      <c r="R89" s="5"/>
      <c r="S89" s="5"/>
      <c r="T89" s="5"/>
      <c r="U89" s="20"/>
      <c r="V89" s="20"/>
    </row>
    <row r="90" ht="15.75" customHeight="1">
      <c r="A90" s="3" t="str">
        <f>OFFICIAL_ALLOCATIONS!A90</f>
        <v>F089</v>
      </c>
      <c r="B90" s="3" t="s">
        <v>398</v>
      </c>
      <c r="C90" s="11"/>
      <c r="D90" s="21" t="s">
        <v>340</v>
      </c>
      <c r="E90" s="21" t="s">
        <v>341</v>
      </c>
      <c r="F90" s="5" t="s">
        <v>399</v>
      </c>
      <c r="G90" s="5" t="s">
        <v>115</v>
      </c>
      <c r="H90" s="14">
        <v>1217320.0</v>
      </c>
      <c r="I90" s="22">
        <v>1332050.0</v>
      </c>
      <c r="J90" s="16" t="s">
        <v>117</v>
      </c>
      <c r="K90" s="17" t="s">
        <v>119</v>
      </c>
      <c r="L90" s="19" t="s">
        <v>120</v>
      </c>
      <c r="M90" s="16"/>
      <c r="N90" s="17"/>
      <c r="O90" s="19"/>
      <c r="P90" s="19"/>
      <c r="Q90" s="5"/>
      <c r="R90" s="5"/>
      <c r="S90" s="5"/>
      <c r="T90" s="5"/>
      <c r="U90" s="20"/>
      <c r="V90" s="20"/>
    </row>
    <row r="91" ht="15.75" customHeight="1">
      <c r="A91" s="3" t="str">
        <f>OFFICIAL_ALLOCATIONS!A91</f>
        <v>F090</v>
      </c>
      <c r="B91" s="3" t="s">
        <v>400</v>
      </c>
      <c r="C91" s="11"/>
      <c r="D91" s="21" t="s">
        <v>340</v>
      </c>
      <c r="E91" s="21" t="s">
        <v>341</v>
      </c>
      <c r="F91" s="5" t="s">
        <v>402</v>
      </c>
      <c r="G91" s="5" t="s">
        <v>115</v>
      </c>
      <c r="H91" s="14">
        <v>2072885.0</v>
      </c>
      <c r="I91" s="22">
        <v>2268250.0</v>
      </c>
      <c r="J91" s="16" t="s">
        <v>117</v>
      </c>
      <c r="K91" s="17" t="s">
        <v>119</v>
      </c>
      <c r="L91" s="19" t="s">
        <v>120</v>
      </c>
      <c r="M91" s="16"/>
      <c r="N91" s="17"/>
      <c r="O91" s="19"/>
      <c r="P91" s="19"/>
      <c r="Q91" s="5"/>
      <c r="R91" s="5"/>
      <c r="S91" s="5"/>
      <c r="T91" s="5"/>
      <c r="U91" s="20"/>
      <c r="V91" s="20"/>
    </row>
    <row r="92" ht="15.75" customHeight="1">
      <c r="A92" s="3" t="str">
        <f>OFFICIAL_ALLOCATIONS!A92</f>
        <v>F091</v>
      </c>
      <c r="B92" s="3" t="s">
        <v>403</v>
      </c>
      <c r="C92" s="11"/>
      <c r="D92" s="21" t="s">
        <v>340</v>
      </c>
      <c r="E92" s="21" t="s">
        <v>341</v>
      </c>
      <c r="F92" s="5" t="s">
        <v>404</v>
      </c>
      <c r="G92" s="5" t="s">
        <v>115</v>
      </c>
      <c r="H92" s="14">
        <v>1242230.0</v>
      </c>
      <c r="I92" s="22">
        <v>1359308.0</v>
      </c>
      <c r="J92" s="16" t="s">
        <v>117</v>
      </c>
      <c r="K92" s="17" t="s">
        <v>119</v>
      </c>
      <c r="L92" s="19" t="s">
        <v>120</v>
      </c>
      <c r="M92" s="16"/>
      <c r="N92" s="17"/>
      <c r="O92" s="19"/>
      <c r="P92" s="19"/>
      <c r="Q92" s="5"/>
      <c r="R92" s="5"/>
      <c r="S92" s="5"/>
      <c r="T92" s="5"/>
      <c r="U92" s="20"/>
      <c r="V92" s="20"/>
    </row>
    <row r="93" ht="15.75" customHeight="1">
      <c r="A93" s="3" t="str">
        <f>OFFICIAL_ALLOCATIONS!A93</f>
        <v>F092</v>
      </c>
      <c r="B93" s="3" t="s">
        <v>405</v>
      </c>
      <c r="C93" s="11"/>
      <c r="D93" s="21" t="s">
        <v>340</v>
      </c>
      <c r="E93" s="21" t="s">
        <v>341</v>
      </c>
      <c r="F93" s="5" t="s">
        <v>406</v>
      </c>
      <c r="G93" s="5" t="s">
        <v>115</v>
      </c>
      <c r="H93" s="14">
        <v>2510131.0</v>
      </c>
      <c r="I93" s="22">
        <v>2746706.0</v>
      </c>
      <c r="J93" s="16" t="s">
        <v>117</v>
      </c>
      <c r="K93" s="17" t="s">
        <v>119</v>
      </c>
      <c r="L93" s="19" t="s">
        <v>120</v>
      </c>
      <c r="M93" s="16"/>
      <c r="N93" s="17"/>
      <c r="O93" s="19"/>
      <c r="P93" s="19"/>
      <c r="Q93" s="5"/>
      <c r="R93" s="5"/>
      <c r="S93" s="5"/>
      <c r="T93" s="5"/>
      <c r="U93" s="20"/>
      <c r="V93" s="20"/>
    </row>
    <row r="94" ht="15.75" customHeight="1">
      <c r="A94" s="3" t="str">
        <f>OFFICIAL_ALLOCATIONS!A94</f>
        <v>F093</v>
      </c>
      <c r="B94" s="3" t="s">
        <v>407</v>
      </c>
      <c r="C94" s="11"/>
      <c r="D94" s="21" t="s">
        <v>340</v>
      </c>
      <c r="E94" s="21" t="s">
        <v>341</v>
      </c>
      <c r="F94" s="5" t="s">
        <v>408</v>
      </c>
      <c r="G94" s="5" t="s">
        <v>115</v>
      </c>
      <c r="H94" s="14">
        <v>8511370.0</v>
      </c>
      <c r="I94" s="22">
        <v>9313550.0</v>
      </c>
      <c r="J94" s="16" t="s">
        <v>117</v>
      </c>
      <c r="K94" s="17" t="s">
        <v>119</v>
      </c>
      <c r="L94" s="19" t="s">
        <v>120</v>
      </c>
      <c r="M94" s="16"/>
      <c r="N94" s="17"/>
      <c r="O94" s="19"/>
      <c r="P94" s="19"/>
      <c r="Q94" s="5"/>
      <c r="R94" s="5"/>
      <c r="S94" s="5"/>
      <c r="T94" s="5"/>
      <c r="U94" s="20"/>
      <c r="V94" s="20"/>
    </row>
    <row r="95" ht="15.75" customHeight="1">
      <c r="A95" s="3" t="str">
        <f>OFFICIAL_ALLOCATIONS!A95</f>
        <v>F094</v>
      </c>
      <c r="B95" s="3" t="s">
        <v>409</v>
      </c>
      <c r="C95" s="11"/>
      <c r="D95" s="21" t="s">
        <v>340</v>
      </c>
      <c r="E95" s="21" t="s">
        <v>341</v>
      </c>
      <c r="F95" s="5" t="s">
        <v>410</v>
      </c>
      <c r="G95" s="5" t="s">
        <v>115</v>
      </c>
      <c r="H95" s="14">
        <v>499301.0</v>
      </c>
      <c r="I95" s="22">
        <v>546359.0</v>
      </c>
      <c r="J95" s="16" t="s">
        <v>117</v>
      </c>
      <c r="K95" s="17" t="s">
        <v>119</v>
      </c>
      <c r="L95" s="19" t="s">
        <v>120</v>
      </c>
      <c r="M95" s="16"/>
      <c r="N95" s="17"/>
      <c r="O95" s="19"/>
      <c r="P95" s="19"/>
      <c r="Q95" s="5"/>
      <c r="R95" s="5"/>
      <c r="S95" s="5"/>
      <c r="T95" s="5"/>
      <c r="U95" s="20"/>
      <c r="V95" s="20"/>
    </row>
    <row r="96" ht="15.75" customHeight="1">
      <c r="A96" s="3" t="str">
        <f>OFFICIAL_ALLOCATIONS!A96</f>
        <v>F095</v>
      </c>
      <c r="B96" s="3" t="s">
        <v>411</v>
      </c>
      <c r="C96" s="11"/>
      <c r="D96" s="21" t="s">
        <v>340</v>
      </c>
      <c r="E96" s="21" t="s">
        <v>341</v>
      </c>
      <c r="F96" s="5" t="s">
        <v>412</v>
      </c>
      <c r="G96" s="5" t="s">
        <v>115</v>
      </c>
      <c r="H96" s="14">
        <v>3875392.0</v>
      </c>
      <c r="I96" s="22">
        <v>4240640.0</v>
      </c>
      <c r="J96" s="16" t="s">
        <v>117</v>
      </c>
      <c r="K96" s="17" t="s">
        <v>119</v>
      </c>
      <c r="L96" s="19" t="s">
        <v>120</v>
      </c>
      <c r="M96" s="16"/>
      <c r="N96" s="17"/>
      <c r="O96" s="19"/>
      <c r="P96" s="19"/>
      <c r="Q96" s="5"/>
      <c r="R96" s="5"/>
      <c r="S96" s="5"/>
      <c r="T96" s="5"/>
      <c r="U96" s="20"/>
      <c r="V96" s="20"/>
    </row>
    <row r="97" ht="15.75" customHeight="1">
      <c r="A97" s="3" t="str">
        <f>OFFICIAL_ALLOCATIONS!A97</f>
        <v>F096</v>
      </c>
      <c r="B97" s="3" t="s">
        <v>413</v>
      </c>
      <c r="C97" s="11"/>
      <c r="D97" s="21" t="s">
        <v>340</v>
      </c>
      <c r="E97" s="21" t="s">
        <v>341</v>
      </c>
      <c r="F97" s="5" t="s">
        <v>414</v>
      </c>
      <c r="G97" s="5" t="s">
        <v>115</v>
      </c>
      <c r="H97" s="14">
        <v>841042.0</v>
      </c>
      <c r="I97" s="22">
        <v>920308.0</v>
      </c>
      <c r="J97" s="16" t="s">
        <v>117</v>
      </c>
      <c r="K97" s="17" t="s">
        <v>119</v>
      </c>
      <c r="L97" s="19" t="s">
        <v>120</v>
      </c>
      <c r="M97" s="16"/>
      <c r="N97" s="17"/>
      <c r="O97" s="19"/>
      <c r="P97" s="19"/>
      <c r="Q97" s="5"/>
      <c r="R97" s="5"/>
      <c r="S97" s="5"/>
      <c r="T97" s="5"/>
      <c r="U97" s="20"/>
      <c r="V97" s="20"/>
    </row>
    <row r="98" ht="15.75" customHeight="1">
      <c r="A98" s="3" t="str">
        <f>OFFICIAL_ALLOCATIONS!A98</f>
        <v>F097</v>
      </c>
      <c r="B98" s="3" t="s">
        <v>415</v>
      </c>
      <c r="C98" s="11"/>
      <c r="D98" s="21" t="s">
        <v>340</v>
      </c>
      <c r="E98" s="21" t="s">
        <v>341</v>
      </c>
      <c r="F98" s="5" t="s">
        <v>416</v>
      </c>
      <c r="G98" s="5" t="s">
        <v>115</v>
      </c>
      <c r="H98" s="14">
        <v>4681235.0</v>
      </c>
      <c r="I98" s="22">
        <v>5122432.0</v>
      </c>
      <c r="J98" s="16" t="s">
        <v>117</v>
      </c>
      <c r="K98" s="17" t="s">
        <v>119</v>
      </c>
      <c r="L98" s="19" t="s">
        <v>120</v>
      </c>
      <c r="M98" s="16"/>
      <c r="N98" s="17"/>
      <c r="O98" s="19"/>
      <c r="P98" s="19"/>
      <c r="Q98" s="5"/>
      <c r="R98" s="5"/>
      <c r="S98" s="5"/>
      <c r="T98" s="5"/>
      <c r="U98" s="20"/>
      <c r="V98" s="20"/>
    </row>
    <row r="99" ht="15.75" customHeight="1">
      <c r="A99" s="3" t="str">
        <f>OFFICIAL_ALLOCATIONS!A99</f>
        <v>F098</v>
      </c>
      <c r="B99" s="3" t="s">
        <v>417</v>
      </c>
      <c r="C99" s="11"/>
      <c r="D99" s="21" t="s">
        <v>340</v>
      </c>
      <c r="E99" s="21" t="s">
        <v>341</v>
      </c>
      <c r="F99" s="5" t="s">
        <v>418</v>
      </c>
      <c r="G99" s="5" t="s">
        <v>115</v>
      </c>
      <c r="H99" s="14">
        <v>507149.0</v>
      </c>
      <c r="I99" s="22">
        <v>554947.0</v>
      </c>
      <c r="J99" s="16" t="s">
        <v>117</v>
      </c>
      <c r="K99" s="17" t="s">
        <v>119</v>
      </c>
      <c r="L99" s="19" t="s">
        <v>120</v>
      </c>
      <c r="M99" s="16"/>
      <c r="N99" s="17"/>
      <c r="O99" s="19"/>
      <c r="P99" s="19"/>
      <c r="Q99" s="5"/>
      <c r="R99" s="5"/>
      <c r="S99" s="5"/>
      <c r="T99" s="5"/>
      <c r="U99" s="20"/>
      <c r="V99" s="20"/>
    </row>
    <row r="100" ht="15.75" customHeight="1">
      <c r="A100" s="3" t="str">
        <f>OFFICIAL_ALLOCATIONS!A100</f>
        <v>F099</v>
      </c>
      <c r="B100" s="3" t="s">
        <v>419</v>
      </c>
      <c r="C100" s="11"/>
      <c r="D100" s="21" t="s">
        <v>340</v>
      </c>
      <c r="E100" s="21" t="s">
        <v>341</v>
      </c>
      <c r="F100" s="5" t="s">
        <v>420</v>
      </c>
      <c r="G100" s="5" t="s">
        <v>115</v>
      </c>
      <c r="H100" s="14">
        <v>1290862.0</v>
      </c>
      <c r="I100" s="22">
        <v>1412524.0</v>
      </c>
      <c r="J100" s="16" t="s">
        <v>117</v>
      </c>
      <c r="K100" s="17" t="s">
        <v>119</v>
      </c>
      <c r="L100" s="19" t="s">
        <v>120</v>
      </c>
      <c r="M100" s="16"/>
      <c r="N100" s="17"/>
      <c r="O100" s="19"/>
      <c r="P100" s="19"/>
      <c r="Q100" s="5"/>
      <c r="R100" s="5"/>
      <c r="S100" s="5"/>
      <c r="T100" s="5"/>
      <c r="U100" s="20"/>
      <c r="V100" s="20"/>
    </row>
    <row r="101" ht="15.75" customHeight="1">
      <c r="A101" s="3" t="str">
        <f>OFFICIAL_ALLOCATIONS!A101</f>
        <v>F100</v>
      </c>
      <c r="B101" s="3" t="s">
        <v>421</v>
      </c>
      <c r="C101" s="11"/>
      <c r="D101" s="21" t="s">
        <v>340</v>
      </c>
      <c r="E101" s="21" t="s">
        <v>341</v>
      </c>
      <c r="F101" s="5" t="s">
        <v>422</v>
      </c>
      <c r="G101" s="5" t="s">
        <v>115</v>
      </c>
      <c r="H101" s="14">
        <v>1137938.0</v>
      </c>
      <c r="I101" s="22">
        <v>1245186.0</v>
      </c>
      <c r="J101" s="16" t="s">
        <v>117</v>
      </c>
      <c r="K101" s="17" t="s">
        <v>119</v>
      </c>
      <c r="L101" s="19" t="s">
        <v>120</v>
      </c>
      <c r="M101" s="16"/>
      <c r="N101" s="17"/>
      <c r="O101" s="19"/>
      <c r="P101" s="19"/>
      <c r="Q101" s="5"/>
      <c r="R101" s="5"/>
      <c r="S101" s="5"/>
      <c r="T101" s="5"/>
      <c r="U101" s="20"/>
      <c r="V101" s="20"/>
    </row>
    <row r="102" ht="15.75" customHeight="1">
      <c r="A102" s="3" t="str">
        <f>OFFICIAL_ALLOCATIONS!A102</f>
        <v>F101</v>
      </c>
      <c r="B102" s="3" t="s">
        <v>423</v>
      </c>
      <c r="C102" s="11"/>
      <c r="D102" s="21" t="s">
        <v>340</v>
      </c>
      <c r="E102" s="21" t="s">
        <v>341</v>
      </c>
      <c r="F102" s="5" t="s">
        <v>424</v>
      </c>
      <c r="G102" s="5" t="s">
        <v>115</v>
      </c>
      <c r="H102" s="14">
        <v>727399.0</v>
      </c>
      <c r="I102" s="22">
        <v>795955.0</v>
      </c>
      <c r="J102" s="16" t="s">
        <v>117</v>
      </c>
      <c r="K102" s="17" t="s">
        <v>119</v>
      </c>
      <c r="L102" s="19" t="s">
        <v>120</v>
      </c>
      <c r="M102" s="16"/>
      <c r="N102" s="17"/>
      <c r="O102" s="19"/>
      <c r="P102" s="19"/>
      <c r="Q102" s="5"/>
      <c r="R102" s="5"/>
      <c r="S102" s="5"/>
      <c r="T102" s="5"/>
      <c r="U102" s="20"/>
      <c r="V102" s="20"/>
    </row>
    <row r="103" ht="15.75" customHeight="1">
      <c r="A103" s="3" t="str">
        <f>OFFICIAL_ALLOCATIONS!A103</f>
        <v>F102</v>
      </c>
      <c r="B103" s="3" t="s">
        <v>425</v>
      </c>
      <c r="C103" s="11"/>
      <c r="D103" s="21" t="s">
        <v>340</v>
      </c>
      <c r="E103" s="21" t="s">
        <v>341</v>
      </c>
      <c r="F103" s="5" t="s">
        <v>426</v>
      </c>
      <c r="G103" s="5" t="s">
        <v>115</v>
      </c>
      <c r="H103" s="14">
        <v>271549.0</v>
      </c>
      <c r="I103" s="22">
        <v>297142.0</v>
      </c>
      <c r="J103" s="16" t="s">
        <v>117</v>
      </c>
      <c r="K103" s="17" t="s">
        <v>119</v>
      </c>
      <c r="L103" s="19" t="s">
        <v>120</v>
      </c>
      <c r="M103" s="16"/>
      <c r="N103" s="17"/>
      <c r="O103" s="19"/>
      <c r="P103" s="19"/>
      <c r="Q103" s="5"/>
      <c r="R103" s="5"/>
      <c r="S103" s="5"/>
      <c r="T103" s="5"/>
      <c r="U103" s="20"/>
      <c r="V103" s="20"/>
    </row>
    <row r="104" ht="15.75" customHeight="1">
      <c r="A104" s="3" t="str">
        <f>OFFICIAL_ALLOCATIONS!A104</f>
        <v>F103</v>
      </c>
      <c r="B104" s="3" t="s">
        <v>427</v>
      </c>
      <c r="C104" s="11"/>
      <c r="D104" s="21" t="s">
        <v>340</v>
      </c>
      <c r="E104" s="21" t="s">
        <v>341</v>
      </c>
      <c r="F104" s="5" t="s">
        <v>428</v>
      </c>
      <c r="G104" s="5" t="s">
        <v>115</v>
      </c>
      <c r="H104" s="14">
        <v>354936.0</v>
      </c>
      <c r="I104" s="22">
        <v>388387.0</v>
      </c>
      <c r="J104" s="16" t="s">
        <v>117</v>
      </c>
      <c r="K104" s="17" t="s">
        <v>119</v>
      </c>
      <c r="L104" s="19" t="s">
        <v>120</v>
      </c>
      <c r="M104" s="16"/>
      <c r="N104" s="17"/>
      <c r="O104" s="19"/>
      <c r="P104" s="19"/>
      <c r="Q104" s="5"/>
      <c r="R104" s="5"/>
      <c r="S104" s="5"/>
      <c r="T104" s="5"/>
      <c r="U104" s="20"/>
      <c r="V104" s="20"/>
    </row>
    <row r="105" ht="15.75" customHeight="1">
      <c r="A105" s="3" t="str">
        <f>OFFICIAL_ALLOCATIONS!A105</f>
        <v>F104</v>
      </c>
      <c r="B105" s="3" t="s">
        <v>429</v>
      </c>
      <c r="C105" s="11"/>
      <c r="D105" s="21" t="s">
        <v>340</v>
      </c>
      <c r="E105" s="21" t="s">
        <v>341</v>
      </c>
      <c r="F105" s="5" t="s">
        <v>430</v>
      </c>
      <c r="G105" s="5" t="s">
        <v>115</v>
      </c>
      <c r="H105" s="14">
        <v>1254493.0</v>
      </c>
      <c r="I105" s="22">
        <v>1372727.0</v>
      </c>
      <c r="J105" s="16" t="s">
        <v>117</v>
      </c>
      <c r="K105" s="17" t="s">
        <v>119</v>
      </c>
      <c r="L105" s="19" t="s">
        <v>120</v>
      </c>
      <c r="M105" s="16"/>
      <c r="N105" s="17"/>
      <c r="O105" s="19"/>
      <c r="P105" s="19"/>
      <c r="Q105" s="5"/>
      <c r="R105" s="5"/>
      <c r="S105" s="5"/>
      <c r="T105" s="5"/>
      <c r="U105" s="20"/>
      <c r="V105" s="20"/>
    </row>
    <row r="106" ht="15.75" customHeight="1">
      <c r="A106" s="3" t="str">
        <f>OFFICIAL_ALLOCATIONS!A106</f>
        <v>F105</v>
      </c>
      <c r="B106" s="3" t="s">
        <v>431</v>
      </c>
      <c r="C106" s="11"/>
      <c r="D106" s="21" t="s">
        <v>340</v>
      </c>
      <c r="E106" s="21" t="s">
        <v>341</v>
      </c>
      <c r="F106" s="5" t="s">
        <v>432</v>
      </c>
      <c r="G106" s="5" t="s">
        <v>115</v>
      </c>
      <c r="H106" s="14">
        <v>835087.0</v>
      </c>
      <c r="I106" s="22">
        <v>913792.0</v>
      </c>
      <c r="J106" s="16" t="s">
        <v>117</v>
      </c>
      <c r="K106" s="17" t="s">
        <v>119</v>
      </c>
      <c r="L106" s="19" t="s">
        <v>120</v>
      </c>
      <c r="M106" s="16"/>
      <c r="N106" s="17"/>
      <c r="O106" s="19"/>
      <c r="P106" s="19"/>
      <c r="Q106" s="5"/>
      <c r="R106" s="5"/>
      <c r="S106" s="5"/>
      <c r="T106" s="5"/>
      <c r="U106" s="20"/>
      <c r="V106" s="20"/>
    </row>
    <row r="107" ht="15.75" customHeight="1">
      <c r="A107" s="3" t="str">
        <f>OFFICIAL_ALLOCATIONS!A107</f>
        <v>F106</v>
      </c>
      <c r="B107" s="3" t="s">
        <v>433</v>
      </c>
      <c r="C107" s="11"/>
      <c r="D107" s="21" t="s">
        <v>340</v>
      </c>
      <c r="E107" s="21" t="s">
        <v>341</v>
      </c>
      <c r="F107" s="5" t="s">
        <v>434</v>
      </c>
      <c r="G107" s="5" t="s">
        <v>115</v>
      </c>
      <c r="H107" s="14">
        <v>1982913.0</v>
      </c>
      <c r="I107" s="22">
        <v>2169798.0</v>
      </c>
      <c r="J107" s="16" t="s">
        <v>117</v>
      </c>
      <c r="K107" s="17" t="s">
        <v>119</v>
      </c>
      <c r="L107" s="19" t="s">
        <v>120</v>
      </c>
      <c r="M107" s="16"/>
      <c r="N107" s="17"/>
      <c r="O107" s="19"/>
      <c r="P107" s="19"/>
      <c r="Q107" s="5"/>
      <c r="R107" s="5"/>
      <c r="S107" s="5"/>
      <c r="T107" s="5"/>
      <c r="U107" s="20"/>
      <c r="V107" s="20"/>
    </row>
    <row r="108" ht="15.75" customHeight="1">
      <c r="A108" s="3" t="str">
        <f>OFFICIAL_ALLOCATIONS!A108</f>
        <v>F107</v>
      </c>
      <c r="B108" s="3" t="s">
        <v>435</v>
      </c>
      <c r="C108" s="11"/>
      <c r="D108" s="21" t="s">
        <v>340</v>
      </c>
      <c r="E108" s="21" t="s">
        <v>341</v>
      </c>
      <c r="F108" s="5" t="s">
        <v>436</v>
      </c>
      <c r="G108" s="5" t="s">
        <v>115</v>
      </c>
      <c r="H108" s="14">
        <v>1072694.0</v>
      </c>
      <c r="I108" s="22">
        <v>1173794.0</v>
      </c>
      <c r="J108" s="16" t="s">
        <v>117</v>
      </c>
      <c r="K108" s="17" t="s">
        <v>119</v>
      </c>
      <c r="L108" s="19" t="s">
        <v>120</v>
      </c>
      <c r="M108" s="16"/>
      <c r="N108" s="17"/>
      <c r="O108" s="19"/>
      <c r="P108" s="19"/>
      <c r="Q108" s="5"/>
      <c r="R108" s="5"/>
      <c r="S108" s="5"/>
      <c r="T108" s="5"/>
      <c r="U108" s="20"/>
      <c r="V108" s="20"/>
    </row>
    <row r="109" ht="15.75" customHeight="1">
      <c r="A109" s="3" t="str">
        <f>OFFICIAL_ALLOCATIONS!A109</f>
        <v>F108</v>
      </c>
      <c r="B109" s="3" t="s">
        <v>444</v>
      </c>
      <c r="C109" s="11"/>
      <c r="D109" s="21" t="s">
        <v>340</v>
      </c>
      <c r="E109" s="21" t="s">
        <v>341</v>
      </c>
      <c r="F109" s="5" t="s">
        <v>446</v>
      </c>
      <c r="G109" s="5" t="s">
        <v>115</v>
      </c>
      <c r="H109" s="14">
        <v>2045386.0</v>
      </c>
      <c r="I109" s="22">
        <v>2238159.0</v>
      </c>
      <c r="J109" s="16" t="s">
        <v>117</v>
      </c>
      <c r="K109" s="17" t="s">
        <v>119</v>
      </c>
      <c r="L109" s="19" t="s">
        <v>120</v>
      </c>
      <c r="M109" s="16"/>
      <c r="N109" s="17"/>
      <c r="O109" s="19"/>
      <c r="P109" s="19"/>
      <c r="Q109" s="5"/>
      <c r="R109" s="5"/>
      <c r="S109" s="5"/>
      <c r="T109" s="5"/>
      <c r="U109" s="20"/>
      <c r="V109" s="20"/>
    </row>
    <row r="110" ht="15.75" customHeight="1">
      <c r="A110" s="3" t="str">
        <f>OFFICIAL_ALLOCATIONS!A110</f>
        <v>F109</v>
      </c>
      <c r="B110" s="3" t="s">
        <v>448</v>
      </c>
      <c r="C110" s="11"/>
      <c r="D110" s="21" t="s">
        <v>340</v>
      </c>
      <c r="E110" s="21" t="s">
        <v>341</v>
      </c>
      <c r="F110" s="5" t="s">
        <v>449</v>
      </c>
      <c r="G110" s="5" t="s">
        <v>115</v>
      </c>
      <c r="H110" s="14">
        <v>1505630.0</v>
      </c>
      <c r="I110" s="22">
        <v>1647533.0</v>
      </c>
      <c r="J110" s="16" t="s">
        <v>117</v>
      </c>
      <c r="K110" s="17" t="s">
        <v>119</v>
      </c>
      <c r="L110" s="19" t="s">
        <v>120</v>
      </c>
      <c r="M110" s="16"/>
      <c r="N110" s="17"/>
      <c r="O110" s="19"/>
      <c r="P110" s="19"/>
      <c r="Q110" s="5"/>
      <c r="R110" s="5"/>
      <c r="S110" s="5"/>
      <c r="T110" s="5"/>
      <c r="U110" s="20"/>
      <c r="V110" s="20"/>
    </row>
    <row r="111" ht="15.75" customHeight="1">
      <c r="A111" s="3" t="str">
        <f>OFFICIAL_ALLOCATIONS!A111</f>
        <v>F110</v>
      </c>
      <c r="B111" s="3" t="s">
        <v>454</v>
      </c>
      <c r="C111" s="11"/>
      <c r="D111" s="21" t="s">
        <v>340</v>
      </c>
      <c r="E111" s="21" t="s">
        <v>341</v>
      </c>
      <c r="F111" s="5" t="s">
        <v>455</v>
      </c>
      <c r="G111" s="5" t="s">
        <v>115</v>
      </c>
      <c r="H111" s="14">
        <v>1324157.0</v>
      </c>
      <c r="I111" s="22">
        <v>1448956.0</v>
      </c>
      <c r="J111" s="16" t="s">
        <v>117</v>
      </c>
      <c r="K111" s="17" t="s">
        <v>119</v>
      </c>
      <c r="L111" s="19" t="s">
        <v>120</v>
      </c>
      <c r="M111" s="16"/>
      <c r="N111" s="17"/>
      <c r="O111" s="19"/>
      <c r="P111" s="19"/>
      <c r="Q111" s="5"/>
      <c r="R111" s="5"/>
      <c r="S111" s="5"/>
      <c r="T111" s="5"/>
      <c r="U111" s="20"/>
      <c r="V111" s="20"/>
    </row>
    <row r="112" ht="15.75" customHeight="1">
      <c r="I112" s="13"/>
      <c r="J112" s="13"/>
      <c r="M112" s="13"/>
    </row>
    <row r="113" ht="15.75" customHeight="1">
      <c r="I113" s="13"/>
      <c r="J113" s="13"/>
      <c r="M113" s="13"/>
    </row>
    <row r="114" ht="15.75" customHeight="1">
      <c r="I114" s="13"/>
      <c r="J114" s="13"/>
      <c r="M114" s="13"/>
    </row>
    <row r="115" ht="15.75" customHeight="1">
      <c r="I115" s="13"/>
      <c r="J115" s="13"/>
      <c r="M115" s="13"/>
    </row>
    <row r="116" ht="15.75" customHeight="1">
      <c r="I116" s="13"/>
      <c r="J116" s="13"/>
      <c r="M116" s="13"/>
    </row>
    <row r="117" ht="15.75" customHeight="1">
      <c r="I117" s="13"/>
      <c r="J117" s="13"/>
      <c r="M117" s="13"/>
    </row>
    <row r="118" ht="15.75" customHeight="1">
      <c r="I118" s="13"/>
      <c r="J118" s="13"/>
      <c r="M118" s="13"/>
    </row>
    <row r="119" ht="15.75" customHeight="1">
      <c r="I119" s="13"/>
      <c r="J119" s="13"/>
      <c r="M119" s="13"/>
    </row>
    <row r="120" ht="15.75" customHeight="1">
      <c r="I120" s="13"/>
      <c r="J120" s="13"/>
      <c r="M120" s="13"/>
    </row>
    <row r="121" ht="15.75" customHeight="1">
      <c r="I121" s="13"/>
      <c r="J121" s="13"/>
      <c r="M121" s="13"/>
    </row>
    <row r="122" ht="15.75" customHeight="1">
      <c r="I122" s="13"/>
      <c r="J122" s="13"/>
      <c r="M122" s="13"/>
    </row>
    <row r="123" ht="15.75" customHeight="1">
      <c r="I123" s="13"/>
      <c r="J123" s="13"/>
      <c r="M123" s="13"/>
    </row>
    <row r="124" ht="15.75" customHeight="1">
      <c r="I124" s="13"/>
      <c r="J124" s="13"/>
      <c r="M124" s="13"/>
    </row>
    <row r="125" ht="15.75" customHeight="1">
      <c r="I125" s="13"/>
      <c r="J125" s="13"/>
      <c r="M125" s="13"/>
    </row>
    <row r="126" ht="15.75" customHeight="1">
      <c r="I126" s="13"/>
      <c r="J126" s="13"/>
      <c r="M126" s="13"/>
    </row>
    <row r="127" ht="15.75" customHeight="1">
      <c r="I127" s="13"/>
      <c r="J127" s="13"/>
      <c r="M127" s="13"/>
    </row>
    <row r="128" ht="15.75" customHeight="1">
      <c r="I128" s="13"/>
      <c r="J128" s="13"/>
      <c r="M128" s="13"/>
    </row>
    <row r="129" ht="15.75" customHeight="1">
      <c r="I129" s="13"/>
      <c r="J129" s="13"/>
      <c r="M129" s="13"/>
    </row>
    <row r="130" ht="15.75" customHeight="1">
      <c r="I130" s="13"/>
      <c r="J130" s="13"/>
      <c r="M130" s="13"/>
    </row>
    <row r="131" ht="15.75" customHeight="1">
      <c r="I131" s="13"/>
      <c r="J131" s="13"/>
      <c r="M131" s="13"/>
    </row>
    <row r="132" ht="15.75" customHeight="1">
      <c r="I132" s="13"/>
      <c r="J132" s="13"/>
      <c r="M132" s="13"/>
    </row>
    <row r="133" ht="15.75" customHeight="1">
      <c r="I133" s="13"/>
      <c r="J133" s="13"/>
      <c r="M133" s="13"/>
    </row>
    <row r="134" ht="15.75" customHeight="1">
      <c r="I134" s="13"/>
      <c r="J134" s="13"/>
      <c r="M134" s="13"/>
    </row>
    <row r="135" ht="15.75" customHeight="1">
      <c r="I135" s="13"/>
      <c r="J135" s="13"/>
      <c r="M135" s="13"/>
    </row>
    <row r="136" ht="15.75" customHeight="1">
      <c r="I136" s="13"/>
      <c r="J136" s="13"/>
      <c r="M136" s="13"/>
    </row>
    <row r="137" ht="15.75" customHeight="1">
      <c r="I137" s="13"/>
      <c r="J137" s="13"/>
      <c r="M137" s="13"/>
    </row>
    <row r="138" ht="15.75" customHeight="1">
      <c r="I138" s="13"/>
      <c r="J138" s="13"/>
      <c r="M138" s="13"/>
    </row>
    <row r="139" ht="15.75" customHeight="1">
      <c r="I139" s="13"/>
      <c r="J139" s="13"/>
      <c r="M139" s="13"/>
    </row>
    <row r="140" ht="15.75" customHeight="1">
      <c r="I140" s="13"/>
      <c r="J140" s="13"/>
      <c r="M140" s="13"/>
    </row>
    <row r="141" ht="15.75" customHeight="1">
      <c r="I141" s="13"/>
      <c r="J141" s="13"/>
      <c r="M141" s="13"/>
    </row>
    <row r="142" ht="15.75" customHeight="1">
      <c r="I142" s="13"/>
      <c r="J142" s="13"/>
      <c r="M142" s="13"/>
    </row>
    <row r="143" ht="15.75" customHeight="1">
      <c r="I143" s="13"/>
      <c r="J143" s="13"/>
      <c r="M143" s="13"/>
    </row>
    <row r="144" ht="15.75" customHeight="1">
      <c r="I144" s="13"/>
      <c r="J144" s="13"/>
      <c r="M144" s="13"/>
    </row>
    <row r="145" ht="15.75" customHeight="1">
      <c r="I145" s="13"/>
      <c r="J145" s="13"/>
      <c r="M145" s="13"/>
    </row>
    <row r="146" ht="15.75" customHeight="1">
      <c r="I146" s="13"/>
      <c r="J146" s="13"/>
      <c r="M146" s="13"/>
    </row>
    <row r="147" ht="15.75" customHeight="1">
      <c r="I147" s="13"/>
      <c r="J147" s="13"/>
      <c r="M147" s="13"/>
    </row>
    <row r="148" ht="15.75" customHeight="1">
      <c r="I148" s="13"/>
      <c r="J148" s="13"/>
      <c r="M148" s="13"/>
    </row>
    <row r="149" ht="15.75" customHeight="1">
      <c r="I149" s="13"/>
      <c r="J149" s="13"/>
      <c r="M149" s="13"/>
    </row>
    <row r="150" ht="15.75" customHeight="1">
      <c r="I150" s="13"/>
      <c r="J150" s="13"/>
      <c r="M150" s="13"/>
    </row>
    <row r="151" ht="15.75" customHeight="1">
      <c r="I151" s="13"/>
      <c r="J151" s="13"/>
      <c r="M151" s="13"/>
    </row>
    <row r="152" ht="15.75" customHeight="1">
      <c r="I152" s="13"/>
      <c r="J152" s="13"/>
      <c r="M152" s="13"/>
    </row>
    <row r="153" ht="15.75" customHeight="1">
      <c r="I153" s="13"/>
      <c r="J153" s="13"/>
      <c r="M153" s="13"/>
    </row>
    <row r="154" ht="15.75" customHeight="1">
      <c r="I154" s="13"/>
      <c r="J154" s="13"/>
      <c r="M154" s="13"/>
    </row>
    <row r="155" ht="15.75" customHeight="1">
      <c r="I155" s="13"/>
      <c r="J155" s="13"/>
      <c r="M155" s="13"/>
    </row>
    <row r="156" ht="15.75" customHeight="1">
      <c r="I156" s="13"/>
      <c r="J156" s="13"/>
      <c r="M156" s="13"/>
    </row>
    <row r="157" ht="15.75" customHeight="1">
      <c r="I157" s="13"/>
      <c r="J157" s="13"/>
      <c r="M157" s="13"/>
    </row>
    <row r="158" ht="15.75" customHeight="1">
      <c r="I158" s="13"/>
      <c r="J158" s="13"/>
      <c r="M158" s="13"/>
    </row>
    <row r="159" ht="15.75" customHeight="1">
      <c r="I159" s="13"/>
      <c r="J159" s="13"/>
      <c r="M159" s="13"/>
    </row>
    <row r="160" ht="15.75" customHeight="1">
      <c r="I160" s="13"/>
      <c r="J160" s="13"/>
      <c r="M160" s="13"/>
    </row>
    <row r="161" ht="15.75" customHeight="1">
      <c r="I161" s="13"/>
      <c r="J161" s="13"/>
      <c r="M161" s="13"/>
    </row>
    <row r="162" ht="15.75" customHeight="1">
      <c r="I162" s="13"/>
      <c r="J162" s="13"/>
      <c r="M162" s="13"/>
    </row>
    <row r="163" ht="15.75" customHeight="1">
      <c r="I163" s="13"/>
      <c r="J163" s="13"/>
      <c r="M163" s="13"/>
    </row>
    <row r="164" ht="15.75" customHeight="1">
      <c r="I164" s="13"/>
      <c r="J164" s="13"/>
      <c r="M164" s="13"/>
    </row>
    <row r="165" ht="15.75" customHeight="1">
      <c r="I165" s="13"/>
      <c r="J165" s="13"/>
      <c r="M165" s="13"/>
    </row>
    <row r="166" ht="15.75" customHeight="1">
      <c r="I166" s="13"/>
      <c r="J166" s="13"/>
      <c r="M166" s="13"/>
    </row>
    <row r="167" ht="15.75" customHeight="1">
      <c r="I167" s="13"/>
      <c r="J167" s="13"/>
      <c r="M167" s="13"/>
    </row>
    <row r="168" ht="15.75" customHeight="1">
      <c r="I168" s="13"/>
      <c r="J168" s="13"/>
      <c r="M168" s="13"/>
    </row>
    <row r="169" ht="15.75" customHeight="1">
      <c r="I169" s="13"/>
      <c r="J169" s="13"/>
      <c r="M169" s="13"/>
    </row>
    <row r="170" ht="15.75" customHeight="1">
      <c r="I170" s="13"/>
      <c r="J170" s="13"/>
      <c r="M170" s="13"/>
    </row>
    <row r="171" ht="15.75" customHeight="1">
      <c r="I171" s="13"/>
      <c r="J171" s="13"/>
      <c r="M171" s="13"/>
    </row>
    <row r="172" ht="15.75" customHeight="1">
      <c r="I172" s="13"/>
      <c r="J172" s="13"/>
      <c r="M172" s="13"/>
    </row>
    <row r="173" ht="15.75" customHeight="1">
      <c r="I173" s="13"/>
      <c r="J173" s="13"/>
      <c r="M173" s="13"/>
    </row>
    <row r="174" ht="15.75" customHeight="1">
      <c r="I174" s="13"/>
      <c r="J174" s="13"/>
      <c r="M174" s="13"/>
    </row>
    <row r="175" ht="15.75" customHeight="1">
      <c r="I175" s="13"/>
      <c r="J175" s="13"/>
      <c r="M175" s="13"/>
    </row>
    <row r="176" ht="15.75" customHeight="1">
      <c r="I176" s="13"/>
      <c r="J176" s="13"/>
      <c r="M176" s="13"/>
    </row>
    <row r="177" ht="15.75" customHeight="1">
      <c r="I177" s="13"/>
      <c r="J177" s="13"/>
      <c r="M177" s="13"/>
    </row>
    <row r="178" ht="15.75" customHeight="1">
      <c r="I178" s="13"/>
      <c r="J178" s="13"/>
      <c r="M178" s="13"/>
    </row>
    <row r="179" ht="15.75" customHeight="1">
      <c r="I179" s="13"/>
      <c r="J179" s="13"/>
      <c r="M179" s="13"/>
    </row>
    <row r="180" ht="15.75" customHeight="1">
      <c r="I180" s="13"/>
      <c r="J180" s="13"/>
      <c r="M180" s="13"/>
    </row>
    <row r="181" ht="15.75" customHeight="1">
      <c r="I181" s="13"/>
      <c r="J181" s="13"/>
      <c r="M181" s="13"/>
    </row>
    <row r="182" ht="15.75" customHeight="1">
      <c r="I182" s="13"/>
      <c r="J182" s="13"/>
      <c r="M182" s="13"/>
    </row>
    <row r="183" ht="15.75" customHeight="1">
      <c r="I183" s="13"/>
      <c r="J183" s="13"/>
      <c r="M183" s="13"/>
    </row>
    <row r="184" ht="15.75" customHeight="1">
      <c r="I184" s="13"/>
      <c r="J184" s="13"/>
      <c r="M184" s="13"/>
    </row>
    <row r="185" ht="15.75" customHeight="1">
      <c r="I185" s="13"/>
      <c r="J185" s="13"/>
      <c r="M185" s="13"/>
    </row>
    <row r="186" ht="15.75" customHeight="1">
      <c r="I186" s="13"/>
      <c r="J186" s="13"/>
      <c r="M186" s="13"/>
    </row>
    <row r="187" ht="15.75" customHeight="1">
      <c r="I187" s="13"/>
      <c r="J187" s="13"/>
      <c r="M187" s="13"/>
    </row>
    <row r="188" ht="15.75" customHeight="1">
      <c r="I188" s="13"/>
      <c r="J188" s="13"/>
      <c r="M188" s="13"/>
    </row>
    <row r="189" ht="15.75" customHeight="1">
      <c r="I189" s="13"/>
      <c r="J189" s="13"/>
      <c r="M189" s="13"/>
    </row>
    <row r="190" ht="15.75" customHeight="1">
      <c r="I190" s="13"/>
      <c r="J190" s="13"/>
      <c r="M190" s="13"/>
    </row>
    <row r="191" ht="15.75" customHeight="1">
      <c r="I191" s="13"/>
      <c r="J191" s="13"/>
      <c r="M191" s="13"/>
    </row>
    <row r="192" ht="15.75" customHeight="1">
      <c r="I192" s="13"/>
      <c r="J192" s="13"/>
      <c r="M192" s="13"/>
    </row>
    <row r="193" ht="15.75" customHeight="1">
      <c r="I193" s="13"/>
      <c r="J193" s="13"/>
      <c r="M193" s="13"/>
    </row>
    <row r="194" ht="15.75" customHeight="1">
      <c r="I194" s="13"/>
      <c r="J194" s="13"/>
      <c r="M194" s="13"/>
    </row>
    <row r="195" ht="15.75" customHeight="1">
      <c r="I195" s="13"/>
      <c r="J195" s="13"/>
      <c r="M195" s="13"/>
    </row>
    <row r="196" ht="15.75" customHeight="1">
      <c r="I196" s="13"/>
      <c r="J196" s="13"/>
      <c r="M196" s="13"/>
    </row>
    <row r="197" ht="15.75" customHeight="1">
      <c r="I197" s="13"/>
      <c r="J197" s="13"/>
      <c r="M197" s="13"/>
    </row>
    <row r="198" ht="15.75" customHeight="1">
      <c r="I198" s="13"/>
      <c r="J198" s="13"/>
      <c r="M198" s="13"/>
    </row>
    <row r="199" ht="15.75" customHeight="1">
      <c r="I199" s="13"/>
      <c r="J199" s="13"/>
      <c r="M199" s="13"/>
    </row>
    <row r="200" ht="15.75" customHeight="1">
      <c r="I200" s="13"/>
      <c r="J200" s="13"/>
      <c r="M200" s="13"/>
    </row>
    <row r="201" ht="15.75" customHeight="1">
      <c r="I201" s="13"/>
      <c r="J201" s="13"/>
      <c r="M201" s="13"/>
    </row>
    <row r="202" ht="15.75" customHeight="1">
      <c r="I202" s="13"/>
      <c r="J202" s="13"/>
      <c r="M202" s="13"/>
    </row>
    <row r="203" ht="15.75" customHeight="1">
      <c r="I203" s="13"/>
      <c r="J203" s="13"/>
      <c r="M203" s="13"/>
    </row>
    <row r="204" ht="15.75" customHeight="1">
      <c r="I204" s="13"/>
      <c r="J204" s="13"/>
      <c r="M204" s="13"/>
    </row>
    <row r="205" ht="15.75" customHeight="1">
      <c r="I205" s="13"/>
      <c r="J205" s="13"/>
      <c r="M205" s="13"/>
    </row>
    <row r="206" ht="15.75" customHeight="1">
      <c r="I206" s="13"/>
      <c r="J206" s="13"/>
      <c r="M206" s="13"/>
    </row>
    <row r="207" ht="15.75" customHeight="1">
      <c r="I207" s="13"/>
      <c r="J207" s="13"/>
      <c r="M207" s="13"/>
    </row>
    <row r="208" ht="15.75" customHeight="1">
      <c r="I208" s="13"/>
      <c r="J208" s="13"/>
      <c r="M208" s="13"/>
    </row>
    <row r="209" ht="15.75" customHeight="1">
      <c r="I209" s="13"/>
      <c r="J209" s="13"/>
      <c r="M209" s="13"/>
    </row>
    <row r="210" ht="15.75" customHeight="1">
      <c r="I210" s="13"/>
      <c r="J210" s="13"/>
      <c r="M210" s="13"/>
    </row>
    <row r="211" ht="15.75" customHeight="1">
      <c r="I211" s="13"/>
      <c r="J211" s="13"/>
      <c r="M211" s="13"/>
    </row>
    <row r="212" ht="15.75" customHeight="1">
      <c r="I212" s="13"/>
      <c r="J212" s="13"/>
      <c r="M212" s="13"/>
    </row>
    <row r="213" ht="15.75" customHeight="1">
      <c r="I213" s="13"/>
      <c r="J213" s="13"/>
      <c r="M213" s="13"/>
    </row>
    <row r="214" ht="15.75" customHeight="1">
      <c r="I214" s="13"/>
      <c r="J214" s="13"/>
      <c r="M214" s="13"/>
    </row>
    <row r="215" ht="15.75" customHeight="1">
      <c r="I215" s="13"/>
      <c r="J215" s="13"/>
      <c r="M215" s="13"/>
    </row>
    <row r="216" ht="15.75" customHeight="1">
      <c r="I216" s="13"/>
      <c r="J216" s="13"/>
      <c r="M216" s="13"/>
    </row>
    <row r="217" ht="15.75" customHeight="1">
      <c r="I217" s="13"/>
      <c r="J217" s="13"/>
      <c r="M217" s="13"/>
    </row>
    <row r="218" ht="15.75" customHeight="1">
      <c r="I218" s="13"/>
      <c r="J218" s="13"/>
      <c r="M218" s="13"/>
    </row>
    <row r="219" ht="15.75" customHeight="1">
      <c r="I219" s="13"/>
      <c r="J219" s="13"/>
      <c r="M219" s="13"/>
    </row>
    <row r="220" ht="15.75" customHeight="1">
      <c r="I220" s="13"/>
      <c r="J220" s="13"/>
      <c r="M220" s="13"/>
    </row>
    <row r="221" ht="15.75" customHeight="1">
      <c r="I221" s="13"/>
      <c r="J221" s="13"/>
      <c r="M221" s="13"/>
    </row>
    <row r="222" ht="15.75" customHeight="1">
      <c r="I222" s="13"/>
      <c r="J222" s="13"/>
      <c r="M222" s="13"/>
    </row>
    <row r="223" ht="15.75" customHeight="1">
      <c r="I223" s="13"/>
      <c r="J223" s="13"/>
      <c r="M223" s="13"/>
    </row>
    <row r="224" ht="15.75" customHeight="1">
      <c r="I224" s="13"/>
      <c r="J224" s="13"/>
      <c r="M224" s="13"/>
    </row>
    <row r="225" ht="15.75" customHeight="1">
      <c r="I225" s="13"/>
      <c r="J225" s="13"/>
      <c r="M225" s="13"/>
    </row>
    <row r="226" ht="15.75" customHeight="1">
      <c r="I226" s="13"/>
      <c r="J226" s="13"/>
      <c r="M226" s="13"/>
    </row>
    <row r="227" ht="15.75" customHeight="1">
      <c r="I227" s="13"/>
      <c r="J227" s="13"/>
      <c r="M227" s="13"/>
    </row>
    <row r="228" ht="15.75" customHeight="1">
      <c r="I228" s="13"/>
      <c r="J228" s="13"/>
      <c r="M228" s="13"/>
    </row>
    <row r="229" ht="15.75" customHeight="1">
      <c r="I229" s="13"/>
      <c r="J229" s="13"/>
      <c r="M229" s="13"/>
    </row>
    <row r="230" ht="15.75" customHeight="1">
      <c r="I230" s="13"/>
      <c r="J230" s="13"/>
      <c r="M230" s="13"/>
    </row>
    <row r="231" ht="15.75" customHeight="1">
      <c r="I231" s="13"/>
      <c r="J231" s="13"/>
      <c r="M231" s="13"/>
    </row>
    <row r="232" ht="15.75" customHeight="1">
      <c r="I232" s="13"/>
      <c r="J232" s="13"/>
      <c r="M232" s="13"/>
    </row>
    <row r="233" ht="15.75" customHeight="1">
      <c r="I233" s="13"/>
      <c r="J233" s="13"/>
      <c r="M233" s="13"/>
    </row>
    <row r="234" ht="15.75" customHeight="1">
      <c r="I234" s="13"/>
      <c r="J234" s="13"/>
      <c r="M234" s="13"/>
    </row>
    <row r="235" ht="15.75" customHeight="1">
      <c r="I235" s="13"/>
      <c r="J235" s="13"/>
      <c r="M235" s="13"/>
    </row>
    <row r="236" ht="15.75" customHeight="1">
      <c r="I236" s="13"/>
      <c r="J236" s="13"/>
      <c r="M236" s="13"/>
    </row>
    <row r="237" ht="15.75" customHeight="1">
      <c r="I237" s="13"/>
      <c r="J237" s="13"/>
      <c r="M237" s="13"/>
    </row>
    <row r="238" ht="15.75" customHeight="1">
      <c r="I238" s="13"/>
      <c r="J238" s="13"/>
      <c r="M238" s="13"/>
    </row>
    <row r="239" ht="15.75" customHeight="1">
      <c r="I239" s="13"/>
      <c r="J239" s="13"/>
      <c r="M239" s="13"/>
    </row>
    <row r="240" ht="15.75" customHeight="1">
      <c r="I240" s="13"/>
      <c r="J240" s="13"/>
      <c r="M240" s="13"/>
    </row>
    <row r="241" ht="15.75" customHeight="1">
      <c r="I241" s="13"/>
      <c r="J241" s="13"/>
      <c r="M241" s="13"/>
    </row>
    <row r="242" ht="15.75" customHeight="1">
      <c r="I242" s="13"/>
      <c r="J242" s="13"/>
      <c r="M242" s="13"/>
    </row>
    <row r="243" ht="15.75" customHeight="1">
      <c r="I243" s="13"/>
      <c r="J243" s="13"/>
      <c r="M243" s="13"/>
    </row>
    <row r="244" ht="15.75" customHeight="1">
      <c r="I244" s="13"/>
      <c r="J244" s="13"/>
      <c r="M244" s="13"/>
    </row>
    <row r="245" ht="15.75" customHeight="1">
      <c r="I245" s="13"/>
      <c r="J245" s="13"/>
      <c r="M245" s="13"/>
    </row>
    <row r="246" ht="15.75" customHeight="1">
      <c r="I246" s="13"/>
      <c r="J246" s="13"/>
      <c r="M246" s="13"/>
    </row>
    <row r="247" ht="15.75" customHeight="1">
      <c r="I247" s="13"/>
      <c r="J247" s="13"/>
      <c r="M247" s="13"/>
    </row>
    <row r="248" ht="15.75" customHeight="1">
      <c r="I248" s="13"/>
      <c r="J248" s="13"/>
      <c r="M248" s="13"/>
    </row>
    <row r="249" ht="15.75" customHeight="1">
      <c r="I249" s="13"/>
      <c r="J249" s="13"/>
      <c r="M249" s="13"/>
    </row>
    <row r="250" ht="15.75" customHeight="1">
      <c r="I250" s="13"/>
      <c r="J250" s="13"/>
      <c r="M250" s="13"/>
    </row>
    <row r="251" ht="15.75" customHeight="1">
      <c r="I251" s="13"/>
      <c r="J251" s="13"/>
      <c r="M251" s="13"/>
    </row>
    <row r="252" ht="15.75" customHeight="1">
      <c r="I252" s="13"/>
      <c r="J252" s="13"/>
      <c r="M252" s="13"/>
    </row>
    <row r="253" ht="15.75" customHeight="1">
      <c r="I253" s="13"/>
      <c r="J253" s="13"/>
      <c r="M253" s="13"/>
    </row>
    <row r="254" ht="15.75" customHeight="1">
      <c r="I254" s="13"/>
      <c r="J254" s="13"/>
      <c r="M254" s="13"/>
    </row>
    <row r="255" ht="15.75" customHeight="1">
      <c r="I255" s="13"/>
      <c r="J255" s="13"/>
      <c r="M255" s="13"/>
    </row>
    <row r="256" ht="15.75" customHeight="1">
      <c r="I256" s="13"/>
      <c r="J256" s="13"/>
      <c r="M256" s="13"/>
    </row>
    <row r="257" ht="15.75" customHeight="1">
      <c r="I257" s="13"/>
      <c r="J257" s="13"/>
      <c r="M257" s="13"/>
    </row>
    <row r="258" ht="15.75" customHeight="1">
      <c r="I258" s="13"/>
      <c r="J258" s="13"/>
      <c r="M258" s="13"/>
    </row>
    <row r="259" ht="15.75" customHeight="1">
      <c r="I259" s="13"/>
      <c r="J259" s="13"/>
      <c r="M259" s="13"/>
    </row>
    <row r="260" ht="15.75" customHeight="1">
      <c r="I260" s="13"/>
      <c r="J260" s="13"/>
      <c r="M260" s="13"/>
    </row>
    <row r="261" ht="15.75" customHeight="1">
      <c r="I261" s="13"/>
      <c r="J261" s="13"/>
      <c r="M261" s="13"/>
    </row>
    <row r="262" ht="15.75" customHeight="1">
      <c r="I262" s="13"/>
      <c r="J262" s="13"/>
      <c r="M262" s="13"/>
    </row>
    <row r="263" ht="15.75" customHeight="1">
      <c r="I263" s="13"/>
      <c r="J263" s="13"/>
      <c r="M263" s="13"/>
    </row>
    <row r="264" ht="15.75" customHeight="1">
      <c r="I264" s="13"/>
      <c r="J264" s="13"/>
      <c r="M264" s="13"/>
    </row>
    <row r="265" ht="15.75" customHeight="1">
      <c r="I265" s="13"/>
      <c r="J265" s="13"/>
      <c r="M265" s="13"/>
    </row>
    <row r="266" ht="15.75" customHeight="1">
      <c r="I266" s="13"/>
      <c r="J266" s="13"/>
      <c r="M266" s="13"/>
    </row>
    <row r="267" ht="15.75" customHeight="1">
      <c r="I267" s="13"/>
      <c r="J267" s="13"/>
      <c r="M267" s="13"/>
    </row>
    <row r="268" ht="15.75" customHeight="1">
      <c r="I268" s="13"/>
      <c r="J268" s="13"/>
      <c r="M268" s="13"/>
    </row>
    <row r="269" ht="15.75" customHeight="1">
      <c r="I269" s="13"/>
      <c r="J269" s="13"/>
      <c r="M269" s="13"/>
    </row>
    <row r="270" ht="15.75" customHeight="1">
      <c r="I270" s="13"/>
      <c r="J270" s="13"/>
      <c r="M270" s="13"/>
    </row>
    <row r="271" ht="15.75" customHeight="1">
      <c r="I271" s="13"/>
      <c r="J271" s="13"/>
      <c r="M271" s="13"/>
    </row>
    <row r="272" ht="15.75" customHeight="1">
      <c r="I272" s="13"/>
      <c r="J272" s="13"/>
      <c r="M272" s="13"/>
    </row>
    <row r="273" ht="15.75" customHeight="1">
      <c r="I273" s="13"/>
      <c r="J273" s="13"/>
      <c r="M273" s="13"/>
    </row>
    <row r="274" ht="15.75" customHeight="1">
      <c r="I274" s="13"/>
      <c r="J274" s="13"/>
      <c r="M274" s="13"/>
    </row>
    <row r="275" ht="15.75" customHeight="1">
      <c r="I275" s="13"/>
      <c r="J275" s="13"/>
      <c r="M275" s="13"/>
    </row>
    <row r="276" ht="15.75" customHeight="1">
      <c r="I276" s="13"/>
      <c r="J276" s="13"/>
      <c r="M276" s="13"/>
    </row>
    <row r="277" ht="15.75" customHeight="1">
      <c r="I277" s="13"/>
      <c r="J277" s="13"/>
      <c r="M277" s="13"/>
    </row>
    <row r="278" ht="15.75" customHeight="1">
      <c r="I278" s="13"/>
      <c r="J278" s="13"/>
      <c r="M278" s="13"/>
    </row>
    <row r="279" ht="15.75" customHeight="1">
      <c r="I279" s="13"/>
      <c r="J279" s="13"/>
      <c r="M279" s="13"/>
    </row>
    <row r="280" ht="15.75" customHeight="1">
      <c r="I280" s="13"/>
      <c r="J280" s="13"/>
      <c r="M280" s="13"/>
    </row>
    <row r="281" ht="15.75" customHeight="1">
      <c r="I281" s="13"/>
      <c r="J281" s="13"/>
      <c r="M281" s="13"/>
    </row>
    <row r="282" ht="15.75" customHeight="1">
      <c r="I282" s="13"/>
      <c r="J282" s="13"/>
      <c r="M282" s="13"/>
    </row>
    <row r="283" ht="15.75" customHeight="1">
      <c r="I283" s="13"/>
      <c r="J283" s="13"/>
      <c r="M283" s="13"/>
    </row>
    <row r="284" ht="15.75" customHeight="1">
      <c r="I284" s="13"/>
      <c r="J284" s="13"/>
      <c r="M284" s="13"/>
    </row>
    <row r="285" ht="15.75" customHeight="1">
      <c r="I285" s="13"/>
      <c r="J285" s="13"/>
      <c r="M285" s="13"/>
    </row>
    <row r="286" ht="15.75" customHeight="1">
      <c r="I286" s="13"/>
      <c r="J286" s="13"/>
      <c r="M286" s="13"/>
    </row>
    <row r="287" ht="15.75" customHeight="1">
      <c r="I287" s="13"/>
      <c r="J287" s="13"/>
      <c r="M287" s="13"/>
    </row>
    <row r="288" ht="15.75" customHeight="1">
      <c r="I288" s="13"/>
      <c r="J288" s="13"/>
      <c r="M288" s="13"/>
    </row>
    <row r="289" ht="15.75" customHeight="1">
      <c r="I289" s="13"/>
      <c r="J289" s="13"/>
      <c r="M289" s="13"/>
    </row>
    <row r="290" ht="15.75" customHeight="1">
      <c r="I290" s="13"/>
      <c r="J290" s="13"/>
      <c r="M290" s="13"/>
    </row>
    <row r="291" ht="15.75" customHeight="1">
      <c r="I291" s="13"/>
      <c r="J291" s="13"/>
      <c r="M291" s="13"/>
    </row>
    <row r="292" ht="15.75" customHeight="1">
      <c r="I292" s="13"/>
      <c r="J292" s="13"/>
      <c r="M292" s="13"/>
    </row>
    <row r="293" ht="15.75" customHeight="1">
      <c r="I293" s="13"/>
      <c r="J293" s="13"/>
      <c r="M293" s="13"/>
    </row>
    <row r="294" ht="15.75" customHeight="1">
      <c r="I294" s="13"/>
      <c r="J294" s="13"/>
      <c r="M294" s="13"/>
    </row>
    <row r="295" ht="15.75" customHeight="1">
      <c r="I295" s="13"/>
      <c r="J295" s="13"/>
      <c r="M295" s="13"/>
    </row>
    <row r="296" ht="15.75" customHeight="1">
      <c r="I296" s="13"/>
      <c r="J296" s="13"/>
      <c r="M296" s="13"/>
    </row>
    <row r="297" ht="15.75" customHeight="1">
      <c r="I297" s="13"/>
      <c r="J297" s="13"/>
      <c r="M297" s="13"/>
    </row>
    <row r="298" ht="15.75" customHeight="1">
      <c r="I298" s="13"/>
      <c r="J298" s="13"/>
      <c r="M298" s="13"/>
    </row>
    <row r="299" ht="15.75" customHeight="1">
      <c r="I299" s="13"/>
      <c r="J299" s="13"/>
      <c r="M299" s="13"/>
    </row>
    <row r="300" ht="15.75" customHeight="1">
      <c r="I300" s="13"/>
      <c r="J300" s="13"/>
      <c r="M300" s="13"/>
    </row>
    <row r="301" ht="15.75" customHeight="1">
      <c r="I301" s="13"/>
      <c r="J301" s="13"/>
      <c r="M301" s="13"/>
    </row>
    <row r="302" ht="15.75" customHeight="1">
      <c r="I302" s="13"/>
      <c r="J302" s="13"/>
      <c r="M302" s="13"/>
    </row>
    <row r="303" ht="15.75" customHeight="1">
      <c r="I303" s="13"/>
      <c r="J303" s="13"/>
      <c r="M303" s="13"/>
    </row>
    <row r="304" ht="15.75" customHeight="1">
      <c r="I304" s="13"/>
      <c r="J304" s="13"/>
      <c r="M304" s="13"/>
    </row>
    <row r="305" ht="15.75" customHeight="1">
      <c r="I305" s="13"/>
      <c r="J305" s="13"/>
      <c r="M305" s="13"/>
    </row>
    <row r="306" ht="15.75" customHeight="1">
      <c r="I306" s="13"/>
      <c r="J306" s="13"/>
      <c r="M306" s="13"/>
    </row>
    <row r="307" ht="15.75" customHeight="1">
      <c r="I307" s="13"/>
      <c r="J307" s="13"/>
      <c r="M307" s="13"/>
    </row>
    <row r="308" ht="15.75" customHeight="1">
      <c r="I308" s="13"/>
      <c r="J308" s="13"/>
      <c r="M308" s="13"/>
    </row>
    <row r="309" ht="15.75" customHeight="1">
      <c r="I309" s="13"/>
      <c r="J309" s="13"/>
      <c r="M309" s="13"/>
    </row>
    <row r="310" ht="15.75" customHeight="1">
      <c r="I310" s="13"/>
      <c r="J310" s="13"/>
      <c r="M310" s="13"/>
    </row>
    <row r="311" ht="15.75" customHeight="1">
      <c r="I311" s="13"/>
      <c r="J311" s="13"/>
      <c r="M311" s="13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40.0"/>
    <col customWidth="1" min="3" max="3" width="18.0"/>
    <col customWidth="1" min="4" max="4" width="15.0"/>
    <col customWidth="1" min="5" max="6" width="12.0"/>
    <col customWidth="1" min="7" max="8" width="16.0"/>
    <col customWidth="1" min="9" max="9" width="24.0"/>
    <col customWidth="1" min="10" max="10" width="20.0"/>
    <col customWidth="1" min="11" max="12" width="10.0"/>
    <col customWidth="1" min="13" max="13" width="12.0"/>
    <col customWidth="1" min="14" max="14" width="22.0"/>
    <col customWidth="1" min="15" max="15" width="20.0"/>
    <col customWidth="1" min="16" max="16" width="18.0"/>
    <col customWidth="1" min="17" max="17" width="16.0"/>
    <col customWidth="1" min="18" max="18" width="26.0"/>
    <col customWidth="1" min="19" max="19" width="30.0"/>
    <col customWidth="1" min="20" max="20" width="48.0"/>
  </cols>
  <sheetData>
    <row r="1" ht="33.75" customHeight="1">
      <c r="A1" s="1" t="s">
        <v>1</v>
      </c>
      <c r="B1" s="1" t="s">
        <v>6</v>
      </c>
      <c r="C1" s="1" t="s">
        <v>7</v>
      </c>
      <c r="D1" s="1" t="s">
        <v>8</v>
      </c>
      <c r="E1" s="1" t="s">
        <v>27</v>
      </c>
      <c r="F1" s="1" t="s">
        <v>32</v>
      </c>
      <c r="G1" s="1" t="s">
        <v>35</v>
      </c>
      <c r="H1" s="1" t="s">
        <v>39</v>
      </c>
      <c r="I1" s="1" t="s">
        <v>42</v>
      </c>
      <c r="J1" s="1" t="s">
        <v>43</v>
      </c>
      <c r="K1" s="1" t="s">
        <v>34</v>
      </c>
      <c r="L1" s="1" t="s">
        <v>46</v>
      </c>
      <c r="M1" s="1" t="s">
        <v>49</v>
      </c>
      <c r="N1" s="1" t="s">
        <v>51</v>
      </c>
      <c r="O1" s="2" t="s">
        <v>56</v>
      </c>
      <c r="P1" s="2" t="s">
        <v>61</v>
      </c>
      <c r="Q1" s="2" t="s">
        <v>66</v>
      </c>
      <c r="R1" s="2" t="s">
        <v>69</v>
      </c>
      <c r="S1" s="2" t="s">
        <v>70</v>
      </c>
      <c r="T1" s="2" t="s">
        <v>71</v>
      </c>
    </row>
    <row r="2" ht="15.75" customHeight="1">
      <c r="A2" s="3" t="s">
        <v>75</v>
      </c>
      <c r="B2" s="3" t="s">
        <v>77</v>
      </c>
      <c r="C2" s="3" t="s">
        <v>41</v>
      </c>
      <c r="D2" s="9">
        <v>2025.0</v>
      </c>
      <c r="E2" s="9">
        <f t="shared" ref="E2:E221" si="1">D2-3</f>
        <v>2022</v>
      </c>
      <c r="F2" s="9">
        <f t="shared" ref="F2:F221" si="2">D2-1</f>
        <v>2024</v>
      </c>
      <c r="G2" s="9" t="str">
        <f>IF(COUNTIFS(HISTORICAL_DATA!$A$2:$A$441,$A2,HISTORICAL_DATA!$D$2:$D$441,"&gt;="&amp;$E2,HISTORICAL_DATA!$D$2:$D$441,"&lt;="&amp;$F2,HISTORICAL_DATA!$E$2:$E$441,"&lt;&gt;")&lt;3,"",SUMIFS(HISTORICAL_DATA!$E$2:$E$441,HISTORICAL_DATA!$A$2:$A$441,$A2,HISTORICAL_DATA!$D$2:$D$441,"&gt;="&amp;$E2,HISTORICAL_DATA!$D$2:$D$441,"&lt;="&amp;$F2)/3)</f>
        <v/>
      </c>
      <c r="H2" s="9" t="str">
        <f>IF(COUNTIFS(HISTORICAL_DATA!$A$2:$A$441,$A2,HISTORICAL_DATA!$D$2:$D$441,"&gt;="&amp;$E2,HISTORICAL_DATA!$D$2:$D$441,"&lt;="&amp;$F2,HISTORICAL_DATA!$E$2:$E$441,"&lt;&gt;")&lt;3,"",SUMIFS(HISTORICAL_DATA!$E$2:$E$441,HISTORICAL_DATA!$A$2:$A$441,$A2,HISTORICAL_DATA!$D$2:$D$441,"&gt;="&amp;$E2,HISTORICAL_DATA!$D$2:$D$441,"&lt;="&amp;$F2)/3)</f>
        <v/>
      </c>
      <c r="I2" s="9" t="str">
        <f>IF(OR(G2="",H2=""),"FACILITY DATA MISSING",IF(AND(COUNTIFS($C$2:$C$221,C2,$D$2:$D$221,D2,$G$2:$G$221,"&lt;&gt;")=COUNTIF(OFFICIAL_ALLOCATIONS!$C$2:$C$111,C2),COUNTIFS($C$2:$C$221,C2,$D$2:$D$221,D2,$H$2:$H$221,"&lt;&gt;")=COUNTIF(OFFICIAL_ALLOCATIONS!$C$2:$C$111,C2)),"COMPLETE","SECTOR DATA INCOMPLETE"))</f>
        <v>FACILITY DATA MISSING</v>
      </c>
      <c r="J2" s="9" t="str">
        <f t="shared" ref="J2:J221" si="3">IF(I2&lt;&gt;"COMPLETE","",IFERROR(SUMIFS($H$2:$H$221,$C$2:$C$221,C2,$D$2:$D$221,D2)/SUMIFS($G$2:$G$221,$C$2:$C$221,C2,$D$2:$D$221,D2),""))</f>
        <v/>
      </c>
      <c r="K2" s="23" t="str">
        <f>IF(COUNTIFS(POLICY_PARAMETERS!$B$2:$B$13,"g",POLICY_PARAMETERS!$E$2:$E$13,C2,POLICY_PARAMETERS!$F$2:$F$13,D2,POLICY_PARAMETERS!$G$2:$G$13,"&lt;&gt;")=0,"",SUMIFS(POLICY_PARAMETERS!$G$2:$G$13,POLICY_PARAMETERS!$B$2:$B$13,"g",POLICY_PARAMETERS!$E$2:$E$13,C2,POLICY_PARAMETERS!$F$2:$F$13,D2))</f>
        <v/>
      </c>
      <c r="L2" s="23" t="str">
        <f>IF(COUNTIFS(POLICY_PARAMETERS!$B$2:$B$13,"r",POLICY_PARAMETERS!$E$2:$E$13,C2,POLICY_PARAMETERS!$F$2:$F$13,D2,POLICY_PARAMETERS!$G$2:$G$13,"&lt;&gt;")=0,"",SUMIFS(POLICY_PARAMETERS!$G$2:$G$13,POLICY_PARAMETERS!$B$2:$B$13,"r",POLICY_PARAMETERS!$E$2:$E$13,C2,POLICY_PARAMETERS!$F$2:$F$13,D2))</f>
        <v/>
      </c>
      <c r="M2" s="24" t="str">
        <f t="shared" ref="M2:M221" si="4">IF(OR(K2="",L2=""),"",(1+K2)*(1-L2))</f>
        <v/>
      </c>
      <c r="N2" s="25" t="str">
        <f t="shared" ref="N2:N221" si="5">IF(OR(G2="",J2="",M2=""),"",G2*J2*M2)</f>
        <v/>
      </c>
      <c r="O2" s="26">
        <f>IF(D2=2025,IFERROR(VLOOKUP(A2,OFFICIAL_ALLOCATIONS!$A$2:$F$111,5,FALSE),""),IFERROR(VLOOKUP(A2,OFFICIAL_ALLOCATIONS!$A$2:$F$111,6,FALSE),""))</f>
        <v>1035566</v>
      </c>
      <c r="P2" s="27" t="str">
        <f t="shared" ref="P2:P221" si="6">IF(OR(N2="",O2=""),"",N2-O2)</f>
        <v/>
      </c>
      <c r="Q2" s="28" t="str">
        <f t="shared" ref="Q2:Q221" si="7">IF(OR(P2="",O2=0),"",P2/O2)</f>
        <v/>
      </c>
      <c r="R2" s="5" t="str">
        <f t="shared" ref="R2:R221" si="8">IF(OR(G2="",H2=""),"MISSING HISTORICAL DATA",IF(I2&lt;&gt;"COMPLETE","INCOMPLETE SECTOR DATA",IF(OR(K2="",L2=""),"MISSING VERIFIED g/r",IF(N2="","NOT READY","READY"))))</f>
        <v>MISSING HISTORICAL DATA</v>
      </c>
      <c r="S2" s="5" t="s">
        <v>179</v>
      </c>
      <c r="T2" s="5" t="s">
        <v>59</v>
      </c>
    </row>
    <row r="3" ht="15.75" customHeight="1">
      <c r="A3" s="3" t="s">
        <v>75</v>
      </c>
      <c r="B3" s="3" t="s">
        <v>77</v>
      </c>
      <c r="C3" s="3" t="s">
        <v>41</v>
      </c>
      <c r="D3" s="9">
        <v>2026.0</v>
      </c>
      <c r="E3" s="9">
        <f t="shared" si="1"/>
        <v>2023</v>
      </c>
      <c r="F3" s="9">
        <f t="shared" si="2"/>
        <v>2025</v>
      </c>
      <c r="G3" s="9" t="str">
        <f>IF(COUNTIFS(HISTORICAL_DATA!$A$2:$A$441,$A3,HISTORICAL_DATA!$D$2:$D$441,"&gt;="&amp;$E3,HISTORICAL_DATA!$D$2:$D$441,"&lt;="&amp;$F3,HISTORICAL_DATA!$E$2:$E$441,"&lt;&gt;")&lt;3,"",SUMIFS(HISTORICAL_DATA!$E$2:$E$441,HISTORICAL_DATA!$A$2:$A$441,$A3,HISTORICAL_DATA!$D$2:$D$441,"&gt;="&amp;$E3,HISTORICAL_DATA!$D$2:$D$441,"&lt;="&amp;$F3)/3)</f>
        <v/>
      </c>
      <c r="H3" s="9" t="str">
        <f>IF(COUNTIFS(HISTORICAL_DATA!$A$2:$A$441,$A3,HISTORICAL_DATA!$D$2:$D$441,"&gt;="&amp;$E3,HISTORICAL_DATA!$D$2:$D$441,"&lt;="&amp;$F3,HISTORICAL_DATA!$G$2:$G$441,"&lt;&gt;")&lt;3,"",SUMIFS(HISTORICAL_DATA!$G$2:$G$441,HISTORICAL_DATA!$A$2:$A$441,$A3,HISTORICAL_DATA!$D$2:$D$441,"&gt;="&amp;$E3,HISTORICAL_DATA!$D$2:$D$441,"&lt;="&amp;$F3)/3)</f>
        <v/>
      </c>
      <c r="I3" s="9" t="str">
        <f>IF(OR(G3="",H3=""),"FACILITY DATA MISSING",IF(AND(COUNTIFS($C$2:$C$221,C3,$D$2:$D$221,D3,$G$2:$G$221,"&lt;&gt;")=COUNTIF(OFFICIAL_ALLOCATIONS!$C$2:$C$111,C3),COUNTIFS($C$2:$C$221,C3,$D$2:$D$221,D3,$H$2:$H$221,"&lt;&gt;")=COUNTIF(OFFICIAL_ALLOCATIONS!$C$2:$C$111,C3)),"COMPLETE","SECTOR DATA INCOMPLETE"))</f>
        <v>FACILITY DATA MISSING</v>
      </c>
      <c r="J3" s="9" t="str">
        <f t="shared" si="3"/>
        <v/>
      </c>
      <c r="K3" s="23" t="str">
        <f>IF(COUNTIFS(POLICY_PARAMETERS!$B$2:$B$13,"g",POLICY_PARAMETERS!$E$2:$E$13,C3,POLICY_PARAMETERS!$F$2:$F$13,D3,POLICY_PARAMETERS!$G$2:$G$13,"&lt;&gt;")=0,"",SUMIFS(POLICY_PARAMETERS!$G$2:$G$13,POLICY_PARAMETERS!$B$2:$B$13,"g",POLICY_PARAMETERS!$E$2:$E$13,C3,POLICY_PARAMETERS!$F$2:$F$13,D3))</f>
        <v/>
      </c>
      <c r="L3" s="23" t="str">
        <f>IF(COUNTIFS(POLICY_PARAMETERS!$B$2:$B$13,"r",POLICY_PARAMETERS!$E$2:$E$13,C3,POLICY_PARAMETERS!$F$2:$F$13,D3,POLICY_PARAMETERS!$G$2:$G$13,"&lt;&gt;")=0,"",SUMIFS(POLICY_PARAMETERS!$G$2:$G$13,POLICY_PARAMETERS!$B$2:$B$13,"r",POLICY_PARAMETERS!$E$2:$E$13,C3,POLICY_PARAMETERS!$F$2:$F$13,D3))</f>
        <v/>
      </c>
      <c r="M3" s="24" t="str">
        <f t="shared" si="4"/>
        <v/>
      </c>
      <c r="N3" s="25" t="str">
        <f t="shared" si="5"/>
        <v/>
      </c>
      <c r="O3" s="26">
        <f>IF(D3=2025,IFERROR(VLOOKUP(A3,OFFICIAL_ALLOCATIONS!$A$2:$F$111,5,FALSE),""),IFERROR(VLOOKUP(A3,OFFICIAL_ALLOCATIONS!$A$2:$F$111,6,FALSE),""))</f>
        <v>1134493</v>
      </c>
      <c r="P3" s="27" t="str">
        <f t="shared" si="6"/>
        <v/>
      </c>
      <c r="Q3" s="28" t="str">
        <f t="shared" si="7"/>
        <v/>
      </c>
      <c r="R3" s="5" t="str">
        <f t="shared" si="8"/>
        <v>MISSING HISTORICAL DATA</v>
      </c>
      <c r="S3" s="5" t="s">
        <v>179</v>
      </c>
      <c r="T3" s="5" t="s">
        <v>59</v>
      </c>
    </row>
    <row r="4" ht="15.75" customHeight="1">
      <c r="A4" s="3" t="s">
        <v>220</v>
      </c>
      <c r="B4" s="3" t="s">
        <v>125</v>
      </c>
      <c r="C4" s="3" t="s">
        <v>41</v>
      </c>
      <c r="D4" s="9">
        <v>2025.0</v>
      </c>
      <c r="E4" s="9">
        <f t="shared" si="1"/>
        <v>2022</v>
      </c>
      <c r="F4" s="9">
        <f t="shared" si="2"/>
        <v>2024</v>
      </c>
      <c r="G4" s="9" t="str">
        <f>IF(COUNTIFS(HISTORICAL_DATA!$A$2:$A$441,$A4,HISTORICAL_DATA!$D$2:$D$441,"&gt;="&amp;$E4,HISTORICAL_DATA!$D$2:$D$441,"&lt;="&amp;$F4,HISTORICAL_DATA!$E$2:$E$441,"&lt;&gt;")&lt;3,"",SUMIFS(HISTORICAL_DATA!$E$2:$E$441,HISTORICAL_DATA!$A$2:$A$441,$A4,HISTORICAL_DATA!$D$2:$D$441,"&gt;="&amp;$E4,HISTORICAL_DATA!$D$2:$D$441,"&lt;="&amp;$F4)/3)</f>
        <v/>
      </c>
      <c r="H4" s="9" t="str">
        <f>IF(COUNTIFS(HISTORICAL_DATA!$A$2:$A$441,$A4,HISTORICAL_DATA!$D$2:$D$441,"&gt;="&amp;$E4,HISTORICAL_DATA!$D$2:$D$441,"&lt;="&amp;$F4,HISTORICAL_DATA!$G$2:$G$441,"&lt;&gt;")&lt;3,"",SUMIFS(HISTORICAL_DATA!$G$2:$G$441,HISTORICAL_DATA!$A$2:$A$441,$A4,HISTORICAL_DATA!$D$2:$D$441,"&gt;="&amp;$E4,HISTORICAL_DATA!$D$2:$D$441,"&lt;="&amp;$F4)/3)</f>
        <v/>
      </c>
      <c r="I4" s="9" t="str">
        <f>IF(OR(G4="",H4=""),"FACILITY DATA MISSING",IF(AND(COUNTIFS($C$2:$C$221,C4,$D$2:$D$221,D4,$G$2:$G$221,"&lt;&gt;")=COUNTIF(OFFICIAL_ALLOCATIONS!$C$2:$C$111,C4),COUNTIFS($C$2:$C$221,C4,$D$2:$D$221,D4,$H$2:$H$221,"&lt;&gt;")=COUNTIF(OFFICIAL_ALLOCATIONS!$C$2:$C$111,C4)),"COMPLETE","SECTOR DATA INCOMPLETE"))</f>
        <v>FACILITY DATA MISSING</v>
      </c>
      <c r="J4" s="9" t="str">
        <f t="shared" si="3"/>
        <v/>
      </c>
      <c r="K4" s="23" t="str">
        <f>IF(COUNTIFS(POLICY_PARAMETERS!$B$2:$B$13,"g",POLICY_PARAMETERS!$E$2:$E$13,C4,POLICY_PARAMETERS!$F$2:$F$13,D4,POLICY_PARAMETERS!$G$2:$G$13,"&lt;&gt;")=0,"",SUMIFS(POLICY_PARAMETERS!$G$2:$G$13,POLICY_PARAMETERS!$B$2:$B$13,"g",POLICY_PARAMETERS!$E$2:$E$13,C4,POLICY_PARAMETERS!$F$2:$F$13,D4))</f>
        <v/>
      </c>
      <c r="L4" s="23" t="str">
        <f>IF(COUNTIFS(POLICY_PARAMETERS!$B$2:$B$13,"r",POLICY_PARAMETERS!$E$2:$E$13,C4,POLICY_PARAMETERS!$F$2:$F$13,D4,POLICY_PARAMETERS!$G$2:$G$13,"&lt;&gt;")=0,"",SUMIFS(POLICY_PARAMETERS!$G$2:$G$13,POLICY_PARAMETERS!$B$2:$B$13,"r",POLICY_PARAMETERS!$E$2:$E$13,C4,POLICY_PARAMETERS!$F$2:$F$13,D4))</f>
        <v/>
      </c>
      <c r="M4" s="24" t="str">
        <f t="shared" si="4"/>
        <v/>
      </c>
      <c r="N4" s="25" t="str">
        <f t="shared" si="5"/>
        <v/>
      </c>
      <c r="O4" s="26">
        <f>IF(D4=2025,IFERROR(VLOOKUP(A4,OFFICIAL_ALLOCATIONS!$A$2:$F$111,5,FALSE),""),IFERROR(VLOOKUP(A4,OFFICIAL_ALLOCATIONS!$A$2:$F$111,6,FALSE),""))</f>
        <v>2032458</v>
      </c>
      <c r="P4" s="27" t="str">
        <f t="shared" si="6"/>
        <v/>
      </c>
      <c r="Q4" s="28" t="str">
        <f t="shared" si="7"/>
        <v/>
      </c>
      <c r="R4" s="5" t="str">
        <f t="shared" si="8"/>
        <v>MISSING HISTORICAL DATA</v>
      </c>
      <c r="S4" s="5" t="s">
        <v>179</v>
      </c>
      <c r="T4" s="5" t="s">
        <v>59</v>
      </c>
    </row>
    <row r="5" ht="15.75" customHeight="1">
      <c r="A5" s="3" t="s">
        <v>220</v>
      </c>
      <c r="B5" s="3" t="s">
        <v>125</v>
      </c>
      <c r="C5" s="3" t="s">
        <v>41</v>
      </c>
      <c r="D5" s="9">
        <v>2026.0</v>
      </c>
      <c r="E5" s="9">
        <f t="shared" si="1"/>
        <v>2023</v>
      </c>
      <c r="F5" s="9">
        <f t="shared" si="2"/>
        <v>2025</v>
      </c>
      <c r="G5" s="31" t="str">
        <f>IF(COUNTIFS(HISTORICAL_DATA!$A$2:$A$441,$A5,HISTORICAL_DATA!$D$2:$D$441,"&gt;="&amp;$E5,HISTORICAL_DATA!$D$2:$D$441,"&lt;="&amp;$F5,HISTORICAL_DATA!$E$2:$E$441,"&lt;&gt;")&lt;3,"",SUMIFS(HISTORICAL_DATA!$E$2:$E$441,HISTORICAL_DATA!$A$2:$A$441,$A5,HISTORICAL_DATA!$D$2:$D$441,"&gt;="&amp;$E5,HISTORICAL_DATA!$D$2:$D$441,"&lt;="&amp;$F5)/3)</f>
        <v/>
      </c>
      <c r="H5" s="31" t="str">
        <f>IF(COUNTIFS(HISTORICAL_DATA!$A$2:$A$441,$A5,HISTORICAL_DATA!$D$2:$D$441,"&gt;="&amp;$E5,HISTORICAL_DATA!$D$2:$D$441,"&lt;="&amp;$F5,HISTORICAL_DATA!$G$2:$G$441,"&lt;&gt;")&lt;3,"",SUMIFS(HISTORICAL_DATA!$G$2:$G$441,HISTORICAL_DATA!$A$2:$A$441,$A5,HISTORICAL_DATA!$D$2:$D$441,"&gt;="&amp;$E5,HISTORICAL_DATA!$D$2:$D$441,"&lt;="&amp;$F5)/3)</f>
        <v/>
      </c>
      <c r="I5" s="31" t="str">
        <f>IF(OR(G5="",H5=""),"FACILITY DATA MISSING",IF(AND(COUNTIFS($C$2:$C$221,C5,$D$2:$D$221,D5,$G$2:$G$221,"&lt;&gt;")=COUNTIF(OFFICIAL_ALLOCATIONS!$C$2:$C$111,C5),COUNTIFS($C$2:$C$221,C5,$D$2:$D$221,D5,$H$2:$H$221,"&lt;&gt;")=COUNTIF(OFFICIAL_ALLOCATIONS!$C$2:$C$111,C5)),"COMPLETE","SECTOR DATA INCOMPLETE"))</f>
        <v>FACILITY DATA MISSING</v>
      </c>
      <c r="J5" s="9" t="str">
        <f t="shared" si="3"/>
        <v/>
      </c>
      <c r="K5" s="23" t="str">
        <f>IF(COUNTIFS(POLICY_PARAMETERS!$B$2:$B$13,"g",POLICY_PARAMETERS!$E$2:$E$13,C5,POLICY_PARAMETERS!$F$2:$F$13,D5,POLICY_PARAMETERS!$G$2:$G$13,"&lt;&gt;")=0,"",SUMIFS(POLICY_PARAMETERS!$G$2:$G$13,POLICY_PARAMETERS!$B$2:$B$13,"g",POLICY_PARAMETERS!$E$2:$E$13,C5,POLICY_PARAMETERS!$F$2:$F$13,D5))</f>
        <v/>
      </c>
      <c r="L5" s="23" t="str">
        <f>IF(COUNTIFS(POLICY_PARAMETERS!$B$2:$B$13,"r",POLICY_PARAMETERS!$E$2:$E$13,C5,POLICY_PARAMETERS!$F$2:$F$13,D5,POLICY_PARAMETERS!$G$2:$G$13,"&lt;&gt;")=0,"",SUMIFS(POLICY_PARAMETERS!$G$2:$G$13,POLICY_PARAMETERS!$B$2:$B$13,"r",POLICY_PARAMETERS!$E$2:$E$13,C5,POLICY_PARAMETERS!$F$2:$F$13,D5))</f>
        <v/>
      </c>
      <c r="M5" s="24" t="str">
        <f t="shared" si="4"/>
        <v/>
      </c>
      <c r="N5" s="25" t="str">
        <f t="shared" si="5"/>
        <v/>
      </c>
      <c r="O5" s="26">
        <f>IF(D5=2025,IFERROR(VLOOKUP(A5,OFFICIAL_ALLOCATIONS!$A$2:$F$111,5,FALSE),""),IFERROR(VLOOKUP(A5,OFFICIAL_ALLOCATIONS!$A$2:$F$111,6,FALSE),""))</f>
        <v>2226618</v>
      </c>
      <c r="P5" s="27" t="str">
        <f t="shared" si="6"/>
        <v/>
      </c>
      <c r="Q5" s="28" t="str">
        <f t="shared" si="7"/>
        <v/>
      </c>
      <c r="R5" s="5" t="str">
        <f t="shared" si="8"/>
        <v>MISSING HISTORICAL DATA</v>
      </c>
      <c r="S5" s="5" t="s">
        <v>179</v>
      </c>
      <c r="T5" s="5" t="s">
        <v>59</v>
      </c>
    </row>
    <row r="6" ht="15.75" customHeight="1">
      <c r="A6" s="3" t="s">
        <v>401</v>
      </c>
      <c r="B6" s="3" t="s">
        <v>129</v>
      </c>
      <c r="C6" s="3" t="s">
        <v>41</v>
      </c>
      <c r="D6" s="9">
        <v>2025.0</v>
      </c>
      <c r="E6" s="9">
        <f t="shared" si="1"/>
        <v>2022</v>
      </c>
      <c r="F6" s="9">
        <f t="shared" si="2"/>
        <v>2024</v>
      </c>
      <c r="G6" s="31" t="str">
        <f>IF(COUNTIFS(HISTORICAL_DATA!$A$2:$A$441,$A6,HISTORICAL_DATA!$D$2:$D$441,"&gt;="&amp;$E6,HISTORICAL_DATA!$D$2:$D$441,"&lt;="&amp;$F6,HISTORICAL_DATA!$E$2:$E$441,"&lt;&gt;")&lt;3,"",SUMIFS(HISTORICAL_DATA!$E$2:$E$441,HISTORICAL_DATA!$A$2:$A$441,$A6,HISTORICAL_DATA!$D$2:$D$441,"&gt;="&amp;$E6,HISTORICAL_DATA!$D$2:$D$441,"&lt;="&amp;$F6)/3)</f>
        <v/>
      </c>
      <c r="H6" s="31" t="str">
        <f>IF(COUNTIFS(HISTORICAL_DATA!$A$2:$A$441,$A6,HISTORICAL_DATA!$D$2:$D$441,"&gt;="&amp;$E6,HISTORICAL_DATA!$D$2:$D$441,"&lt;="&amp;$F6,HISTORICAL_DATA!$G$2:$G$441,"&lt;&gt;")&lt;3,"",SUMIFS(HISTORICAL_DATA!$G$2:$G$441,HISTORICAL_DATA!$A$2:$A$441,$A6,HISTORICAL_DATA!$D$2:$D$441,"&gt;="&amp;$E6,HISTORICAL_DATA!$D$2:$D$441,"&lt;="&amp;$F6)/3)</f>
        <v/>
      </c>
      <c r="I6" s="31" t="str">
        <f>IF(OR(G6="",H6=""),"FACILITY DATA MISSING",IF(AND(COUNTIFS($C$2:$C$221,C6,$D$2:$D$221,D6,$G$2:$G$221,"&lt;&gt;")=COUNTIF(OFFICIAL_ALLOCATIONS!$C$2:$C$111,C6),COUNTIFS($C$2:$C$221,C6,$D$2:$D$221,D6,$H$2:$H$221,"&lt;&gt;")=COUNTIF(OFFICIAL_ALLOCATIONS!$C$2:$C$111,C6)),"COMPLETE","SECTOR DATA INCOMPLETE"))</f>
        <v>FACILITY DATA MISSING</v>
      </c>
      <c r="J6" s="9" t="str">
        <f t="shared" si="3"/>
        <v/>
      </c>
      <c r="K6" s="23" t="str">
        <f>IF(COUNTIFS(POLICY_PARAMETERS!$B$2:$B$13,"g",POLICY_PARAMETERS!$E$2:$E$13,C6,POLICY_PARAMETERS!$F$2:$F$13,D6,POLICY_PARAMETERS!$G$2:$G$13,"&lt;&gt;")=0,"",SUMIFS(POLICY_PARAMETERS!$G$2:$G$13,POLICY_PARAMETERS!$B$2:$B$13,"g",POLICY_PARAMETERS!$E$2:$E$13,C6,POLICY_PARAMETERS!$F$2:$F$13,D6))</f>
        <v/>
      </c>
      <c r="L6" s="23" t="str">
        <f>IF(COUNTIFS(POLICY_PARAMETERS!$B$2:$B$13,"r",POLICY_PARAMETERS!$E$2:$E$13,C6,POLICY_PARAMETERS!$F$2:$F$13,D6,POLICY_PARAMETERS!$G$2:$G$13,"&lt;&gt;")=0,"",SUMIFS(POLICY_PARAMETERS!$G$2:$G$13,POLICY_PARAMETERS!$B$2:$B$13,"r",POLICY_PARAMETERS!$E$2:$E$13,C6,POLICY_PARAMETERS!$F$2:$F$13,D6))</f>
        <v/>
      </c>
      <c r="M6" s="24" t="str">
        <f t="shared" si="4"/>
        <v/>
      </c>
      <c r="N6" s="25" t="str">
        <f t="shared" si="5"/>
        <v/>
      </c>
      <c r="O6" s="26">
        <f>IF(D6=2025,IFERROR(VLOOKUP(A6,OFFICIAL_ALLOCATIONS!$A$2:$F$111,5,FALSE),""),IFERROR(VLOOKUP(A6,OFFICIAL_ALLOCATIONS!$A$2:$F$111,6,FALSE),""))</f>
        <v>5691098</v>
      </c>
      <c r="P6" s="27" t="str">
        <f t="shared" si="6"/>
        <v/>
      </c>
      <c r="Q6" s="28" t="str">
        <f t="shared" si="7"/>
        <v/>
      </c>
      <c r="R6" s="5" t="str">
        <f t="shared" si="8"/>
        <v>MISSING HISTORICAL DATA</v>
      </c>
      <c r="S6" s="5" t="s">
        <v>179</v>
      </c>
      <c r="T6" s="5" t="s">
        <v>59</v>
      </c>
    </row>
    <row r="7" ht="15.75" customHeight="1">
      <c r="A7" s="3" t="s">
        <v>401</v>
      </c>
      <c r="B7" s="3" t="s">
        <v>129</v>
      </c>
      <c r="C7" s="3" t="s">
        <v>41</v>
      </c>
      <c r="D7" s="9">
        <v>2026.0</v>
      </c>
      <c r="E7" s="9">
        <f t="shared" si="1"/>
        <v>2023</v>
      </c>
      <c r="F7" s="9">
        <f t="shared" si="2"/>
        <v>2025</v>
      </c>
      <c r="G7" s="31" t="str">
        <f>IF(COUNTIFS(HISTORICAL_DATA!$A$2:$A$441,$A7,HISTORICAL_DATA!$D$2:$D$441,"&gt;="&amp;$E7,HISTORICAL_DATA!$D$2:$D$441,"&lt;="&amp;$F7,HISTORICAL_DATA!$E$2:$E$441,"&lt;&gt;")&lt;3,"",SUMIFS(HISTORICAL_DATA!$E$2:$E$441,HISTORICAL_DATA!$A$2:$A$441,$A7,HISTORICAL_DATA!$D$2:$D$441,"&gt;="&amp;$E7,HISTORICAL_DATA!$D$2:$D$441,"&lt;="&amp;$F7)/3)</f>
        <v/>
      </c>
      <c r="H7" s="31" t="str">
        <f>IF(COUNTIFS(HISTORICAL_DATA!$A$2:$A$441,$A7,HISTORICAL_DATA!$D$2:$D$441,"&gt;="&amp;$E7,HISTORICAL_DATA!$D$2:$D$441,"&lt;="&amp;$F7,HISTORICAL_DATA!$G$2:$G$441,"&lt;&gt;")&lt;3,"",SUMIFS(HISTORICAL_DATA!$G$2:$G$441,HISTORICAL_DATA!$A$2:$A$441,$A7,HISTORICAL_DATA!$D$2:$D$441,"&gt;="&amp;$E7,HISTORICAL_DATA!$D$2:$D$441,"&lt;="&amp;$F7)/3)</f>
        <v/>
      </c>
      <c r="I7" s="31" t="str">
        <f>IF(OR(G7="",H7=""),"FACILITY DATA MISSING",IF(AND(COUNTIFS($C$2:$C$221,C7,$D$2:$D$221,D7,$G$2:$G$221,"&lt;&gt;")=COUNTIF(OFFICIAL_ALLOCATIONS!$C$2:$C$111,C7),COUNTIFS($C$2:$C$221,C7,$D$2:$D$221,D7,$H$2:$H$221,"&lt;&gt;")=COUNTIF(OFFICIAL_ALLOCATIONS!$C$2:$C$111,C7)),"COMPLETE","SECTOR DATA INCOMPLETE"))</f>
        <v>FACILITY DATA MISSING</v>
      </c>
      <c r="J7" s="9" t="str">
        <f t="shared" si="3"/>
        <v/>
      </c>
      <c r="K7" s="23" t="str">
        <f>IF(COUNTIFS(POLICY_PARAMETERS!$B$2:$B$13,"g",POLICY_PARAMETERS!$E$2:$E$13,C7,POLICY_PARAMETERS!$F$2:$F$13,D7,POLICY_PARAMETERS!$G$2:$G$13,"&lt;&gt;")=0,"",SUMIFS(POLICY_PARAMETERS!$G$2:$G$13,POLICY_PARAMETERS!$B$2:$B$13,"g",POLICY_PARAMETERS!$E$2:$E$13,C7,POLICY_PARAMETERS!$F$2:$F$13,D7))</f>
        <v/>
      </c>
      <c r="L7" s="23" t="str">
        <f>IF(COUNTIFS(POLICY_PARAMETERS!$B$2:$B$13,"r",POLICY_PARAMETERS!$E$2:$E$13,C7,POLICY_PARAMETERS!$F$2:$F$13,D7,POLICY_PARAMETERS!$G$2:$G$13,"&lt;&gt;")=0,"",SUMIFS(POLICY_PARAMETERS!$G$2:$G$13,POLICY_PARAMETERS!$B$2:$B$13,"r",POLICY_PARAMETERS!$E$2:$E$13,C7,POLICY_PARAMETERS!$F$2:$F$13,D7))</f>
        <v/>
      </c>
      <c r="M7" s="24" t="str">
        <f t="shared" si="4"/>
        <v/>
      </c>
      <c r="N7" s="25" t="str">
        <f t="shared" si="5"/>
        <v/>
      </c>
      <c r="O7" s="26">
        <f>IF(D7=2025,IFERROR(VLOOKUP(A7,OFFICIAL_ALLOCATIONS!$A$2:$F$111,5,FALSE),""),IFERROR(VLOOKUP(A7,OFFICIAL_ALLOCATIONS!$A$2:$F$111,6,FALSE),""))</f>
        <v>6234766</v>
      </c>
      <c r="P7" s="27" t="str">
        <f t="shared" si="6"/>
        <v/>
      </c>
      <c r="Q7" s="28" t="str">
        <f t="shared" si="7"/>
        <v/>
      </c>
      <c r="R7" s="5" t="str">
        <f t="shared" si="8"/>
        <v>MISSING HISTORICAL DATA</v>
      </c>
      <c r="S7" s="5" t="s">
        <v>179</v>
      </c>
      <c r="T7" s="5" t="s">
        <v>59</v>
      </c>
    </row>
    <row r="8" ht="15.75" customHeight="1">
      <c r="A8" s="3" t="s">
        <v>623</v>
      </c>
      <c r="B8" s="3" t="s">
        <v>131</v>
      </c>
      <c r="C8" s="3" t="s">
        <v>41</v>
      </c>
      <c r="D8" s="9">
        <v>2025.0</v>
      </c>
      <c r="E8" s="9">
        <f t="shared" si="1"/>
        <v>2022</v>
      </c>
      <c r="F8" s="9">
        <f t="shared" si="2"/>
        <v>2024</v>
      </c>
      <c r="G8" s="31" t="str">
        <f>IF(COUNTIFS(HISTORICAL_DATA!$A$2:$A$441,$A8,HISTORICAL_DATA!$D$2:$D$441,"&gt;="&amp;$E8,HISTORICAL_DATA!$D$2:$D$441,"&lt;="&amp;$F8,HISTORICAL_DATA!$E$2:$E$441,"&lt;&gt;")&lt;3,"",SUMIFS(HISTORICAL_DATA!$E$2:$E$441,HISTORICAL_DATA!$A$2:$A$441,$A8,HISTORICAL_DATA!$D$2:$D$441,"&gt;="&amp;$E8,HISTORICAL_DATA!$D$2:$D$441,"&lt;="&amp;$F8)/3)</f>
        <v/>
      </c>
      <c r="H8" s="31" t="str">
        <f>IF(COUNTIFS(HISTORICAL_DATA!$A$2:$A$441,$A8,HISTORICAL_DATA!$D$2:$D$441,"&gt;="&amp;$E8,HISTORICAL_DATA!$D$2:$D$441,"&lt;="&amp;$F8,HISTORICAL_DATA!$G$2:$G$441,"&lt;&gt;")&lt;3,"",SUMIFS(HISTORICAL_DATA!$G$2:$G$441,HISTORICAL_DATA!$A$2:$A$441,$A8,HISTORICAL_DATA!$D$2:$D$441,"&gt;="&amp;$E8,HISTORICAL_DATA!$D$2:$D$441,"&lt;="&amp;$F8)/3)</f>
        <v/>
      </c>
      <c r="I8" s="31" t="str">
        <f>IF(OR(G8="",H8=""),"FACILITY DATA MISSING",IF(AND(COUNTIFS($C$2:$C$221,C8,$D$2:$D$221,D8,$G$2:$G$221,"&lt;&gt;")=COUNTIF(OFFICIAL_ALLOCATIONS!$C$2:$C$111,C8),COUNTIFS($C$2:$C$221,C8,$D$2:$D$221,D8,$H$2:$H$221,"&lt;&gt;")=COUNTIF(OFFICIAL_ALLOCATIONS!$C$2:$C$111,C8)),"COMPLETE","SECTOR DATA INCOMPLETE"))</f>
        <v>FACILITY DATA MISSING</v>
      </c>
      <c r="J8" s="9" t="str">
        <f t="shared" si="3"/>
        <v/>
      </c>
      <c r="K8" s="23" t="str">
        <f>IF(COUNTIFS(POLICY_PARAMETERS!$B$2:$B$13,"g",POLICY_PARAMETERS!$E$2:$E$13,C8,POLICY_PARAMETERS!$F$2:$F$13,D8,POLICY_PARAMETERS!$G$2:$G$13,"&lt;&gt;")=0,"",SUMIFS(POLICY_PARAMETERS!$G$2:$G$13,POLICY_PARAMETERS!$B$2:$B$13,"g",POLICY_PARAMETERS!$E$2:$E$13,C8,POLICY_PARAMETERS!$F$2:$F$13,D8))</f>
        <v/>
      </c>
      <c r="L8" s="23" t="str">
        <f>IF(COUNTIFS(POLICY_PARAMETERS!$B$2:$B$13,"r",POLICY_PARAMETERS!$E$2:$E$13,C8,POLICY_PARAMETERS!$F$2:$F$13,D8,POLICY_PARAMETERS!$G$2:$G$13,"&lt;&gt;")=0,"",SUMIFS(POLICY_PARAMETERS!$G$2:$G$13,POLICY_PARAMETERS!$B$2:$B$13,"r",POLICY_PARAMETERS!$E$2:$E$13,C8,POLICY_PARAMETERS!$F$2:$F$13,D8))</f>
        <v/>
      </c>
      <c r="M8" s="24" t="str">
        <f t="shared" si="4"/>
        <v/>
      </c>
      <c r="N8" s="25" t="str">
        <f t="shared" si="5"/>
        <v/>
      </c>
      <c r="O8" s="26">
        <f>IF(D8=2025,IFERROR(VLOOKUP(A8,OFFICIAL_ALLOCATIONS!$A$2:$F$111,5,FALSE),""),IFERROR(VLOOKUP(A8,OFFICIAL_ALLOCATIONS!$A$2:$F$111,6,FALSE),""))</f>
        <v>11097421</v>
      </c>
      <c r="P8" s="27" t="str">
        <f t="shared" si="6"/>
        <v/>
      </c>
      <c r="Q8" s="28" t="str">
        <f t="shared" si="7"/>
        <v/>
      </c>
      <c r="R8" s="5" t="str">
        <f t="shared" si="8"/>
        <v>MISSING HISTORICAL DATA</v>
      </c>
      <c r="S8" s="5" t="s">
        <v>179</v>
      </c>
      <c r="T8" s="5" t="s">
        <v>59</v>
      </c>
    </row>
    <row r="9" ht="15.75" customHeight="1">
      <c r="A9" s="3" t="s">
        <v>623</v>
      </c>
      <c r="B9" s="3" t="s">
        <v>131</v>
      </c>
      <c r="C9" s="3" t="s">
        <v>41</v>
      </c>
      <c r="D9" s="9">
        <v>2026.0</v>
      </c>
      <c r="E9" s="9">
        <f t="shared" si="1"/>
        <v>2023</v>
      </c>
      <c r="F9" s="9">
        <f t="shared" si="2"/>
        <v>2025</v>
      </c>
      <c r="G9" s="31" t="str">
        <f>IF(COUNTIFS(HISTORICAL_DATA!$A$2:$A$441,$A9,HISTORICAL_DATA!$D$2:$D$441,"&gt;="&amp;$E9,HISTORICAL_DATA!$D$2:$D$441,"&lt;="&amp;$F9,HISTORICAL_DATA!$E$2:$E$441,"&lt;&gt;")&lt;3,"",SUMIFS(HISTORICAL_DATA!$E$2:$E$441,HISTORICAL_DATA!$A$2:$A$441,$A9,HISTORICAL_DATA!$D$2:$D$441,"&gt;="&amp;$E9,HISTORICAL_DATA!$D$2:$D$441,"&lt;="&amp;$F9)/3)</f>
        <v/>
      </c>
      <c r="H9" s="31" t="str">
        <f>IF(COUNTIFS(HISTORICAL_DATA!$A$2:$A$441,$A9,HISTORICAL_DATA!$D$2:$D$441,"&gt;="&amp;$E9,HISTORICAL_DATA!$D$2:$D$441,"&lt;="&amp;$F9,HISTORICAL_DATA!$G$2:$G$441,"&lt;&gt;")&lt;3,"",SUMIFS(HISTORICAL_DATA!$G$2:$G$441,HISTORICAL_DATA!$A$2:$A$441,$A9,HISTORICAL_DATA!$D$2:$D$441,"&gt;="&amp;$E9,HISTORICAL_DATA!$D$2:$D$441,"&lt;="&amp;$F9)/3)</f>
        <v/>
      </c>
      <c r="I9" s="31" t="str">
        <f>IF(OR(G9="",H9=""),"FACILITY DATA MISSING",IF(AND(COUNTIFS($C$2:$C$221,C9,$D$2:$D$221,D9,$G$2:$G$221,"&lt;&gt;")=COUNTIF(OFFICIAL_ALLOCATIONS!$C$2:$C$111,C9),COUNTIFS($C$2:$C$221,C9,$D$2:$D$221,D9,$H$2:$H$221,"&lt;&gt;")=COUNTIF(OFFICIAL_ALLOCATIONS!$C$2:$C$111,C9)),"COMPLETE","SECTOR DATA INCOMPLETE"))</f>
        <v>FACILITY DATA MISSING</v>
      </c>
      <c r="J9" s="9" t="str">
        <f t="shared" si="3"/>
        <v/>
      </c>
      <c r="K9" s="23" t="str">
        <f>IF(COUNTIFS(POLICY_PARAMETERS!$B$2:$B$13,"g",POLICY_PARAMETERS!$E$2:$E$13,C9,POLICY_PARAMETERS!$F$2:$F$13,D9,POLICY_PARAMETERS!$G$2:$G$13,"&lt;&gt;")=0,"",SUMIFS(POLICY_PARAMETERS!$G$2:$G$13,POLICY_PARAMETERS!$B$2:$B$13,"g",POLICY_PARAMETERS!$E$2:$E$13,C9,POLICY_PARAMETERS!$F$2:$F$13,D9))</f>
        <v/>
      </c>
      <c r="L9" s="23" t="str">
        <f>IF(COUNTIFS(POLICY_PARAMETERS!$B$2:$B$13,"r",POLICY_PARAMETERS!$E$2:$E$13,C9,POLICY_PARAMETERS!$F$2:$F$13,D9,POLICY_PARAMETERS!$G$2:$G$13,"&lt;&gt;")=0,"",SUMIFS(POLICY_PARAMETERS!$G$2:$G$13,POLICY_PARAMETERS!$B$2:$B$13,"r",POLICY_PARAMETERS!$E$2:$E$13,C9,POLICY_PARAMETERS!$F$2:$F$13,D9))</f>
        <v/>
      </c>
      <c r="M9" s="24" t="str">
        <f t="shared" si="4"/>
        <v/>
      </c>
      <c r="N9" s="25" t="str">
        <f t="shared" si="5"/>
        <v/>
      </c>
      <c r="O9" s="26">
        <f>IF(D9=2025,IFERROR(VLOOKUP(A9,OFFICIAL_ALLOCATIONS!$A$2:$F$111,5,FALSE),""),IFERROR(VLOOKUP(A9,OFFICIAL_ALLOCATIONS!$A$2:$F$111,6,FALSE),""))</f>
        <v>12157553</v>
      </c>
      <c r="P9" s="27" t="str">
        <f t="shared" si="6"/>
        <v/>
      </c>
      <c r="Q9" s="28" t="str">
        <f t="shared" si="7"/>
        <v/>
      </c>
      <c r="R9" s="5" t="str">
        <f t="shared" si="8"/>
        <v>MISSING HISTORICAL DATA</v>
      </c>
      <c r="S9" s="5" t="s">
        <v>179</v>
      </c>
      <c r="T9" s="5" t="s">
        <v>59</v>
      </c>
    </row>
    <row r="10" ht="15.75" customHeight="1">
      <c r="A10" s="3" t="s">
        <v>759</v>
      </c>
      <c r="B10" s="3" t="s">
        <v>133</v>
      </c>
      <c r="C10" s="3" t="s">
        <v>41</v>
      </c>
      <c r="D10" s="9">
        <v>2025.0</v>
      </c>
      <c r="E10" s="9">
        <f t="shared" si="1"/>
        <v>2022</v>
      </c>
      <c r="F10" s="9">
        <f t="shared" si="2"/>
        <v>2024</v>
      </c>
      <c r="G10" s="31" t="str">
        <f>IF(COUNTIFS(HISTORICAL_DATA!$A$2:$A$441,$A10,HISTORICAL_DATA!$D$2:$D$441,"&gt;="&amp;$E10,HISTORICAL_DATA!$D$2:$D$441,"&lt;="&amp;$F10,HISTORICAL_DATA!$E$2:$E$441,"&lt;&gt;")&lt;3,"",SUMIFS(HISTORICAL_DATA!$E$2:$E$441,HISTORICAL_DATA!$A$2:$A$441,$A10,HISTORICAL_DATA!$D$2:$D$441,"&gt;="&amp;$E10,HISTORICAL_DATA!$D$2:$D$441,"&lt;="&amp;$F10)/3)</f>
        <v/>
      </c>
      <c r="H10" s="31" t="str">
        <f>IF(COUNTIFS(HISTORICAL_DATA!$A$2:$A$441,$A10,HISTORICAL_DATA!$D$2:$D$441,"&gt;="&amp;$E10,HISTORICAL_DATA!$D$2:$D$441,"&lt;="&amp;$F10,HISTORICAL_DATA!$G$2:$G$441,"&lt;&gt;")&lt;3,"",SUMIFS(HISTORICAL_DATA!$G$2:$G$441,HISTORICAL_DATA!$A$2:$A$441,$A10,HISTORICAL_DATA!$D$2:$D$441,"&gt;="&amp;$E10,HISTORICAL_DATA!$D$2:$D$441,"&lt;="&amp;$F10)/3)</f>
        <v/>
      </c>
      <c r="I10" s="31" t="str">
        <f>IF(OR(G10="",H10=""),"FACILITY DATA MISSING",IF(AND(COUNTIFS($C$2:$C$221,C10,$D$2:$D$221,D10,$G$2:$G$221,"&lt;&gt;")=COUNTIF(OFFICIAL_ALLOCATIONS!$C$2:$C$111,C10),COUNTIFS($C$2:$C$221,C10,$D$2:$D$221,D10,$H$2:$H$221,"&lt;&gt;")=COUNTIF(OFFICIAL_ALLOCATIONS!$C$2:$C$111,C10)),"COMPLETE","SECTOR DATA INCOMPLETE"))</f>
        <v>FACILITY DATA MISSING</v>
      </c>
      <c r="J10" s="9" t="str">
        <f t="shared" si="3"/>
        <v/>
      </c>
      <c r="K10" s="23" t="str">
        <f>IF(COUNTIFS(POLICY_PARAMETERS!$B$2:$B$13,"g",POLICY_PARAMETERS!$E$2:$E$13,C10,POLICY_PARAMETERS!$F$2:$F$13,D10,POLICY_PARAMETERS!$G$2:$G$13,"&lt;&gt;")=0,"",SUMIFS(POLICY_PARAMETERS!$G$2:$G$13,POLICY_PARAMETERS!$B$2:$B$13,"g",POLICY_PARAMETERS!$E$2:$E$13,C10,POLICY_PARAMETERS!$F$2:$F$13,D10))</f>
        <v/>
      </c>
      <c r="L10" s="23" t="str">
        <f>IF(COUNTIFS(POLICY_PARAMETERS!$B$2:$B$13,"r",POLICY_PARAMETERS!$E$2:$E$13,C10,POLICY_PARAMETERS!$F$2:$F$13,D10,POLICY_PARAMETERS!$G$2:$G$13,"&lt;&gt;")=0,"",SUMIFS(POLICY_PARAMETERS!$G$2:$G$13,POLICY_PARAMETERS!$B$2:$B$13,"r",POLICY_PARAMETERS!$E$2:$E$13,C10,POLICY_PARAMETERS!$F$2:$F$13,D10))</f>
        <v/>
      </c>
      <c r="M10" s="24" t="str">
        <f t="shared" si="4"/>
        <v/>
      </c>
      <c r="N10" s="25" t="str">
        <f t="shared" si="5"/>
        <v/>
      </c>
      <c r="O10" s="26">
        <f>IF(D10=2025,IFERROR(VLOOKUP(A10,OFFICIAL_ALLOCATIONS!$A$2:$F$111,5,FALSE),""),IFERROR(VLOOKUP(A10,OFFICIAL_ALLOCATIONS!$A$2:$F$111,6,FALSE),""))</f>
        <v>3585092</v>
      </c>
      <c r="P10" s="27" t="str">
        <f t="shared" si="6"/>
        <v/>
      </c>
      <c r="Q10" s="28" t="str">
        <f t="shared" si="7"/>
        <v/>
      </c>
      <c r="R10" s="5" t="str">
        <f t="shared" si="8"/>
        <v>MISSING HISTORICAL DATA</v>
      </c>
      <c r="S10" s="5" t="s">
        <v>179</v>
      </c>
      <c r="T10" s="5" t="s">
        <v>59</v>
      </c>
    </row>
    <row r="11" ht="15.75" customHeight="1">
      <c r="A11" s="3" t="s">
        <v>759</v>
      </c>
      <c r="B11" s="3" t="s">
        <v>133</v>
      </c>
      <c r="C11" s="3" t="s">
        <v>41</v>
      </c>
      <c r="D11" s="9">
        <v>2026.0</v>
      </c>
      <c r="E11" s="9">
        <f t="shared" si="1"/>
        <v>2023</v>
      </c>
      <c r="F11" s="9">
        <f t="shared" si="2"/>
        <v>2025</v>
      </c>
      <c r="G11" s="31" t="str">
        <f>IF(COUNTIFS(HISTORICAL_DATA!$A$2:$A$441,$A11,HISTORICAL_DATA!$D$2:$D$441,"&gt;="&amp;$E11,HISTORICAL_DATA!$D$2:$D$441,"&lt;="&amp;$F11,HISTORICAL_DATA!$E$2:$E$441,"&lt;&gt;")&lt;3,"",SUMIFS(HISTORICAL_DATA!$E$2:$E$441,HISTORICAL_DATA!$A$2:$A$441,$A11,HISTORICAL_DATA!$D$2:$D$441,"&gt;="&amp;$E11,HISTORICAL_DATA!$D$2:$D$441,"&lt;="&amp;$F11)/3)</f>
        <v/>
      </c>
      <c r="H11" s="31" t="str">
        <f>IF(COUNTIFS(HISTORICAL_DATA!$A$2:$A$441,$A11,HISTORICAL_DATA!$D$2:$D$441,"&gt;="&amp;$E11,HISTORICAL_DATA!$D$2:$D$441,"&lt;="&amp;$F11,HISTORICAL_DATA!$G$2:$G$441,"&lt;&gt;")&lt;3,"",SUMIFS(HISTORICAL_DATA!$G$2:$G$441,HISTORICAL_DATA!$A$2:$A$441,$A11,HISTORICAL_DATA!$D$2:$D$441,"&gt;="&amp;$E11,HISTORICAL_DATA!$D$2:$D$441,"&lt;="&amp;$F11)/3)</f>
        <v/>
      </c>
      <c r="I11" s="31" t="str">
        <f>IF(OR(G11="",H11=""),"FACILITY DATA MISSING",IF(AND(COUNTIFS($C$2:$C$221,C11,$D$2:$D$221,D11,$G$2:$G$221,"&lt;&gt;")=COUNTIF(OFFICIAL_ALLOCATIONS!$C$2:$C$111,C11),COUNTIFS($C$2:$C$221,C11,$D$2:$D$221,D11,$H$2:$H$221,"&lt;&gt;")=COUNTIF(OFFICIAL_ALLOCATIONS!$C$2:$C$111,C11)),"COMPLETE","SECTOR DATA INCOMPLETE"))</f>
        <v>FACILITY DATA MISSING</v>
      </c>
      <c r="J11" s="9" t="str">
        <f t="shared" si="3"/>
        <v/>
      </c>
      <c r="K11" s="23" t="str">
        <f>IF(COUNTIFS(POLICY_PARAMETERS!$B$2:$B$13,"g",POLICY_PARAMETERS!$E$2:$E$13,C11,POLICY_PARAMETERS!$F$2:$F$13,D11,POLICY_PARAMETERS!$G$2:$G$13,"&lt;&gt;")=0,"",SUMIFS(POLICY_PARAMETERS!$G$2:$G$13,POLICY_PARAMETERS!$B$2:$B$13,"g",POLICY_PARAMETERS!$E$2:$E$13,C11,POLICY_PARAMETERS!$F$2:$F$13,D11))</f>
        <v/>
      </c>
      <c r="L11" s="23" t="str">
        <f>IF(COUNTIFS(POLICY_PARAMETERS!$B$2:$B$13,"r",POLICY_PARAMETERS!$E$2:$E$13,C11,POLICY_PARAMETERS!$F$2:$F$13,D11,POLICY_PARAMETERS!$G$2:$G$13,"&lt;&gt;")=0,"",SUMIFS(POLICY_PARAMETERS!$G$2:$G$13,POLICY_PARAMETERS!$B$2:$B$13,"r",POLICY_PARAMETERS!$E$2:$E$13,C11,POLICY_PARAMETERS!$F$2:$F$13,D11))</f>
        <v/>
      </c>
      <c r="M11" s="24" t="str">
        <f t="shared" si="4"/>
        <v/>
      </c>
      <c r="N11" s="25" t="str">
        <f t="shared" si="5"/>
        <v/>
      </c>
      <c r="O11" s="26">
        <f>IF(D11=2025,IFERROR(VLOOKUP(A11,OFFICIAL_ALLOCATIONS!$A$2:$F$111,5,FALSE),""),IFERROR(VLOOKUP(A11,OFFICIAL_ALLOCATIONS!$A$2:$F$111,6,FALSE),""))</f>
        <v>3927575</v>
      </c>
      <c r="P11" s="42" t="str">
        <f t="shared" si="6"/>
        <v/>
      </c>
      <c r="Q11" s="28" t="str">
        <f t="shared" si="7"/>
        <v/>
      </c>
      <c r="R11" s="5" t="str">
        <f t="shared" si="8"/>
        <v>MISSING HISTORICAL DATA</v>
      </c>
      <c r="S11" s="5" t="s">
        <v>179</v>
      </c>
      <c r="T11" s="5" t="s">
        <v>59</v>
      </c>
    </row>
    <row r="12" ht="15.75" customHeight="1">
      <c r="A12" s="3" t="s">
        <v>760</v>
      </c>
      <c r="B12" s="3" t="s">
        <v>135</v>
      </c>
      <c r="C12" s="3" t="s">
        <v>41</v>
      </c>
      <c r="D12" s="9">
        <v>2025.0</v>
      </c>
      <c r="E12" s="9">
        <f t="shared" si="1"/>
        <v>2022</v>
      </c>
      <c r="F12" s="9">
        <f t="shared" si="2"/>
        <v>2024</v>
      </c>
      <c r="G12" s="31" t="str">
        <f>IF(COUNTIFS(HISTORICAL_DATA!$A$2:$A$441,$A12,HISTORICAL_DATA!$D$2:$D$441,"&gt;="&amp;$E12,HISTORICAL_DATA!$D$2:$D$441,"&lt;="&amp;$F12,HISTORICAL_DATA!$E$2:$E$441,"&lt;&gt;")&lt;3,"",SUMIFS(HISTORICAL_DATA!$E$2:$E$441,HISTORICAL_DATA!$A$2:$A$441,$A12,HISTORICAL_DATA!$D$2:$D$441,"&gt;="&amp;$E12,HISTORICAL_DATA!$D$2:$D$441,"&lt;="&amp;$F12)/3)</f>
        <v/>
      </c>
      <c r="H12" s="31" t="str">
        <f>IF(COUNTIFS(HISTORICAL_DATA!$A$2:$A$441,$A12,HISTORICAL_DATA!$D$2:$D$441,"&gt;="&amp;$E12,HISTORICAL_DATA!$D$2:$D$441,"&lt;="&amp;$F12,HISTORICAL_DATA!$G$2:$G$441,"&lt;&gt;")&lt;3,"",SUMIFS(HISTORICAL_DATA!$G$2:$G$441,HISTORICAL_DATA!$A$2:$A$441,$A12,HISTORICAL_DATA!$D$2:$D$441,"&gt;="&amp;$E12,HISTORICAL_DATA!$D$2:$D$441,"&lt;="&amp;$F12)/3)</f>
        <v/>
      </c>
      <c r="I12" s="31" t="str">
        <f>IF(OR(G12="",H12=""),"FACILITY DATA MISSING",IF(AND(COUNTIFS($C$2:$C$221,C12,$D$2:$D$221,D12,$G$2:$G$221,"&lt;&gt;")=COUNTIF(OFFICIAL_ALLOCATIONS!$C$2:$C$111,C12),COUNTIFS($C$2:$C$221,C12,$D$2:$D$221,D12,$H$2:$H$221,"&lt;&gt;")=COUNTIF(OFFICIAL_ALLOCATIONS!$C$2:$C$111,C12)),"COMPLETE","SECTOR DATA INCOMPLETE"))</f>
        <v>FACILITY DATA MISSING</v>
      </c>
      <c r="J12" s="9" t="str">
        <f t="shared" si="3"/>
        <v/>
      </c>
      <c r="K12" s="23" t="str">
        <f>IF(COUNTIFS(POLICY_PARAMETERS!$B$2:$B$13,"g",POLICY_PARAMETERS!$E$2:$E$13,C12,POLICY_PARAMETERS!$F$2:$F$13,D12,POLICY_PARAMETERS!$G$2:$G$13,"&lt;&gt;")=0,"",SUMIFS(POLICY_PARAMETERS!$G$2:$G$13,POLICY_PARAMETERS!$B$2:$B$13,"g",POLICY_PARAMETERS!$E$2:$E$13,C12,POLICY_PARAMETERS!$F$2:$F$13,D12))</f>
        <v/>
      </c>
      <c r="L12" s="23" t="str">
        <f>IF(COUNTIFS(POLICY_PARAMETERS!$B$2:$B$13,"r",POLICY_PARAMETERS!$E$2:$E$13,C12,POLICY_PARAMETERS!$F$2:$F$13,D12,POLICY_PARAMETERS!$G$2:$G$13,"&lt;&gt;")=0,"",SUMIFS(POLICY_PARAMETERS!$G$2:$G$13,POLICY_PARAMETERS!$B$2:$B$13,"r",POLICY_PARAMETERS!$E$2:$E$13,C12,POLICY_PARAMETERS!$F$2:$F$13,D12))</f>
        <v/>
      </c>
      <c r="M12" s="24" t="str">
        <f t="shared" si="4"/>
        <v/>
      </c>
      <c r="N12" s="25" t="str">
        <f t="shared" si="5"/>
        <v/>
      </c>
      <c r="O12" s="26">
        <f>IF(D12=2025,IFERROR(VLOOKUP(A12,OFFICIAL_ALLOCATIONS!$A$2:$F$111,5,FALSE),""),IFERROR(VLOOKUP(A12,OFFICIAL_ALLOCATIONS!$A$2:$F$111,6,FALSE),""))</f>
        <v>12190431</v>
      </c>
      <c r="P12" s="43" t="str">
        <f t="shared" si="6"/>
        <v/>
      </c>
      <c r="Q12" s="44" t="str">
        <f t="shared" si="7"/>
        <v/>
      </c>
      <c r="R12" s="5" t="str">
        <f t="shared" si="8"/>
        <v>MISSING HISTORICAL DATA</v>
      </c>
      <c r="S12" s="5" t="s">
        <v>179</v>
      </c>
      <c r="T12" s="5" t="s">
        <v>59</v>
      </c>
    </row>
    <row r="13" ht="15.75" customHeight="1">
      <c r="A13" s="3" t="s">
        <v>760</v>
      </c>
      <c r="B13" s="3" t="s">
        <v>135</v>
      </c>
      <c r="C13" s="3" t="s">
        <v>41</v>
      </c>
      <c r="D13" s="9">
        <v>2026.0</v>
      </c>
      <c r="E13" s="9">
        <f t="shared" si="1"/>
        <v>2023</v>
      </c>
      <c r="F13" s="9">
        <f t="shared" si="2"/>
        <v>2025</v>
      </c>
      <c r="G13" s="31" t="str">
        <f>IF(COUNTIFS(HISTORICAL_DATA!$A$2:$A$441,$A13,HISTORICAL_DATA!$D$2:$D$441,"&gt;="&amp;$E13,HISTORICAL_DATA!$D$2:$D$441,"&lt;="&amp;$F13,HISTORICAL_DATA!$E$2:$E$441,"&lt;&gt;")&lt;3,"",SUMIFS(HISTORICAL_DATA!$E$2:$E$441,HISTORICAL_DATA!$A$2:$A$441,$A13,HISTORICAL_DATA!$D$2:$D$441,"&gt;="&amp;$E13,HISTORICAL_DATA!$D$2:$D$441,"&lt;="&amp;$F13)/3)</f>
        <v/>
      </c>
      <c r="H13" s="31" t="str">
        <f>IF(COUNTIFS(HISTORICAL_DATA!$A$2:$A$441,$A13,HISTORICAL_DATA!$D$2:$D$441,"&gt;="&amp;$E13,HISTORICAL_DATA!$D$2:$D$441,"&lt;="&amp;$F13,HISTORICAL_DATA!$G$2:$G$441,"&lt;&gt;")&lt;3,"",SUMIFS(HISTORICAL_DATA!$G$2:$G$441,HISTORICAL_DATA!$A$2:$A$441,$A13,HISTORICAL_DATA!$D$2:$D$441,"&gt;="&amp;$E13,HISTORICAL_DATA!$D$2:$D$441,"&lt;="&amp;$F13)/3)</f>
        <v/>
      </c>
      <c r="I13" s="31" t="str">
        <f>IF(OR(G13="",H13=""),"FACILITY DATA MISSING",IF(AND(COUNTIFS($C$2:$C$221,C13,$D$2:$D$221,D13,$G$2:$G$221,"&lt;&gt;")=COUNTIF(OFFICIAL_ALLOCATIONS!$C$2:$C$111,C13),COUNTIFS($C$2:$C$221,C13,$D$2:$D$221,D13,$H$2:$H$221,"&lt;&gt;")=COUNTIF(OFFICIAL_ALLOCATIONS!$C$2:$C$111,C13)),"COMPLETE","SECTOR DATA INCOMPLETE"))</f>
        <v>FACILITY DATA MISSING</v>
      </c>
      <c r="J13" s="9" t="str">
        <f t="shared" si="3"/>
        <v/>
      </c>
      <c r="K13" s="23" t="str">
        <f>IF(COUNTIFS(POLICY_PARAMETERS!$B$2:$B$13,"g",POLICY_PARAMETERS!$E$2:$E$13,C13,POLICY_PARAMETERS!$F$2:$F$13,D13,POLICY_PARAMETERS!$G$2:$G$13,"&lt;&gt;")=0,"",SUMIFS(POLICY_PARAMETERS!$G$2:$G$13,POLICY_PARAMETERS!$B$2:$B$13,"g",POLICY_PARAMETERS!$E$2:$E$13,C13,POLICY_PARAMETERS!$F$2:$F$13,D13))</f>
        <v/>
      </c>
      <c r="L13" s="23" t="str">
        <f>IF(COUNTIFS(POLICY_PARAMETERS!$B$2:$B$13,"r",POLICY_PARAMETERS!$E$2:$E$13,C13,POLICY_PARAMETERS!$F$2:$F$13,D13,POLICY_PARAMETERS!$G$2:$G$13,"&lt;&gt;")=0,"",SUMIFS(POLICY_PARAMETERS!$G$2:$G$13,POLICY_PARAMETERS!$B$2:$B$13,"r",POLICY_PARAMETERS!$E$2:$E$13,C13,POLICY_PARAMETERS!$F$2:$F$13,D13))</f>
        <v/>
      </c>
      <c r="M13" s="24" t="str">
        <f t="shared" si="4"/>
        <v/>
      </c>
      <c r="N13" s="25" t="str">
        <f t="shared" si="5"/>
        <v/>
      </c>
      <c r="O13" s="26">
        <f>IF(D13=2025,IFERROR(VLOOKUP(A13,OFFICIAL_ALLOCATIONS!$A$2:$F$111,5,FALSE),""),IFERROR(VLOOKUP(A13,OFFICIAL_ALLOCATIONS!$A$2:$F$111,6,FALSE),""))</f>
        <v>13354978</v>
      </c>
      <c r="P13" s="45" t="str">
        <f t="shared" si="6"/>
        <v/>
      </c>
      <c r="Q13" s="46" t="str">
        <f t="shared" si="7"/>
        <v/>
      </c>
      <c r="R13" s="5" t="str">
        <f t="shared" si="8"/>
        <v>MISSING HISTORICAL DATA</v>
      </c>
      <c r="S13" s="5" t="s">
        <v>179</v>
      </c>
      <c r="T13" s="5" t="s">
        <v>59</v>
      </c>
    </row>
    <row r="14" ht="15.75" customHeight="1">
      <c r="A14" s="3" t="s">
        <v>822</v>
      </c>
      <c r="B14" s="3" t="s">
        <v>137</v>
      </c>
      <c r="C14" s="3" t="s">
        <v>41</v>
      </c>
      <c r="D14" s="9">
        <v>2025.0</v>
      </c>
      <c r="E14" s="9">
        <f t="shared" si="1"/>
        <v>2022</v>
      </c>
      <c r="F14" s="9">
        <f t="shared" si="2"/>
        <v>2024</v>
      </c>
      <c r="G14" s="31" t="str">
        <f>IF(COUNTIFS(HISTORICAL_DATA!$A$2:$A$441,$A14,HISTORICAL_DATA!$D$2:$D$441,"&gt;="&amp;$E14,HISTORICAL_DATA!$D$2:$D$441,"&lt;="&amp;$F14,HISTORICAL_DATA!$E$2:$E$441,"&lt;&gt;")&lt;3,"",SUMIFS(HISTORICAL_DATA!$E$2:$E$441,HISTORICAL_DATA!$A$2:$A$441,$A14,HISTORICAL_DATA!$D$2:$D$441,"&gt;="&amp;$E14,HISTORICAL_DATA!$D$2:$D$441,"&lt;="&amp;$F14)/3)</f>
        <v/>
      </c>
      <c r="H14" s="31" t="str">
        <f>IF(COUNTIFS(HISTORICAL_DATA!$A$2:$A$441,$A14,HISTORICAL_DATA!$D$2:$D$441,"&gt;="&amp;$E14,HISTORICAL_DATA!$D$2:$D$441,"&lt;="&amp;$F14,HISTORICAL_DATA!$G$2:$G$441,"&lt;&gt;")&lt;3,"",SUMIFS(HISTORICAL_DATA!$G$2:$G$441,HISTORICAL_DATA!$A$2:$A$441,$A14,HISTORICAL_DATA!$D$2:$D$441,"&gt;="&amp;$E14,HISTORICAL_DATA!$D$2:$D$441,"&lt;="&amp;$F14)/3)</f>
        <v/>
      </c>
      <c r="I14" s="31" t="str">
        <f>IF(OR(G14="",H14=""),"FACILITY DATA MISSING",IF(AND(COUNTIFS($C$2:$C$221,C14,$D$2:$D$221,D14,$G$2:$G$221,"&lt;&gt;")=COUNTIF(OFFICIAL_ALLOCATIONS!$C$2:$C$111,C14),COUNTIFS($C$2:$C$221,C14,$D$2:$D$221,D14,$H$2:$H$221,"&lt;&gt;")=COUNTIF(OFFICIAL_ALLOCATIONS!$C$2:$C$111,C14)),"COMPLETE","SECTOR DATA INCOMPLETE"))</f>
        <v>FACILITY DATA MISSING</v>
      </c>
      <c r="J14" s="9" t="str">
        <f t="shared" si="3"/>
        <v/>
      </c>
      <c r="K14" s="23" t="str">
        <f>IF(COUNTIFS(POLICY_PARAMETERS!$B$2:$B$13,"g",POLICY_PARAMETERS!$E$2:$E$13,C14,POLICY_PARAMETERS!$F$2:$F$13,D14,POLICY_PARAMETERS!$G$2:$G$13,"&lt;&gt;")=0,"",SUMIFS(POLICY_PARAMETERS!$G$2:$G$13,POLICY_PARAMETERS!$B$2:$B$13,"g",POLICY_PARAMETERS!$E$2:$E$13,C14,POLICY_PARAMETERS!$F$2:$F$13,D14))</f>
        <v/>
      </c>
      <c r="L14" s="23" t="str">
        <f>IF(COUNTIFS(POLICY_PARAMETERS!$B$2:$B$13,"r",POLICY_PARAMETERS!$E$2:$E$13,C14,POLICY_PARAMETERS!$F$2:$F$13,D14,POLICY_PARAMETERS!$G$2:$G$13,"&lt;&gt;")=0,"",SUMIFS(POLICY_PARAMETERS!$G$2:$G$13,POLICY_PARAMETERS!$B$2:$B$13,"r",POLICY_PARAMETERS!$E$2:$E$13,C14,POLICY_PARAMETERS!$F$2:$F$13,D14))</f>
        <v/>
      </c>
      <c r="M14" s="24" t="str">
        <f t="shared" si="4"/>
        <v/>
      </c>
      <c r="N14" s="25" t="str">
        <f t="shared" si="5"/>
        <v/>
      </c>
      <c r="O14" s="26">
        <f>IF(D14=2025,IFERROR(VLOOKUP(A14,OFFICIAL_ALLOCATIONS!$A$2:$F$111,5,FALSE),""),IFERROR(VLOOKUP(A14,OFFICIAL_ALLOCATIONS!$A$2:$F$111,6,FALSE),""))</f>
        <v>4436759</v>
      </c>
      <c r="P14" s="45" t="str">
        <f t="shared" si="6"/>
        <v/>
      </c>
      <c r="Q14" s="46" t="str">
        <f t="shared" si="7"/>
        <v/>
      </c>
      <c r="R14" s="5" t="str">
        <f t="shared" si="8"/>
        <v>MISSING HISTORICAL DATA</v>
      </c>
      <c r="S14" s="5" t="s">
        <v>179</v>
      </c>
      <c r="T14" s="5" t="s">
        <v>59</v>
      </c>
    </row>
    <row r="15" ht="15.75" customHeight="1">
      <c r="A15" s="3" t="s">
        <v>822</v>
      </c>
      <c r="B15" s="3" t="s">
        <v>137</v>
      </c>
      <c r="C15" s="3" t="s">
        <v>41</v>
      </c>
      <c r="D15" s="9">
        <v>2026.0</v>
      </c>
      <c r="E15" s="9">
        <f t="shared" si="1"/>
        <v>2023</v>
      </c>
      <c r="F15" s="9">
        <f t="shared" si="2"/>
        <v>2025</v>
      </c>
      <c r="G15" s="31" t="str">
        <f>IF(COUNTIFS(HISTORICAL_DATA!$A$2:$A$441,$A15,HISTORICAL_DATA!$D$2:$D$441,"&gt;="&amp;$E15,HISTORICAL_DATA!$D$2:$D$441,"&lt;="&amp;$F15,HISTORICAL_DATA!$E$2:$E$441,"&lt;&gt;")&lt;3,"",SUMIFS(HISTORICAL_DATA!$E$2:$E$441,HISTORICAL_DATA!$A$2:$A$441,$A15,HISTORICAL_DATA!$D$2:$D$441,"&gt;="&amp;$E15,HISTORICAL_DATA!$D$2:$D$441,"&lt;="&amp;$F15)/3)</f>
        <v/>
      </c>
      <c r="H15" s="31" t="str">
        <f>IF(COUNTIFS(HISTORICAL_DATA!$A$2:$A$441,$A15,HISTORICAL_DATA!$D$2:$D$441,"&gt;="&amp;$E15,HISTORICAL_DATA!$D$2:$D$441,"&lt;="&amp;$F15,HISTORICAL_DATA!$G$2:$G$441,"&lt;&gt;")&lt;3,"",SUMIFS(HISTORICAL_DATA!$G$2:$G$441,HISTORICAL_DATA!$A$2:$A$441,$A15,HISTORICAL_DATA!$D$2:$D$441,"&gt;="&amp;$E15,HISTORICAL_DATA!$D$2:$D$441,"&lt;="&amp;$F15)/3)</f>
        <v/>
      </c>
      <c r="I15" s="31" t="str">
        <f>IF(OR(G15="",H15=""),"FACILITY DATA MISSING",IF(AND(COUNTIFS($C$2:$C$221,C15,$D$2:$D$221,D15,$G$2:$G$221,"&lt;&gt;")=COUNTIF(OFFICIAL_ALLOCATIONS!$C$2:$C$111,C15),COUNTIFS($C$2:$C$221,C15,$D$2:$D$221,D15,$H$2:$H$221,"&lt;&gt;")=COUNTIF(OFFICIAL_ALLOCATIONS!$C$2:$C$111,C15)),"COMPLETE","SECTOR DATA INCOMPLETE"))</f>
        <v>FACILITY DATA MISSING</v>
      </c>
      <c r="J15" s="9" t="str">
        <f t="shared" si="3"/>
        <v/>
      </c>
      <c r="K15" s="23" t="str">
        <f>IF(COUNTIFS(POLICY_PARAMETERS!$B$2:$B$13,"g",POLICY_PARAMETERS!$E$2:$E$13,C15,POLICY_PARAMETERS!$F$2:$F$13,D15,POLICY_PARAMETERS!$G$2:$G$13,"&lt;&gt;")=0,"",SUMIFS(POLICY_PARAMETERS!$G$2:$G$13,POLICY_PARAMETERS!$B$2:$B$13,"g",POLICY_PARAMETERS!$E$2:$E$13,C15,POLICY_PARAMETERS!$F$2:$F$13,D15))</f>
        <v/>
      </c>
      <c r="L15" s="23" t="str">
        <f>IF(COUNTIFS(POLICY_PARAMETERS!$B$2:$B$13,"r",POLICY_PARAMETERS!$E$2:$E$13,C15,POLICY_PARAMETERS!$F$2:$F$13,D15,POLICY_PARAMETERS!$G$2:$G$13,"&lt;&gt;")=0,"",SUMIFS(POLICY_PARAMETERS!$G$2:$G$13,POLICY_PARAMETERS!$B$2:$B$13,"r",POLICY_PARAMETERS!$E$2:$E$13,C15,POLICY_PARAMETERS!$F$2:$F$13,D15))</f>
        <v/>
      </c>
      <c r="M15" s="24" t="str">
        <f t="shared" si="4"/>
        <v/>
      </c>
      <c r="N15" s="25" t="str">
        <f t="shared" si="5"/>
        <v/>
      </c>
      <c r="O15" s="26">
        <f>IF(D15=2025,IFERROR(VLOOKUP(A15,OFFICIAL_ALLOCATIONS!$A$2:$F$111,5,FALSE),""),IFERROR(VLOOKUP(A15,OFFICIAL_ALLOCATIONS!$A$2:$F$111,6,FALSE),""))</f>
        <v>4860601</v>
      </c>
      <c r="P15" s="45" t="str">
        <f t="shared" si="6"/>
        <v/>
      </c>
      <c r="Q15" s="46" t="str">
        <f t="shared" si="7"/>
        <v/>
      </c>
      <c r="R15" s="5" t="str">
        <f t="shared" si="8"/>
        <v>MISSING HISTORICAL DATA</v>
      </c>
      <c r="S15" s="5" t="s">
        <v>179</v>
      </c>
      <c r="T15" s="5" t="s">
        <v>59</v>
      </c>
    </row>
    <row r="16" ht="15.75" customHeight="1">
      <c r="A16" s="3" t="s">
        <v>832</v>
      </c>
      <c r="B16" s="3" t="s">
        <v>139</v>
      </c>
      <c r="C16" s="3" t="s">
        <v>41</v>
      </c>
      <c r="D16" s="9">
        <v>2025.0</v>
      </c>
      <c r="E16" s="9">
        <f t="shared" si="1"/>
        <v>2022</v>
      </c>
      <c r="F16" s="9">
        <f t="shared" si="2"/>
        <v>2024</v>
      </c>
      <c r="G16" s="31" t="str">
        <f>IF(COUNTIFS(HISTORICAL_DATA!$A$2:$A$441,$A16,HISTORICAL_DATA!$D$2:$D$441,"&gt;="&amp;$E16,HISTORICAL_DATA!$D$2:$D$441,"&lt;="&amp;$F16,HISTORICAL_DATA!$E$2:$E$441,"&lt;&gt;")&lt;3,"",SUMIFS(HISTORICAL_DATA!$E$2:$E$441,HISTORICAL_DATA!$A$2:$A$441,$A16,HISTORICAL_DATA!$D$2:$D$441,"&gt;="&amp;$E16,HISTORICAL_DATA!$D$2:$D$441,"&lt;="&amp;$F16)/3)</f>
        <v/>
      </c>
      <c r="H16" s="31" t="str">
        <f>IF(COUNTIFS(HISTORICAL_DATA!$A$2:$A$441,$A16,HISTORICAL_DATA!$D$2:$D$441,"&gt;="&amp;$E16,HISTORICAL_DATA!$D$2:$D$441,"&lt;="&amp;$F16,HISTORICAL_DATA!$G$2:$G$441,"&lt;&gt;")&lt;3,"",SUMIFS(HISTORICAL_DATA!$G$2:$G$441,HISTORICAL_DATA!$A$2:$A$441,$A16,HISTORICAL_DATA!$D$2:$D$441,"&gt;="&amp;$E16,HISTORICAL_DATA!$D$2:$D$441,"&lt;="&amp;$F16)/3)</f>
        <v/>
      </c>
      <c r="I16" s="31" t="str">
        <f>IF(OR(G16="",H16=""),"FACILITY DATA MISSING",IF(AND(COUNTIFS($C$2:$C$221,C16,$D$2:$D$221,D16,$G$2:$G$221,"&lt;&gt;")=COUNTIF(OFFICIAL_ALLOCATIONS!$C$2:$C$111,C16),COUNTIFS($C$2:$C$221,C16,$D$2:$D$221,D16,$H$2:$H$221,"&lt;&gt;")=COUNTIF(OFFICIAL_ALLOCATIONS!$C$2:$C$111,C16)),"COMPLETE","SECTOR DATA INCOMPLETE"))</f>
        <v>FACILITY DATA MISSING</v>
      </c>
      <c r="J16" s="9" t="str">
        <f t="shared" si="3"/>
        <v/>
      </c>
      <c r="K16" s="23" t="str">
        <f>IF(COUNTIFS(POLICY_PARAMETERS!$B$2:$B$13,"g",POLICY_PARAMETERS!$E$2:$E$13,C16,POLICY_PARAMETERS!$F$2:$F$13,D16,POLICY_PARAMETERS!$G$2:$G$13,"&lt;&gt;")=0,"",SUMIFS(POLICY_PARAMETERS!$G$2:$G$13,POLICY_PARAMETERS!$B$2:$B$13,"g",POLICY_PARAMETERS!$E$2:$E$13,C16,POLICY_PARAMETERS!$F$2:$F$13,D16))</f>
        <v/>
      </c>
      <c r="L16" s="23" t="str">
        <f>IF(COUNTIFS(POLICY_PARAMETERS!$B$2:$B$13,"r",POLICY_PARAMETERS!$E$2:$E$13,C16,POLICY_PARAMETERS!$F$2:$F$13,D16,POLICY_PARAMETERS!$G$2:$G$13,"&lt;&gt;")=0,"",SUMIFS(POLICY_PARAMETERS!$G$2:$G$13,POLICY_PARAMETERS!$B$2:$B$13,"r",POLICY_PARAMETERS!$E$2:$E$13,C16,POLICY_PARAMETERS!$F$2:$F$13,D16))</f>
        <v/>
      </c>
      <c r="M16" s="24" t="str">
        <f t="shared" si="4"/>
        <v/>
      </c>
      <c r="N16" s="25" t="str">
        <f t="shared" si="5"/>
        <v/>
      </c>
      <c r="O16" s="26">
        <f>IF(D16=2025,IFERROR(VLOOKUP(A16,OFFICIAL_ALLOCATIONS!$A$2:$F$111,5,FALSE),""),IFERROR(VLOOKUP(A16,OFFICIAL_ALLOCATIONS!$A$2:$F$111,6,FALSE),""))</f>
        <v>9556403</v>
      </c>
      <c r="P16" s="42" t="str">
        <f t="shared" si="6"/>
        <v/>
      </c>
      <c r="Q16" s="28" t="str">
        <f t="shared" si="7"/>
        <v/>
      </c>
      <c r="R16" s="5" t="str">
        <f t="shared" si="8"/>
        <v>MISSING HISTORICAL DATA</v>
      </c>
      <c r="S16" s="5" t="s">
        <v>179</v>
      </c>
      <c r="T16" s="5" t="s">
        <v>59</v>
      </c>
    </row>
    <row r="17" ht="15.75" customHeight="1">
      <c r="A17" s="3" t="s">
        <v>832</v>
      </c>
      <c r="B17" s="3" t="s">
        <v>139</v>
      </c>
      <c r="C17" s="3" t="s">
        <v>41</v>
      </c>
      <c r="D17" s="9">
        <v>2026.0</v>
      </c>
      <c r="E17" s="9">
        <f t="shared" si="1"/>
        <v>2023</v>
      </c>
      <c r="F17" s="9">
        <f t="shared" si="2"/>
        <v>2025</v>
      </c>
      <c r="G17" s="31" t="str">
        <f>IF(COUNTIFS(HISTORICAL_DATA!$A$2:$A$441,$A17,HISTORICAL_DATA!$D$2:$D$441,"&gt;="&amp;$E17,HISTORICAL_DATA!$D$2:$D$441,"&lt;="&amp;$F17,HISTORICAL_DATA!$E$2:$E$441,"&lt;&gt;")&lt;3,"",SUMIFS(HISTORICAL_DATA!$E$2:$E$441,HISTORICAL_DATA!$A$2:$A$441,$A17,HISTORICAL_DATA!$D$2:$D$441,"&gt;="&amp;$E17,HISTORICAL_DATA!$D$2:$D$441,"&lt;="&amp;$F17)/3)</f>
        <v/>
      </c>
      <c r="H17" s="31" t="str">
        <f>IF(COUNTIFS(HISTORICAL_DATA!$A$2:$A$441,$A17,HISTORICAL_DATA!$D$2:$D$441,"&gt;="&amp;$E17,HISTORICAL_DATA!$D$2:$D$441,"&lt;="&amp;$F17,HISTORICAL_DATA!$G$2:$G$441,"&lt;&gt;")&lt;3,"",SUMIFS(HISTORICAL_DATA!$G$2:$G$441,HISTORICAL_DATA!$A$2:$A$441,$A17,HISTORICAL_DATA!$D$2:$D$441,"&gt;="&amp;$E17,HISTORICAL_DATA!$D$2:$D$441,"&lt;="&amp;$F17)/3)</f>
        <v/>
      </c>
      <c r="I17" s="31" t="str">
        <f>IF(OR(G17="",H17=""),"FACILITY DATA MISSING",IF(AND(COUNTIFS($C$2:$C$221,C17,$D$2:$D$221,D17,$G$2:$G$221,"&lt;&gt;")=COUNTIF(OFFICIAL_ALLOCATIONS!$C$2:$C$111,C17),COUNTIFS($C$2:$C$221,C17,$D$2:$D$221,D17,$H$2:$H$221,"&lt;&gt;")=COUNTIF(OFFICIAL_ALLOCATIONS!$C$2:$C$111,C17)),"COMPLETE","SECTOR DATA INCOMPLETE"))</f>
        <v>FACILITY DATA MISSING</v>
      </c>
      <c r="J17" s="9" t="str">
        <f t="shared" si="3"/>
        <v/>
      </c>
      <c r="K17" s="23" t="str">
        <f>IF(COUNTIFS(POLICY_PARAMETERS!$B$2:$B$13,"g",POLICY_PARAMETERS!$E$2:$E$13,C17,POLICY_PARAMETERS!$F$2:$F$13,D17,POLICY_PARAMETERS!$G$2:$G$13,"&lt;&gt;")=0,"",SUMIFS(POLICY_PARAMETERS!$G$2:$G$13,POLICY_PARAMETERS!$B$2:$B$13,"g",POLICY_PARAMETERS!$E$2:$E$13,C17,POLICY_PARAMETERS!$F$2:$F$13,D17))</f>
        <v/>
      </c>
      <c r="L17" s="23" t="str">
        <f>IF(COUNTIFS(POLICY_PARAMETERS!$B$2:$B$13,"r",POLICY_PARAMETERS!$E$2:$E$13,C17,POLICY_PARAMETERS!$F$2:$F$13,D17,POLICY_PARAMETERS!$G$2:$G$13,"&lt;&gt;")=0,"",SUMIFS(POLICY_PARAMETERS!$G$2:$G$13,POLICY_PARAMETERS!$B$2:$B$13,"r",POLICY_PARAMETERS!$E$2:$E$13,C17,POLICY_PARAMETERS!$F$2:$F$13,D17))</f>
        <v/>
      </c>
      <c r="M17" s="24" t="str">
        <f t="shared" si="4"/>
        <v/>
      </c>
      <c r="N17" s="25" t="str">
        <f t="shared" si="5"/>
        <v/>
      </c>
      <c r="O17" s="26">
        <f>IF(D17=2025,IFERROR(VLOOKUP(A17,OFFICIAL_ALLOCATIONS!$A$2:$F$111,5,FALSE),""),IFERROR(VLOOKUP(A17,OFFICIAL_ALLOCATIONS!$A$2:$F$111,6,FALSE),""))</f>
        <v>10469322</v>
      </c>
      <c r="P17" s="42" t="str">
        <f t="shared" si="6"/>
        <v/>
      </c>
      <c r="Q17" s="28" t="str">
        <f t="shared" si="7"/>
        <v/>
      </c>
      <c r="R17" s="5" t="str">
        <f t="shared" si="8"/>
        <v>MISSING HISTORICAL DATA</v>
      </c>
      <c r="S17" s="5" t="s">
        <v>179</v>
      </c>
      <c r="T17" s="5" t="s">
        <v>59</v>
      </c>
    </row>
    <row r="18" ht="15.75" customHeight="1">
      <c r="A18" s="3" t="s">
        <v>870</v>
      </c>
      <c r="B18" s="3" t="s">
        <v>141</v>
      </c>
      <c r="C18" s="3" t="s">
        <v>41</v>
      </c>
      <c r="D18" s="9">
        <v>2025.0</v>
      </c>
      <c r="E18" s="9">
        <f t="shared" si="1"/>
        <v>2022</v>
      </c>
      <c r="F18" s="9">
        <f t="shared" si="2"/>
        <v>2024</v>
      </c>
      <c r="G18" s="31" t="str">
        <f>IF(COUNTIFS(HISTORICAL_DATA!$A$2:$A$441,$A18,HISTORICAL_DATA!$D$2:$D$441,"&gt;="&amp;$E18,HISTORICAL_DATA!$D$2:$D$441,"&lt;="&amp;$F18,HISTORICAL_DATA!$E$2:$E$441,"&lt;&gt;")&lt;3,"",SUMIFS(HISTORICAL_DATA!$E$2:$E$441,HISTORICAL_DATA!$A$2:$A$441,$A18,HISTORICAL_DATA!$D$2:$D$441,"&gt;="&amp;$E18,HISTORICAL_DATA!$D$2:$D$441,"&lt;="&amp;$F18)/3)</f>
        <v/>
      </c>
      <c r="H18" s="31" t="str">
        <f>IF(COUNTIFS(HISTORICAL_DATA!$A$2:$A$441,$A18,HISTORICAL_DATA!$D$2:$D$441,"&gt;="&amp;$E18,HISTORICAL_DATA!$D$2:$D$441,"&lt;="&amp;$F18,HISTORICAL_DATA!$G$2:$G$441,"&lt;&gt;")&lt;3,"",SUMIFS(HISTORICAL_DATA!$G$2:$G$441,HISTORICAL_DATA!$A$2:$A$441,$A18,HISTORICAL_DATA!$D$2:$D$441,"&gt;="&amp;$E18,HISTORICAL_DATA!$D$2:$D$441,"&lt;="&amp;$F18)/3)</f>
        <v/>
      </c>
      <c r="I18" s="31" t="str">
        <f>IF(OR(G18="",H18=""),"FACILITY DATA MISSING",IF(AND(COUNTIFS($C$2:$C$221,C18,$D$2:$D$221,D18,$G$2:$G$221,"&lt;&gt;")=COUNTIF(OFFICIAL_ALLOCATIONS!$C$2:$C$111,C18),COUNTIFS($C$2:$C$221,C18,$D$2:$D$221,D18,$H$2:$H$221,"&lt;&gt;")=COUNTIF(OFFICIAL_ALLOCATIONS!$C$2:$C$111,C18)),"COMPLETE","SECTOR DATA INCOMPLETE"))</f>
        <v>FACILITY DATA MISSING</v>
      </c>
      <c r="J18" s="9" t="str">
        <f t="shared" si="3"/>
        <v/>
      </c>
      <c r="K18" s="23" t="str">
        <f>IF(COUNTIFS(POLICY_PARAMETERS!$B$2:$B$13,"g",POLICY_PARAMETERS!$E$2:$E$13,C18,POLICY_PARAMETERS!$F$2:$F$13,D18,POLICY_PARAMETERS!$G$2:$G$13,"&lt;&gt;")=0,"",SUMIFS(POLICY_PARAMETERS!$G$2:$G$13,POLICY_PARAMETERS!$B$2:$B$13,"g",POLICY_PARAMETERS!$E$2:$E$13,C18,POLICY_PARAMETERS!$F$2:$F$13,D18))</f>
        <v/>
      </c>
      <c r="L18" s="23" t="str">
        <f>IF(COUNTIFS(POLICY_PARAMETERS!$B$2:$B$13,"r",POLICY_PARAMETERS!$E$2:$E$13,C18,POLICY_PARAMETERS!$F$2:$F$13,D18,POLICY_PARAMETERS!$G$2:$G$13,"&lt;&gt;")=0,"",SUMIFS(POLICY_PARAMETERS!$G$2:$G$13,POLICY_PARAMETERS!$B$2:$B$13,"r",POLICY_PARAMETERS!$E$2:$E$13,C18,POLICY_PARAMETERS!$F$2:$F$13,D18))</f>
        <v/>
      </c>
      <c r="M18" s="24" t="str">
        <f t="shared" si="4"/>
        <v/>
      </c>
      <c r="N18" s="25" t="str">
        <f t="shared" si="5"/>
        <v/>
      </c>
      <c r="O18" s="26">
        <f>IF(D18=2025,IFERROR(VLOOKUP(A18,OFFICIAL_ALLOCATIONS!$A$2:$F$111,5,FALSE),""),IFERROR(VLOOKUP(A18,OFFICIAL_ALLOCATIONS!$A$2:$F$111,6,FALSE),""))</f>
        <v>10239469</v>
      </c>
      <c r="P18" s="42" t="str">
        <f t="shared" si="6"/>
        <v/>
      </c>
      <c r="Q18" s="28" t="str">
        <f t="shared" si="7"/>
        <v/>
      </c>
      <c r="R18" s="5" t="str">
        <f t="shared" si="8"/>
        <v>MISSING HISTORICAL DATA</v>
      </c>
      <c r="S18" s="5" t="s">
        <v>179</v>
      </c>
      <c r="T18" s="5" t="s">
        <v>59</v>
      </c>
    </row>
    <row r="19" ht="15.75" customHeight="1">
      <c r="A19" s="3" t="s">
        <v>870</v>
      </c>
      <c r="B19" s="3" t="s">
        <v>141</v>
      </c>
      <c r="C19" s="3" t="s">
        <v>41</v>
      </c>
      <c r="D19" s="9">
        <v>2026.0</v>
      </c>
      <c r="E19" s="9">
        <f t="shared" si="1"/>
        <v>2023</v>
      </c>
      <c r="F19" s="9">
        <f t="shared" si="2"/>
        <v>2025</v>
      </c>
      <c r="G19" s="31" t="str">
        <f>IF(COUNTIFS(HISTORICAL_DATA!$A$2:$A$441,$A19,HISTORICAL_DATA!$D$2:$D$441,"&gt;="&amp;$E19,HISTORICAL_DATA!$D$2:$D$441,"&lt;="&amp;$F19,HISTORICAL_DATA!$E$2:$E$441,"&lt;&gt;")&lt;3,"",SUMIFS(HISTORICAL_DATA!$E$2:$E$441,HISTORICAL_DATA!$A$2:$A$441,$A19,HISTORICAL_DATA!$D$2:$D$441,"&gt;="&amp;$E19,HISTORICAL_DATA!$D$2:$D$441,"&lt;="&amp;$F19)/3)</f>
        <v/>
      </c>
      <c r="H19" s="31" t="str">
        <f>IF(COUNTIFS(HISTORICAL_DATA!$A$2:$A$441,$A19,HISTORICAL_DATA!$D$2:$D$441,"&gt;="&amp;$E19,HISTORICAL_DATA!$D$2:$D$441,"&lt;="&amp;$F19,HISTORICAL_DATA!$G$2:$G$441,"&lt;&gt;")&lt;3,"",SUMIFS(HISTORICAL_DATA!$G$2:$G$441,HISTORICAL_DATA!$A$2:$A$441,$A19,HISTORICAL_DATA!$D$2:$D$441,"&gt;="&amp;$E19,HISTORICAL_DATA!$D$2:$D$441,"&lt;="&amp;$F19)/3)</f>
        <v/>
      </c>
      <c r="I19" s="31" t="str">
        <f>IF(OR(G19="",H19=""),"FACILITY DATA MISSING",IF(AND(COUNTIFS($C$2:$C$221,C19,$D$2:$D$221,D19,$G$2:$G$221,"&lt;&gt;")=COUNTIF(OFFICIAL_ALLOCATIONS!$C$2:$C$111,C19),COUNTIFS($C$2:$C$221,C19,$D$2:$D$221,D19,$H$2:$H$221,"&lt;&gt;")=COUNTIF(OFFICIAL_ALLOCATIONS!$C$2:$C$111,C19)),"COMPLETE","SECTOR DATA INCOMPLETE"))</f>
        <v>FACILITY DATA MISSING</v>
      </c>
      <c r="J19" s="9" t="str">
        <f t="shared" si="3"/>
        <v/>
      </c>
      <c r="K19" s="23" t="str">
        <f>IF(COUNTIFS(POLICY_PARAMETERS!$B$2:$B$13,"g",POLICY_PARAMETERS!$E$2:$E$13,C19,POLICY_PARAMETERS!$F$2:$F$13,D19,POLICY_PARAMETERS!$G$2:$G$13,"&lt;&gt;")=0,"",SUMIFS(POLICY_PARAMETERS!$G$2:$G$13,POLICY_PARAMETERS!$B$2:$B$13,"g",POLICY_PARAMETERS!$E$2:$E$13,C19,POLICY_PARAMETERS!$F$2:$F$13,D19))</f>
        <v/>
      </c>
      <c r="L19" s="23" t="str">
        <f>IF(COUNTIFS(POLICY_PARAMETERS!$B$2:$B$13,"r",POLICY_PARAMETERS!$E$2:$E$13,C19,POLICY_PARAMETERS!$F$2:$F$13,D19,POLICY_PARAMETERS!$G$2:$G$13,"&lt;&gt;")=0,"",SUMIFS(POLICY_PARAMETERS!$G$2:$G$13,POLICY_PARAMETERS!$B$2:$B$13,"r",POLICY_PARAMETERS!$E$2:$E$13,C19,POLICY_PARAMETERS!$F$2:$F$13,D19))</f>
        <v/>
      </c>
      <c r="M19" s="24" t="str">
        <f t="shared" si="4"/>
        <v/>
      </c>
      <c r="N19" s="25" t="str">
        <f t="shared" si="5"/>
        <v/>
      </c>
      <c r="O19" s="26">
        <f>IF(D19=2025,IFERROR(VLOOKUP(A19,OFFICIAL_ALLOCATIONS!$A$2:$F$111,5,FALSE),""),IFERROR(VLOOKUP(A19,OFFICIAL_ALLOCATIONS!$A$2:$F$111,6,FALSE),""))</f>
        <v>11217642</v>
      </c>
      <c r="P19" s="42" t="str">
        <f t="shared" si="6"/>
        <v/>
      </c>
      <c r="Q19" s="28" t="str">
        <f t="shared" si="7"/>
        <v/>
      </c>
      <c r="R19" s="5" t="str">
        <f t="shared" si="8"/>
        <v>MISSING HISTORICAL DATA</v>
      </c>
      <c r="S19" s="5" t="s">
        <v>179</v>
      </c>
      <c r="T19" s="5" t="s">
        <v>59</v>
      </c>
    </row>
    <row r="20" ht="15.75" customHeight="1">
      <c r="A20" s="3" t="s">
        <v>963</v>
      </c>
      <c r="B20" s="3" t="s">
        <v>143</v>
      </c>
      <c r="C20" s="3" t="s">
        <v>41</v>
      </c>
      <c r="D20" s="9">
        <v>2025.0</v>
      </c>
      <c r="E20" s="9">
        <f t="shared" si="1"/>
        <v>2022</v>
      </c>
      <c r="F20" s="9">
        <f t="shared" si="2"/>
        <v>2024</v>
      </c>
      <c r="G20" s="31" t="str">
        <f>IF(COUNTIFS(HISTORICAL_DATA!$A$2:$A$441,$A20,HISTORICAL_DATA!$D$2:$D$441,"&gt;="&amp;$E20,HISTORICAL_DATA!$D$2:$D$441,"&lt;="&amp;$F20,HISTORICAL_DATA!$E$2:$E$441,"&lt;&gt;")&lt;3,"",SUMIFS(HISTORICAL_DATA!$E$2:$E$441,HISTORICAL_DATA!$A$2:$A$441,$A20,HISTORICAL_DATA!$D$2:$D$441,"&gt;="&amp;$E20,HISTORICAL_DATA!$D$2:$D$441,"&lt;="&amp;$F20)/3)</f>
        <v/>
      </c>
      <c r="H20" s="31" t="str">
        <f>IF(COUNTIFS(HISTORICAL_DATA!$A$2:$A$441,$A20,HISTORICAL_DATA!$D$2:$D$441,"&gt;="&amp;$E20,HISTORICAL_DATA!$D$2:$D$441,"&lt;="&amp;$F20,HISTORICAL_DATA!$G$2:$G$441,"&lt;&gt;")&lt;3,"",SUMIFS(HISTORICAL_DATA!$G$2:$G$441,HISTORICAL_DATA!$A$2:$A$441,$A20,HISTORICAL_DATA!$D$2:$D$441,"&gt;="&amp;$E20,HISTORICAL_DATA!$D$2:$D$441,"&lt;="&amp;$F20)/3)</f>
        <v/>
      </c>
      <c r="I20" s="31" t="str">
        <f>IF(OR(G20="",H20=""),"FACILITY DATA MISSING",IF(AND(COUNTIFS($C$2:$C$221,C20,$D$2:$D$221,D20,$G$2:$G$221,"&lt;&gt;")=COUNTIF(OFFICIAL_ALLOCATIONS!$C$2:$C$111,C20),COUNTIFS($C$2:$C$221,C20,$D$2:$D$221,D20,$H$2:$H$221,"&lt;&gt;")=COUNTIF(OFFICIAL_ALLOCATIONS!$C$2:$C$111,C20)),"COMPLETE","SECTOR DATA INCOMPLETE"))</f>
        <v>FACILITY DATA MISSING</v>
      </c>
      <c r="J20" s="9" t="str">
        <f t="shared" si="3"/>
        <v/>
      </c>
      <c r="K20" s="23" t="str">
        <f>IF(COUNTIFS(POLICY_PARAMETERS!$B$2:$B$13,"g",POLICY_PARAMETERS!$E$2:$E$13,C20,POLICY_PARAMETERS!$F$2:$F$13,D20,POLICY_PARAMETERS!$G$2:$G$13,"&lt;&gt;")=0,"",SUMIFS(POLICY_PARAMETERS!$G$2:$G$13,POLICY_PARAMETERS!$B$2:$B$13,"g",POLICY_PARAMETERS!$E$2:$E$13,C20,POLICY_PARAMETERS!$F$2:$F$13,D20))</f>
        <v/>
      </c>
      <c r="L20" s="23" t="str">
        <f>IF(COUNTIFS(POLICY_PARAMETERS!$B$2:$B$13,"r",POLICY_PARAMETERS!$E$2:$E$13,C20,POLICY_PARAMETERS!$F$2:$F$13,D20,POLICY_PARAMETERS!$G$2:$G$13,"&lt;&gt;")=0,"",SUMIFS(POLICY_PARAMETERS!$G$2:$G$13,POLICY_PARAMETERS!$B$2:$B$13,"r",POLICY_PARAMETERS!$E$2:$E$13,C20,POLICY_PARAMETERS!$F$2:$F$13,D20))</f>
        <v/>
      </c>
      <c r="M20" s="24" t="str">
        <f t="shared" si="4"/>
        <v/>
      </c>
      <c r="N20" s="25" t="str">
        <f t="shared" si="5"/>
        <v/>
      </c>
      <c r="O20" s="26">
        <f>IF(D20=2025,IFERROR(VLOOKUP(A20,OFFICIAL_ALLOCATIONS!$A$2:$F$111,5,FALSE),""),IFERROR(VLOOKUP(A20,OFFICIAL_ALLOCATIONS!$A$2:$F$111,6,FALSE),""))</f>
        <v>5036163</v>
      </c>
      <c r="P20" s="42" t="str">
        <f t="shared" si="6"/>
        <v/>
      </c>
      <c r="Q20" s="28" t="str">
        <f t="shared" si="7"/>
        <v/>
      </c>
      <c r="R20" s="5" t="str">
        <f t="shared" si="8"/>
        <v>MISSING HISTORICAL DATA</v>
      </c>
      <c r="S20" s="5" t="s">
        <v>179</v>
      </c>
      <c r="T20" s="5" t="s">
        <v>59</v>
      </c>
    </row>
    <row r="21" ht="15.75" customHeight="1">
      <c r="A21" s="3" t="s">
        <v>963</v>
      </c>
      <c r="B21" s="3" t="s">
        <v>143</v>
      </c>
      <c r="C21" s="3" t="s">
        <v>41</v>
      </c>
      <c r="D21" s="9">
        <v>2026.0</v>
      </c>
      <c r="E21" s="9">
        <f t="shared" si="1"/>
        <v>2023</v>
      </c>
      <c r="F21" s="9">
        <f t="shared" si="2"/>
        <v>2025</v>
      </c>
      <c r="G21" s="31" t="str">
        <f>IF(COUNTIFS(HISTORICAL_DATA!$A$2:$A$441,$A21,HISTORICAL_DATA!$D$2:$D$441,"&gt;="&amp;$E21,HISTORICAL_DATA!$D$2:$D$441,"&lt;="&amp;$F21,HISTORICAL_DATA!$E$2:$E$441,"&lt;&gt;")&lt;3,"",SUMIFS(HISTORICAL_DATA!$E$2:$E$441,HISTORICAL_DATA!$A$2:$A$441,$A21,HISTORICAL_DATA!$D$2:$D$441,"&gt;="&amp;$E21,HISTORICAL_DATA!$D$2:$D$441,"&lt;="&amp;$F21)/3)</f>
        <v/>
      </c>
      <c r="H21" s="31" t="str">
        <f>IF(COUNTIFS(HISTORICAL_DATA!$A$2:$A$441,$A21,HISTORICAL_DATA!$D$2:$D$441,"&gt;="&amp;$E21,HISTORICAL_DATA!$D$2:$D$441,"&lt;="&amp;$F21,HISTORICAL_DATA!$G$2:$G$441,"&lt;&gt;")&lt;3,"",SUMIFS(HISTORICAL_DATA!$G$2:$G$441,HISTORICAL_DATA!$A$2:$A$441,$A21,HISTORICAL_DATA!$D$2:$D$441,"&gt;="&amp;$E21,HISTORICAL_DATA!$D$2:$D$441,"&lt;="&amp;$F21)/3)</f>
        <v/>
      </c>
      <c r="I21" s="31" t="str">
        <f>IF(OR(G21="",H21=""),"FACILITY DATA MISSING",IF(AND(COUNTIFS($C$2:$C$221,C21,$D$2:$D$221,D21,$G$2:$G$221,"&lt;&gt;")=COUNTIF(OFFICIAL_ALLOCATIONS!$C$2:$C$111,C21),COUNTIFS($C$2:$C$221,C21,$D$2:$D$221,D21,$H$2:$H$221,"&lt;&gt;")=COUNTIF(OFFICIAL_ALLOCATIONS!$C$2:$C$111,C21)),"COMPLETE","SECTOR DATA INCOMPLETE"))</f>
        <v>FACILITY DATA MISSING</v>
      </c>
      <c r="J21" s="9" t="str">
        <f t="shared" si="3"/>
        <v/>
      </c>
      <c r="K21" s="23" t="str">
        <f>IF(COUNTIFS(POLICY_PARAMETERS!$B$2:$B$13,"g",POLICY_PARAMETERS!$E$2:$E$13,C21,POLICY_PARAMETERS!$F$2:$F$13,D21,POLICY_PARAMETERS!$G$2:$G$13,"&lt;&gt;")=0,"",SUMIFS(POLICY_PARAMETERS!$G$2:$G$13,POLICY_PARAMETERS!$B$2:$B$13,"g",POLICY_PARAMETERS!$E$2:$E$13,C21,POLICY_PARAMETERS!$F$2:$F$13,D21))</f>
        <v/>
      </c>
      <c r="L21" s="23" t="str">
        <f>IF(COUNTIFS(POLICY_PARAMETERS!$B$2:$B$13,"r",POLICY_PARAMETERS!$E$2:$E$13,C21,POLICY_PARAMETERS!$F$2:$F$13,D21,POLICY_PARAMETERS!$G$2:$G$13,"&lt;&gt;")=0,"",SUMIFS(POLICY_PARAMETERS!$G$2:$G$13,POLICY_PARAMETERS!$B$2:$B$13,"r",POLICY_PARAMETERS!$E$2:$E$13,C21,POLICY_PARAMETERS!$F$2:$F$13,D21))</f>
        <v/>
      </c>
      <c r="M21" s="24" t="str">
        <f t="shared" si="4"/>
        <v/>
      </c>
      <c r="N21" s="25" t="str">
        <f t="shared" si="5"/>
        <v/>
      </c>
      <c r="O21" s="26">
        <f>IF(D21=2025,IFERROR(VLOOKUP(A21,OFFICIAL_ALLOCATIONS!$A$2:$F$111,5,FALSE),""),IFERROR(VLOOKUP(A21,OFFICIAL_ALLOCATIONS!$A$2:$F$111,6,FALSE),""))</f>
        <v>5517266</v>
      </c>
      <c r="P21" s="42" t="str">
        <f t="shared" si="6"/>
        <v/>
      </c>
      <c r="Q21" s="28" t="str">
        <f t="shared" si="7"/>
        <v/>
      </c>
      <c r="R21" s="5" t="str">
        <f t="shared" si="8"/>
        <v>MISSING HISTORICAL DATA</v>
      </c>
      <c r="S21" s="5" t="s">
        <v>179</v>
      </c>
      <c r="T21" s="5" t="s">
        <v>59</v>
      </c>
    </row>
    <row r="22" ht="15.75" customHeight="1">
      <c r="A22" s="3" t="s">
        <v>983</v>
      </c>
      <c r="B22" s="3" t="s">
        <v>145</v>
      </c>
      <c r="C22" s="3" t="s">
        <v>41</v>
      </c>
      <c r="D22" s="9">
        <v>2025.0</v>
      </c>
      <c r="E22" s="9">
        <f t="shared" si="1"/>
        <v>2022</v>
      </c>
      <c r="F22" s="9">
        <f t="shared" si="2"/>
        <v>2024</v>
      </c>
      <c r="G22" s="31" t="str">
        <f>IF(COUNTIFS(HISTORICAL_DATA!$A$2:$A$441,$A22,HISTORICAL_DATA!$D$2:$D$441,"&gt;="&amp;$E22,HISTORICAL_DATA!$D$2:$D$441,"&lt;="&amp;$F22,HISTORICAL_DATA!$E$2:$E$441,"&lt;&gt;")&lt;3,"",SUMIFS(HISTORICAL_DATA!$E$2:$E$441,HISTORICAL_DATA!$A$2:$A$441,$A22,HISTORICAL_DATA!$D$2:$D$441,"&gt;="&amp;$E22,HISTORICAL_DATA!$D$2:$D$441,"&lt;="&amp;$F22)/3)</f>
        <v/>
      </c>
      <c r="H22" s="31" t="str">
        <f>IF(COUNTIFS(HISTORICAL_DATA!$A$2:$A$441,$A22,HISTORICAL_DATA!$D$2:$D$441,"&gt;="&amp;$E22,HISTORICAL_DATA!$D$2:$D$441,"&lt;="&amp;$F22,HISTORICAL_DATA!$G$2:$G$441,"&lt;&gt;")&lt;3,"",SUMIFS(HISTORICAL_DATA!$G$2:$G$441,HISTORICAL_DATA!$A$2:$A$441,$A22,HISTORICAL_DATA!$D$2:$D$441,"&gt;="&amp;$E22,HISTORICAL_DATA!$D$2:$D$441,"&lt;="&amp;$F22)/3)</f>
        <v/>
      </c>
      <c r="I22" s="31" t="str">
        <f>IF(OR(G22="",H22=""),"FACILITY DATA MISSING",IF(AND(COUNTIFS($C$2:$C$221,C22,$D$2:$D$221,D22,$G$2:$G$221,"&lt;&gt;")=COUNTIF(OFFICIAL_ALLOCATIONS!$C$2:$C$111,C22),COUNTIFS($C$2:$C$221,C22,$D$2:$D$221,D22,$H$2:$H$221,"&lt;&gt;")=COUNTIF(OFFICIAL_ALLOCATIONS!$C$2:$C$111,C22)),"COMPLETE","SECTOR DATA INCOMPLETE"))</f>
        <v>FACILITY DATA MISSING</v>
      </c>
      <c r="J22" s="9" t="str">
        <f t="shared" si="3"/>
        <v/>
      </c>
      <c r="K22" s="23" t="str">
        <f>IF(COUNTIFS(POLICY_PARAMETERS!$B$2:$B$13,"g",POLICY_PARAMETERS!$E$2:$E$13,C22,POLICY_PARAMETERS!$F$2:$F$13,D22,POLICY_PARAMETERS!$G$2:$G$13,"&lt;&gt;")=0,"",SUMIFS(POLICY_PARAMETERS!$G$2:$G$13,POLICY_PARAMETERS!$B$2:$B$13,"g",POLICY_PARAMETERS!$E$2:$E$13,C22,POLICY_PARAMETERS!$F$2:$F$13,D22))</f>
        <v/>
      </c>
      <c r="L22" s="23" t="str">
        <f>IF(COUNTIFS(POLICY_PARAMETERS!$B$2:$B$13,"r",POLICY_PARAMETERS!$E$2:$E$13,C22,POLICY_PARAMETERS!$F$2:$F$13,D22,POLICY_PARAMETERS!$G$2:$G$13,"&lt;&gt;")=0,"",SUMIFS(POLICY_PARAMETERS!$G$2:$G$13,POLICY_PARAMETERS!$B$2:$B$13,"r",POLICY_PARAMETERS!$E$2:$E$13,C22,POLICY_PARAMETERS!$F$2:$F$13,D22))</f>
        <v/>
      </c>
      <c r="M22" s="24" t="str">
        <f t="shared" si="4"/>
        <v/>
      </c>
      <c r="N22" s="25" t="str">
        <f t="shared" si="5"/>
        <v/>
      </c>
      <c r="O22" s="26">
        <f>IF(D22=2025,IFERROR(VLOOKUP(A22,OFFICIAL_ALLOCATIONS!$A$2:$F$111,5,FALSE),""),IFERROR(VLOOKUP(A22,OFFICIAL_ALLOCATIONS!$A$2:$F$111,6,FALSE),""))</f>
        <v>7214687</v>
      </c>
      <c r="P22" s="42" t="str">
        <f t="shared" si="6"/>
        <v/>
      </c>
      <c r="Q22" s="28" t="str">
        <f t="shared" si="7"/>
        <v/>
      </c>
      <c r="R22" s="5" t="str">
        <f t="shared" si="8"/>
        <v>MISSING HISTORICAL DATA</v>
      </c>
      <c r="S22" s="5" t="s">
        <v>179</v>
      </c>
      <c r="T22" s="5" t="s">
        <v>59</v>
      </c>
    </row>
    <row r="23" ht="15.75" customHeight="1">
      <c r="A23" s="3" t="s">
        <v>983</v>
      </c>
      <c r="B23" s="3" t="s">
        <v>145</v>
      </c>
      <c r="C23" s="3" t="s">
        <v>41</v>
      </c>
      <c r="D23" s="9">
        <v>2026.0</v>
      </c>
      <c r="E23" s="9">
        <f t="shared" si="1"/>
        <v>2023</v>
      </c>
      <c r="F23" s="9">
        <f t="shared" si="2"/>
        <v>2025</v>
      </c>
      <c r="G23" s="31" t="str">
        <f>IF(COUNTIFS(HISTORICAL_DATA!$A$2:$A$441,$A23,HISTORICAL_DATA!$D$2:$D$441,"&gt;="&amp;$E23,HISTORICAL_DATA!$D$2:$D$441,"&lt;="&amp;$F23,HISTORICAL_DATA!$E$2:$E$441,"&lt;&gt;")&lt;3,"",SUMIFS(HISTORICAL_DATA!$E$2:$E$441,HISTORICAL_DATA!$A$2:$A$441,$A23,HISTORICAL_DATA!$D$2:$D$441,"&gt;="&amp;$E23,HISTORICAL_DATA!$D$2:$D$441,"&lt;="&amp;$F23)/3)</f>
        <v/>
      </c>
      <c r="H23" s="31" t="str">
        <f>IF(COUNTIFS(HISTORICAL_DATA!$A$2:$A$441,$A23,HISTORICAL_DATA!$D$2:$D$441,"&gt;="&amp;$E23,HISTORICAL_DATA!$D$2:$D$441,"&lt;="&amp;$F23,HISTORICAL_DATA!$G$2:$G$441,"&lt;&gt;")&lt;3,"",SUMIFS(HISTORICAL_DATA!$G$2:$G$441,HISTORICAL_DATA!$A$2:$A$441,$A23,HISTORICAL_DATA!$D$2:$D$441,"&gt;="&amp;$E23,HISTORICAL_DATA!$D$2:$D$441,"&lt;="&amp;$F23)/3)</f>
        <v/>
      </c>
      <c r="I23" s="31" t="str">
        <f>IF(OR(G23="",H23=""),"FACILITY DATA MISSING",IF(AND(COUNTIFS($C$2:$C$221,C23,$D$2:$D$221,D23,$G$2:$G$221,"&lt;&gt;")=COUNTIF(OFFICIAL_ALLOCATIONS!$C$2:$C$111,C23),COUNTIFS($C$2:$C$221,C23,$D$2:$D$221,D23,$H$2:$H$221,"&lt;&gt;")=COUNTIF(OFFICIAL_ALLOCATIONS!$C$2:$C$111,C23)),"COMPLETE","SECTOR DATA INCOMPLETE"))</f>
        <v>FACILITY DATA MISSING</v>
      </c>
      <c r="J23" s="9" t="str">
        <f t="shared" si="3"/>
        <v/>
      </c>
      <c r="K23" s="23" t="str">
        <f>IF(COUNTIFS(POLICY_PARAMETERS!$B$2:$B$13,"g",POLICY_PARAMETERS!$E$2:$E$13,C23,POLICY_PARAMETERS!$F$2:$F$13,D23,POLICY_PARAMETERS!$G$2:$G$13,"&lt;&gt;")=0,"",SUMIFS(POLICY_PARAMETERS!$G$2:$G$13,POLICY_PARAMETERS!$B$2:$B$13,"g",POLICY_PARAMETERS!$E$2:$E$13,C23,POLICY_PARAMETERS!$F$2:$F$13,D23))</f>
        <v/>
      </c>
      <c r="L23" s="23" t="str">
        <f>IF(COUNTIFS(POLICY_PARAMETERS!$B$2:$B$13,"r",POLICY_PARAMETERS!$E$2:$E$13,C23,POLICY_PARAMETERS!$F$2:$F$13,D23,POLICY_PARAMETERS!$G$2:$G$13,"&lt;&gt;")=0,"",SUMIFS(POLICY_PARAMETERS!$G$2:$G$13,POLICY_PARAMETERS!$B$2:$B$13,"r",POLICY_PARAMETERS!$E$2:$E$13,C23,POLICY_PARAMETERS!$F$2:$F$13,D23))</f>
        <v/>
      </c>
      <c r="M23" s="24" t="str">
        <f t="shared" si="4"/>
        <v/>
      </c>
      <c r="N23" s="25" t="str">
        <f t="shared" si="5"/>
        <v/>
      </c>
      <c r="O23" s="26">
        <f>IF(D23=2025,IFERROR(VLOOKUP(A23,OFFICIAL_ALLOCATIONS!$A$2:$F$111,5,FALSE),""),IFERROR(VLOOKUP(A23,OFFICIAL_ALLOCATIONS!$A$2:$F$111,6,FALSE),""))</f>
        <v>7903903</v>
      </c>
      <c r="P23" s="42" t="str">
        <f t="shared" si="6"/>
        <v/>
      </c>
      <c r="Q23" s="28" t="str">
        <f t="shared" si="7"/>
        <v/>
      </c>
      <c r="R23" s="5" t="str">
        <f t="shared" si="8"/>
        <v>MISSING HISTORICAL DATA</v>
      </c>
      <c r="S23" s="5" t="s">
        <v>179</v>
      </c>
      <c r="T23" s="5" t="s">
        <v>59</v>
      </c>
    </row>
    <row r="24" ht="15.75" customHeight="1">
      <c r="A24" s="3" t="s">
        <v>984</v>
      </c>
      <c r="B24" s="3" t="s">
        <v>147</v>
      </c>
      <c r="C24" s="3" t="s">
        <v>41</v>
      </c>
      <c r="D24" s="9">
        <v>2025.0</v>
      </c>
      <c r="E24" s="9">
        <f t="shared" si="1"/>
        <v>2022</v>
      </c>
      <c r="F24" s="9">
        <f t="shared" si="2"/>
        <v>2024</v>
      </c>
      <c r="G24" s="31" t="str">
        <f>IF(COUNTIFS(HISTORICAL_DATA!$A$2:$A$441,$A24,HISTORICAL_DATA!$D$2:$D$441,"&gt;="&amp;$E24,HISTORICAL_DATA!$D$2:$D$441,"&lt;="&amp;$F24,HISTORICAL_DATA!$E$2:$E$441,"&lt;&gt;")&lt;3,"",SUMIFS(HISTORICAL_DATA!$E$2:$E$441,HISTORICAL_DATA!$A$2:$A$441,$A24,HISTORICAL_DATA!$D$2:$D$441,"&gt;="&amp;$E24,HISTORICAL_DATA!$D$2:$D$441,"&lt;="&amp;$F24)/3)</f>
        <v/>
      </c>
      <c r="H24" s="31" t="str">
        <f>IF(COUNTIFS(HISTORICAL_DATA!$A$2:$A$441,$A24,HISTORICAL_DATA!$D$2:$D$441,"&gt;="&amp;$E24,HISTORICAL_DATA!$D$2:$D$441,"&lt;="&amp;$F24,HISTORICAL_DATA!$G$2:$G$441,"&lt;&gt;")&lt;3,"",SUMIFS(HISTORICAL_DATA!$G$2:$G$441,HISTORICAL_DATA!$A$2:$A$441,$A24,HISTORICAL_DATA!$D$2:$D$441,"&gt;="&amp;$E24,HISTORICAL_DATA!$D$2:$D$441,"&lt;="&amp;$F24)/3)</f>
        <v/>
      </c>
      <c r="I24" s="31" t="str">
        <f>IF(OR(G24="",H24=""),"FACILITY DATA MISSING",IF(AND(COUNTIFS($C$2:$C$221,C24,$D$2:$D$221,D24,$G$2:$G$221,"&lt;&gt;")=COUNTIF(OFFICIAL_ALLOCATIONS!$C$2:$C$111,C24),COUNTIFS($C$2:$C$221,C24,$D$2:$D$221,D24,$H$2:$H$221,"&lt;&gt;")=COUNTIF(OFFICIAL_ALLOCATIONS!$C$2:$C$111,C24)),"COMPLETE","SECTOR DATA INCOMPLETE"))</f>
        <v>FACILITY DATA MISSING</v>
      </c>
      <c r="J24" s="9" t="str">
        <f t="shared" si="3"/>
        <v/>
      </c>
      <c r="K24" s="23" t="str">
        <f>IF(COUNTIFS(POLICY_PARAMETERS!$B$2:$B$13,"g",POLICY_PARAMETERS!$E$2:$E$13,C24,POLICY_PARAMETERS!$F$2:$F$13,D24,POLICY_PARAMETERS!$G$2:$G$13,"&lt;&gt;")=0,"",SUMIFS(POLICY_PARAMETERS!$G$2:$G$13,POLICY_PARAMETERS!$B$2:$B$13,"g",POLICY_PARAMETERS!$E$2:$E$13,C24,POLICY_PARAMETERS!$F$2:$F$13,D24))</f>
        <v/>
      </c>
      <c r="L24" s="23" t="str">
        <f>IF(COUNTIFS(POLICY_PARAMETERS!$B$2:$B$13,"r",POLICY_PARAMETERS!$E$2:$E$13,C24,POLICY_PARAMETERS!$F$2:$F$13,D24,POLICY_PARAMETERS!$G$2:$G$13,"&lt;&gt;")=0,"",SUMIFS(POLICY_PARAMETERS!$G$2:$G$13,POLICY_PARAMETERS!$B$2:$B$13,"r",POLICY_PARAMETERS!$E$2:$E$13,C24,POLICY_PARAMETERS!$F$2:$F$13,D24))</f>
        <v/>
      </c>
      <c r="M24" s="24" t="str">
        <f t="shared" si="4"/>
        <v/>
      </c>
      <c r="N24" s="25" t="str">
        <f t="shared" si="5"/>
        <v/>
      </c>
      <c r="O24" s="26">
        <f>IF(D24=2025,IFERROR(VLOOKUP(A24,OFFICIAL_ALLOCATIONS!$A$2:$F$111,5,FALSE),""),IFERROR(VLOOKUP(A24,OFFICIAL_ALLOCATIONS!$A$2:$F$111,6,FALSE),""))</f>
        <v>2558365</v>
      </c>
      <c r="P24" s="42" t="str">
        <f t="shared" si="6"/>
        <v/>
      </c>
      <c r="Q24" s="28" t="str">
        <f t="shared" si="7"/>
        <v/>
      </c>
      <c r="R24" s="5" t="str">
        <f t="shared" si="8"/>
        <v>MISSING HISTORICAL DATA</v>
      </c>
      <c r="S24" s="5" t="s">
        <v>179</v>
      </c>
      <c r="T24" s="5" t="s">
        <v>59</v>
      </c>
    </row>
    <row r="25" ht="15.75" customHeight="1">
      <c r="A25" s="3" t="s">
        <v>984</v>
      </c>
      <c r="B25" s="3" t="s">
        <v>147</v>
      </c>
      <c r="C25" s="3" t="s">
        <v>41</v>
      </c>
      <c r="D25" s="9">
        <v>2026.0</v>
      </c>
      <c r="E25" s="9">
        <f t="shared" si="1"/>
        <v>2023</v>
      </c>
      <c r="F25" s="9">
        <f t="shared" si="2"/>
        <v>2025</v>
      </c>
      <c r="G25" s="31" t="str">
        <f>IF(COUNTIFS(HISTORICAL_DATA!$A$2:$A$441,$A25,HISTORICAL_DATA!$D$2:$D$441,"&gt;="&amp;$E25,HISTORICAL_DATA!$D$2:$D$441,"&lt;="&amp;$F25,HISTORICAL_DATA!$E$2:$E$441,"&lt;&gt;")&lt;3,"",SUMIFS(HISTORICAL_DATA!$E$2:$E$441,HISTORICAL_DATA!$A$2:$A$441,$A25,HISTORICAL_DATA!$D$2:$D$441,"&gt;="&amp;$E25,HISTORICAL_DATA!$D$2:$D$441,"&lt;="&amp;$F25)/3)</f>
        <v/>
      </c>
      <c r="H25" s="31" t="str">
        <f>IF(COUNTIFS(HISTORICAL_DATA!$A$2:$A$441,$A25,HISTORICAL_DATA!$D$2:$D$441,"&gt;="&amp;$E25,HISTORICAL_DATA!$D$2:$D$441,"&lt;="&amp;$F25,HISTORICAL_DATA!$G$2:$G$441,"&lt;&gt;")&lt;3,"",SUMIFS(HISTORICAL_DATA!$G$2:$G$441,HISTORICAL_DATA!$A$2:$A$441,$A25,HISTORICAL_DATA!$D$2:$D$441,"&gt;="&amp;$E25,HISTORICAL_DATA!$D$2:$D$441,"&lt;="&amp;$F25)/3)</f>
        <v/>
      </c>
      <c r="I25" s="31" t="str">
        <f>IF(OR(G25="",H25=""),"FACILITY DATA MISSING",IF(AND(COUNTIFS($C$2:$C$221,C25,$D$2:$D$221,D25,$G$2:$G$221,"&lt;&gt;")=COUNTIF(OFFICIAL_ALLOCATIONS!$C$2:$C$111,C25),COUNTIFS($C$2:$C$221,C25,$D$2:$D$221,D25,$H$2:$H$221,"&lt;&gt;")=COUNTIF(OFFICIAL_ALLOCATIONS!$C$2:$C$111,C25)),"COMPLETE","SECTOR DATA INCOMPLETE"))</f>
        <v>FACILITY DATA MISSING</v>
      </c>
      <c r="J25" s="9" t="str">
        <f t="shared" si="3"/>
        <v/>
      </c>
      <c r="K25" s="23" t="str">
        <f>IF(COUNTIFS(POLICY_PARAMETERS!$B$2:$B$13,"g",POLICY_PARAMETERS!$E$2:$E$13,C25,POLICY_PARAMETERS!$F$2:$F$13,D25,POLICY_PARAMETERS!$G$2:$G$13,"&lt;&gt;")=0,"",SUMIFS(POLICY_PARAMETERS!$G$2:$G$13,POLICY_PARAMETERS!$B$2:$B$13,"g",POLICY_PARAMETERS!$E$2:$E$13,C25,POLICY_PARAMETERS!$F$2:$F$13,D25))</f>
        <v/>
      </c>
      <c r="L25" s="23" t="str">
        <f>IF(COUNTIFS(POLICY_PARAMETERS!$B$2:$B$13,"r",POLICY_PARAMETERS!$E$2:$E$13,C25,POLICY_PARAMETERS!$F$2:$F$13,D25,POLICY_PARAMETERS!$G$2:$G$13,"&lt;&gt;")=0,"",SUMIFS(POLICY_PARAMETERS!$G$2:$G$13,POLICY_PARAMETERS!$B$2:$B$13,"r",POLICY_PARAMETERS!$E$2:$E$13,C25,POLICY_PARAMETERS!$F$2:$F$13,D25))</f>
        <v/>
      </c>
      <c r="M25" s="24" t="str">
        <f t="shared" si="4"/>
        <v/>
      </c>
      <c r="N25" s="25" t="str">
        <f t="shared" si="5"/>
        <v/>
      </c>
      <c r="O25" s="26">
        <f>IF(D25=2025,IFERROR(VLOOKUP(A25,OFFICIAL_ALLOCATIONS!$A$2:$F$111,5,FALSE),""),IFERROR(VLOOKUP(A25,OFFICIAL_ALLOCATIONS!$A$2:$F$111,6,FALSE),""))</f>
        <v>2802764</v>
      </c>
      <c r="P25" s="42" t="str">
        <f t="shared" si="6"/>
        <v/>
      </c>
      <c r="Q25" s="28" t="str">
        <f t="shared" si="7"/>
        <v/>
      </c>
      <c r="R25" s="5" t="str">
        <f t="shared" si="8"/>
        <v>MISSING HISTORICAL DATA</v>
      </c>
      <c r="S25" s="5" t="s">
        <v>179</v>
      </c>
      <c r="T25" s="5" t="s">
        <v>59</v>
      </c>
    </row>
    <row r="26" ht="15.75" customHeight="1">
      <c r="A26" s="3" t="s">
        <v>985</v>
      </c>
      <c r="B26" s="3" t="s">
        <v>149</v>
      </c>
      <c r="C26" s="3" t="s">
        <v>41</v>
      </c>
      <c r="D26" s="9">
        <v>2025.0</v>
      </c>
      <c r="E26" s="9">
        <f t="shared" si="1"/>
        <v>2022</v>
      </c>
      <c r="F26" s="9">
        <f t="shared" si="2"/>
        <v>2024</v>
      </c>
      <c r="G26" s="31" t="str">
        <f>IF(COUNTIFS(HISTORICAL_DATA!$A$2:$A$441,$A26,HISTORICAL_DATA!$D$2:$D$441,"&gt;="&amp;$E26,HISTORICAL_DATA!$D$2:$D$441,"&lt;="&amp;$F26,HISTORICAL_DATA!$E$2:$E$441,"&lt;&gt;")&lt;3,"",SUMIFS(HISTORICAL_DATA!$E$2:$E$441,HISTORICAL_DATA!$A$2:$A$441,$A26,HISTORICAL_DATA!$D$2:$D$441,"&gt;="&amp;$E26,HISTORICAL_DATA!$D$2:$D$441,"&lt;="&amp;$F26)/3)</f>
        <v/>
      </c>
      <c r="H26" s="31" t="str">
        <f>IF(COUNTIFS(HISTORICAL_DATA!$A$2:$A$441,$A26,HISTORICAL_DATA!$D$2:$D$441,"&gt;="&amp;$E26,HISTORICAL_DATA!$D$2:$D$441,"&lt;="&amp;$F26,HISTORICAL_DATA!$G$2:$G$441,"&lt;&gt;")&lt;3,"",SUMIFS(HISTORICAL_DATA!$G$2:$G$441,HISTORICAL_DATA!$A$2:$A$441,$A26,HISTORICAL_DATA!$D$2:$D$441,"&gt;="&amp;$E26,HISTORICAL_DATA!$D$2:$D$441,"&lt;="&amp;$F26)/3)</f>
        <v/>
      </c>
      <c r="I26" s="31" t="str">
        <f>IF(OR(G26="",H26=""),"FACILITY DATA MISSING",IF(AND(COUNTIFS($C$2:$C$221,C26,$D$2:$D$221,D26,$G$2:$G$221,"&lt;&gt;")=COUNTIF(OFFICIAL_ALLOCATIONS!$C$2:$C$111,C26),COUNTIFS($C$2:$C$221,C26,$D$2:$D$221,D26,$H$2:$H$221,"&lt;&gt;")=COUNTIF(OFFICIAL_ALLOCATIONS!$C$2:$C$111,C26)),"COMPLETE","SECTOR DATA INCOMPLETE"))</f>
        <v>FACILITY DATA MISSING</v>
      </c>
      <c r="J26" s="9" t="str">
        <f t="shared" si="3"/>
        <v/>
      </c>
      <c r="K26" s="23" t="str">
        <f>IF(COUNTIFS(POLICY_PARAMETERS!$B$2:$B$13,"g",POLICY_PARAMETERS!$E$2:$E$13,C26,POLICY_PARAMETERS!$F$2:$F$13,D26,POLICY_PARAMETERS!$G$2:$G$13,"&lt;&gt;")=0,"",SUMIFS(POLICY_PARAMETERS!$G$2:$G$13,POLICY_PARAMETERS!$B$2:$B$13,"g",POLICY_PARAMETERS!$E$2:$E$13,C26,POLICY_PARAMETERS!$F$2:$F$13,D26))</f>
        <v/>
      </c>
      <c r="L26" s="23" t="str">
        <f>IF(COUNTIFS(POLICY_PARAMETERS!$B$2:$B$13,"r",POLICY_PARAMETERS!$E$2:$E$13,C26,POLICY_PARAMETERS!$F$2:$F$13,D26,POLICY_PARAMETERS!$G$2:$G$13,"&lt;&gt;")=0,"",SUMIFS(POLICY_PARAMETERS!$G$2:$G$13,POLICY_PARAMETERS!$B$2:$B$13,"r",POLICY_PARAMETERS!$E$2:$E$13,C26,POLICY_PARAMETERS!$F$2:$F$13,D26))</f>
        <v/>
      </c>
      <c r="M26" s="24" t="str">
        <f t="shared" si="4"/>
        <v/>
      </c>
      <c r="N26" s="25" t="str">
        <f t="shared" si="5"/>
        <v/>
      </c>
      <c r="O26" s="26">
        <f>IF(D26=2025,IFERROR(VLOOKUP(A26,OFFICIAL_ALLOCATIONS!$A$2:$F$111,5,FALSE),""),IFERROR(VLOOKUP(A26,OFFICIAL_ALLOCATIONS!$A$2:$F$111,6,FALSE),""))</f>
        <v>11856608</v>
      </c>
      <c r="P26" s="42" t="str">
        <f t="shared" si="6"/>
        <v/>
      </c>
      <c r="Q26" s="28" t="str">
        <f t="shared" si="7"/>
        <v/>
      </c>
      <c r="R26" s="5" t="str">
        <f t="shared" si="8"/>
        <v>MISSING HISTORICAL DATA</v>
      </c>
      <c r="S26" s="5" t="s">
        <v>179</v>
      </c>
      <c r="T26" s="5" t="s">
        <v>59</v>
      </c>
    </row>
    <row r="27" ht="15.75" customHeight="1">
      <c r="A27" s="3" t="s">
        <v>985</v>
      </c>
      <c r="B27" s="3" t="s">
        <v>149</v>
      </c>
      <c r="C27" s="3" t="s">
        <v>41</v>
      </c>
      <c r="D27" s="9">
        <v>2026.0</v>
      </c>
      <c r="E27" s="9">
        <f t="shared" si="1"/>
        <v>2023</v>
      </c>
      <c r="F27" s="9">
        <f t="shared" si="2"/>
        <v>2025</v>
      </c>
      <c r="G27" s="31" t="str">
        <f>IF(COUNTIFS(HISTORICAL_DATA!$A$2:$A$441,$A27,HISTORICAL_DATA!$D$2:$D$441,"&gt;="&amp;$E27,HISTORICAL_DATA!$D$2:$D$441,"&lt;="&amp;$F27,HISTORICAL_DATA!$E$2:$E$441,"&lt;&gt;")&lt;3,"",SUMIFS(HISTORICAL_DATA!$E$2:$E$441,HISTORICAL_DATA!$A$2:$A$441,$A27,HISTORICAL_DATA!$D$2:$D$441,"&gt;="&amp;$E27,HISTORICAL_DATA!$D$2:$D$441,"&lt;="&amp;$F27)/3)</f>
        <v/>
      </c>
      <c r="H27" s="31" t="str">
        <f>IF(COUNTIFS(HISTORICAL_DATA!$A$2:$A$441,$A27,HISTORICAL_DATA!$D$2:$D$441,"&gt;="&amp;$E27,HISTORICAL_DATA!$D$2:$D$441,"&lt;="&amp;$F27,HISTORICAL_DATA!$G$2:$G$441,"&lt;&gt;")&lt;3,"",SUMIFS(HISTORICAL_DATA!$G$2:$G$441,HISTORICAL_DATA!$A$2:$A$441,$A27,HISTORICAL_DATA!$D$2:$D$441,"&gt;="&amp;$E27,HISTORICAL_DATA!$D$2:$D$441,"&lt;="&amp;$F27)/3)</f>
        <v/>
      </c>
      <c r="I27" s="31" t="str">
        <f>IF(OR(G27="",H27=""),"FACILITY DATA MISSING",IF(AND(COUNTIFS($C$2:$C$221,C27,$D$2:$D$221,D27,$G$2:$G$221,"&lt;&gt;")=COUNTIF(OFFICIAL_ALLOCATIONS!$C$2:$C$111,C27),COUNTIFS($C$2:$C$221,C27,$D$2:$D$221,D27,$H$2:$H$221,"&lt;&gt;")=COUNTIF(OFFICIAL_ALLOCATIONS!$C$2:$C$111,C27)),"COMPLETE","SECTOR DATA INCOMPLETE"))</f>
        <v>FACILITY DATA MISSING</v>
      </c>
      <c r="J27" s="9" t="str">
        <f t="shared" si="3"/>
        <v/>
      </c>
      <c r="K27" s="23" t="str">
        <f>IF(COUNTIFS(POLICY_PARAMETERS!$B$2:$B$13,"g",POLICY_PARAMETERS!$E$2:$E$13,C27,POLICY_PARAMETERS!$F$2:$F$13,D27,POLICY_PARAMETERS!$G$2:$G$13,"&lt;&gt;")=0,"",SUMIFS(POLICY_PARAMETERS!$G$2:$G$13,POLICY_PARAMETERS!$B$2:$B$13,"g",POLICY_PARAMETERS!$E$2:$E$13,C27,POLICY_PARAMETERS!$F$2:$F$13,D27))</f>
        <v/>
      </c>
      <c r="L27" s="23" t="str">
        <f>IF(COUNTIFS(POLICY_PARAMETERS!$B$2:$B$13,"r",POLICY_PARAMETERS!$E$2:$E$13,C27,POLICY_PARAMETERS!$F$2:$F$13,D27,POLICY_PARAMETERS!$G$2:$G$13,"&lt;&gt;")=0,"",SUMIFS(POLICY_PARAMETERS!$G$2:$G$13,POLICY_PARAMETERS!$B$2:$B$13,"r",POLICY_PARAMETERS!$E$2:$E$13,C27,POLICY_PARAMETERS!$F$2:$F$13,D27))</f>
        <v/>
      </c>
      <c r="M27" s="24" t="str">
        <f t="shared" si="4"/>
        <v/>
      </c>
      <c r="N27" s="25" t="str">
        <f t="shared" si="5"/>
        <v/>
      </c>
      <c r="O27" s="26">
        <f>IF(D27=2025,IFERROR(VLOOKUP(A27,OFFICIAL_ALLOCATIONS!$A$2:$F$111,5,FALSE),""),IFERROR(VLOOKUP(A27,OFFICIAL_ALLOCATIONS!$A$2:$F$111,6,FALSE),""))</f>
        <v>12989265</v>
      </c>
      <c r="P27" s="42" t="str">
        <f t="shared" si="6"/>
        <v/>
      </c>
      <c r="Q27" s="28" t="str">
        <f t="shared" si="7"/>
        <v/>
      </c>
      <c r="R27" s="5" t="str">
        <f t="shared" si="8"/>
        <v>MISSING HISTORICAL DATA</v>
      </c>
      <c r="S27" s="5" t="s">
        <v>179</v>
      </c>
      <c r="T27" s="5" t="s">
        <v>59</v>
      </c>
    </row>
    <row r="28" ht="15.75" customHeight="1">
      <c r="A28" s="3" t="s">
        <v>986</v>
      </c>
      <c r="B28" s="3" t="s">
        <v>151</v>
      </c>
      <c r="C28" s="3" t="s">
        <v>41</v>
      </c>
      <c r="D28" s="9">
        <v>2025.0</v>
      </c>
      <c r="E28" s="9">
        <f t="shared" si="1"/>
        <v>2022</v>
      </c>
      <c r="F28" s="9">
        <f t="shared" si="2"/>
        <v>2024</v>
      </c>
      <c r="G28" s="31" t="str">
        <f>IF(COUNTIFS(HISTORICAL_DATA!$A$2:$A$441,$A28,HISTORICAL_DATA!$D$2:$D$441,"&gt;="&amp;$E28,HISTORICAL_DATA!$D$2:$D$441,"&lt;="&amp;$F28,HISTORICAL_DATA!$E$2:$E$441,"&lt;&gt;")&lt;3,"",SUMIFS(HISTORICAL_DATA!$E$2:$E$441,HISTORICAL_DATA!$A$2:$A$441,$A28,HISTORICAL_DATA!$D$2:$D$441,"&gt;="&amp;$E28,HISTORICAL_DATA!$D$2:$D$441,"&lt;="&amp;$F28)/3)</f>
        <v/>
      </c>
      <c r="H28" s="31" t="str">
        <f>IF(COUNTIFS(HISTORICAL_DATA!$A$2:$A$441,$A28,HISTORICAL_DATA!$D$2:$D$441,"&gt;="&amp;$E28,HISTORICAL_DATA!$D$2:$D$441,"&lt;="&amp;$F28,HISTORICAL_DATA!$G$2:$G$441,"&lt;&gt;")&lt;3,"",SUMIFS(HISTORICAL_DATA!$G$2:$G$441,HISTORICAL_DATA!$A$2:$A$441,$A28,HISTORICAL_DATA!$D$2:$D$441,"&gt;="&amp;$E28,HISTORICAL_DATA!$D$2:$D$441,"&lt;="&amp;$F28)/3)</f>
        <v/>
      </c>
      <c r="I28" s="31" t="str">
        <f>IF(OR(G28="",H28=""),"FACILITY DATA MISSING",IF(AND(COUNTIFS($C$2:$C$221,C28,$D$2:$D$221,D28,$G$2:$G$221,"&lt;&gt;")=COUNTIF(OFFICIAL_ALLOCATIONS!$C$2:$C$111,C28),COUNTIFS($C$2:$C$221,C28,$D$2:$D$221,D28,$H$2:$H$221,"&lt;&gt;")=COUNTIF(OFFICIAL_ALLOCATIONS!$C$2:$C$111,C28)),"COMPLETE","SECTOR DATA INCOMPLETE"))</f>
        <v>FACILITY DATA MISSING</v>
      </c>
      <c r="J28" s="9" t="str">
        <f t="shared" si="3"/>
        <v/>
      </c>
      <c r="K28" s="23" t="str">
        <f>IF(COUNTIFS(POLICY_PARAMETERS!$B$2:$B$13,"g",POLICY_PARAMETERS!$E$2:$E$13,C28,POLICY_PARAMETERS!$F$2:$F$13,D28,POLICY_PARAMETERS!$G$2:$G$13,"&lt;&gt;")=0,"",SUMIFS(POLICY_PARAMETERS!$G$2:$G$13,POLICY_PARAMETERS!$B$2:$B$13,"g",POLICY_PARAMETERS!$E$2:$E$13,C28,POLICY_PARAMETERS!$F$2:$F$13,D28))</f>
        <v/>
      </c>
      <c r="L28" s="23" t="str">
        <f>IF(COUNTIFS(POLICY_PARAMETERS!$B$2:$B$13,"r",POLICY_PARAMETERS!$E$2:$E$13,C28,POLICY_PARAMETERS!$F$2:$F$13,D28,POLICY_PARAMETERS!$G$2:$G$13,"&lt;&gt;")=0,"",SUMIFS(POLICY_PARAMETERS!$G$2:$G$13,POLICY_PARAMETERS!$B$2:$B$13,"r",POLICY_PARAMETERS!$E$2:$E$13,C28,POLICY_PARAMETERS!$F$2:$F$13,D28))</f>
        <v/>
      </c>
      <c r="M28" s="24" t="str">
        <f t="shared" si="4"/>
        <v/>
      </c>
      <c r="N28" s="25" t="str">
        <f t="shared" si="5"/>
        <v/>
      </c>
      <c r="O28" s="26">
        <f>IF(D28=2025,IFERROR(VLOOKUP(A28,OFFICIAL_ALLOCATIONS!$A$2:$F$111,5,FALSE),""),IFERROR(VLOOKUP(A28,OFFICIAL_ALLOCATIONS!$A$2:$F$111,6,FALSE),""))</f>
        <v>10530658</v>
      </c>
      <c r="P28" s="42" t="str">
        <f t="shared" si="6"/>
        <v/>
      </c>
      <c r="Q28" s="28" t="str">
        <f t="shared" si="7"/>
        <v/>
      </c>
      <c r="R28" s="5" t="str">
        <f t="shared" si="8"/>
        <v>MISSING HISTORICAL DATA</v>
      </c>
      <c r="S28" s="5" t="s">
        <v>179</v>
      </c>
      <c r="T28" s="5" t="s">
        <v>59</v>
      </c>
    </row>
    <row r="29" ht="15.75" customHeight="1">
      <c r="A29" s="3" t="s">
        <v>986</v>
      </c>
      <c r="B29" s="3" t="s">
        <v>151</v>
      </c>
      <c r="C29" s="3" t="s">
        <v>41</v>
      </c>
      <c r="D29" s="9">
        <v>2026.0</v>
      </c>
      <c r="E29" s="9">
        <f t="shared" si="1"/>
        <v>2023</v>
      </c>
      <c r="F29" s="9">
        <f t="shared" si="2"/>
        <v>2025</v>
      </c>
      <c r="G29" s="31" t="str">
        <f>IF(COUNTIFS(HISTORICAL_DATA!$A$2:$A$441,$A29,HISTORICAL_DATA!$D$2:$D$441,"&gt;="&amp;$E29,HISTORICAL_DATA!$D$2:$D$441,"&lt;="&amp;$F29,HISTORICAL_DATA!$E$2:$E$441,"&lt;&gt;")&lt;3,"",SUMIFS(HISTORICAL_DATA!$E$2:$E$441,HISTORICAL_DATA!$A$2:$A$441,$A29,HISTORICAL_DATA!$D$2:$D$441,"&gt;="&amp;$E29,HISTORICAL_DATA!$D$2:$D$441,"&lt;="&amp;$F29)/3)</f>
        <v/>
      </c>
      <c r="H29" s="31" t="str">
        <f>IF(COUNTIFS(HISTORICAL_DATA!$A$2:$A$441,$A29,HISTORICAL_DATA!$D$2:$D$441,"&gt;="&amp;$E29,HISTORICAL_DATA!$D$2:$D$441,"&lt;="&amp;$F29,HISTORICAL_DATA!$G$2:$G$441,"&lt;&gt;")&lt;3,"",SUMIFS(HISTORICAL_DATA!$G$2:$G$441,HISTORICAL_DATA!$A$2:$A$441,$A29,HISTORICAL_DATA!$D$2:$D$441,"&gt;="&amp;$E29,HISTORICAL_DATA!$D$2:$D$441,"&lt;="&amp;$F29)/3)</f>
        <v/>
      </c>
      <c r="I29" s="31" t="str">
        <f>IF(OR(G29="",H29=""),"FACILITY DATA MISSING",IF(AND(COUNTIFS($C$2:$C$221,C29,$D$2:$D$221,D29,$G$2:$G$221,"&lt;&gt;")=COUNTIF(OFFICIAL_ALLOCATIONS!$C$2:$C$111,C29),COUNTIFS($C$2:$C$221,C29,$D$2:$D$221,D29,$H$2:$H$221,"&lt;&gt;")=COUNTIF(OFFICIAL_ALLOCATIONS!$C$2:$C$111,C29)),"COMPLETE","SECTOR DATA INCOMPLETE"))</f>
        <v>FACILITY DATA MISSING</v>
      </c>
      <c r="J29" s="9" t="str">
        <f t="shared" si="3"/>
        <v/>
      </c>
      <c r="K29" s="23" t="str">
        <f>IF(COUNTIFS(POLICY_PARAMETERS!$B$2:$B$13,"g",POLICY_PARAMETERS!$E$2:$E$13,C29,POLICY_PARAMETERS!$F$2:$F$13,D29,POLICY_PARAMETERS!$G$2:$G$13,"&lt;&gt;")=0,"",SUMIFS(POLICY_PARAMETERS!$G$2:$G$13,POLICY_PARAMETERS!$B$2:$B$13,"g",POLICY_PARAMETERS!$E$2:$E$13,C29,POLICY_PARAMETERS!$F$2:$F$13,D29))</f>
        <v/>
      </c>
      <c r="L29" s="23" t="str">
        <f>IF(COUNTIFS(POLICY_PARAMETERS!$B$2:$B$13,"r",POLICY_PARAMETERS!$E$2:$E$13,C29,POLICY_PARAMETERS!$F$2:$F$13,D29,POLICY_PARAMETERS!$G$2:$G$13,"&lt;&gt;")=0,"",SUMIFS(POLICY_PARAMETERS!$G$2:$G$13,POLICY_PARAMETERS!$B$2:$B$13,"r",POLICY_PARAMETERS!$E$2:$E$13,C29,POLICY_PARAMETERS!$F$2:$F$13,D29))</f>
        <v/>
      </c>
      <c r="M29" s="24" t="str">
        <f t="shared" si="4"/>
        <v/>
      </c>
      <c r="N29" s="25" t="str">
        <f t="shared" si="5"/>
        <v/>
      </c>
      <c r="O29" s="26">
        <f>IF(D29=2025,IFERROR(VLOOKUP(A29,OFFICIAL_ALLOCATIONS!$A$2:$F$111,5,FALSE),""),IFERROR(VLOOKUP(A29,OFFICIAL_ALLOCATIONS!$A$2:$F$111,6,FALSE),""))</f>
        <v>11536648</v>
      </c>
      <c r="P29" s="42" t="str">
        <f t="shared" si="6"/>
        <v/>
      </c>
      <c r="Q29" s="28" t="str">
        <f t="shared" si="7"/>
        <v/>
      </c>
      <c r="R29" s="5" t="str">
        <f t="shared" si="8"/>
        <v>MISSING HISTORICAL DATA</v>
      </c>
      <c r="S29" s="5" t="s">
        <v>179</v>
      </c>
      <c r="T29" s="5" t="s">
        <v>59</v>
      </c>
    </row>
    <row r="30" ht="15.75" customHeight="1">
      <c r="A30" s="3" t="s">
        <v>987</v>
      </c>
      <c r="B30" s="3" t="s">
        <v>153</v>
      </c>
      <c r="C30" s="3" t="s">
        <v>41</v>
      </c>
      <c r="D30" s="9">
        <v>2025.0</v>
      </c>
      <c r="E30" s="9">
        <f t="shared" si="1"/>
        <v>2022</v>
      </c>
      <c r="F30" s="9">
        <f t="shared" si="2"/>
        <v>2024</v>
      </c>
      <c r="G30" s="31" t="str">
        <f>IF(COUNTIFS(HISTORICAL_DATA!$A$2:$A$441,$A30,HISTORICAL_DATA!$D$2:$D$441,"&gt;="&amp;$E30,HISTORICAL_DATA!$D$2:$D$441,"&lt;="&amp;$F30,HISTORICAL_DATA!$E$2:$E$441,"&lt;&gt;")&lt;3,"",SUMIFS(HISTORICAL_DATA!$E$2:$E$441,HISTORICAL_DATA!$A$2:$A$441,$A30,HISTORICAL_DATA!$D$2:$D$441,"&gt;="&amp;$E30,HISTORICAL_DATA!$D$2:$D$441,"&lt;="&amp;$F30)/3)</f>
        <v/>
      </c>
      <c r="H30" s="31" t="str">
        <f>IF(COUNTIFS(HISTORICAL_DATA!$A$2:$A$441,$A30,HISTORICAL_DATA!$D$2:$D$441,"&gt;="&amp;$E30,HISTORICAL_DATA!$D$2:$D$441,"&lt;="&amp;$F30,HISTORICAL_DATA!$G$2:$G$441,"&lt;&gt;")&lt;3,"",SUMIFS(HISTORICAL_DATA!$G$2:$G$441,HISTORICAL_DATA!$A$2:$A$441,$A30,HISTORICAL_DATA!$D$2:$D$441,"&gt;="&amp;$E30,HISTORICAL_DATA!$D$2:$D$441,"&lt;="&amp;$F30)/3)</f>
        <v/>
      </c>
      <c r="I30" s="31" t="str">
        <f>IF(OR(G30="",H30=""),"FACILITY DATA MISSING",IF(AND(COUNTIFS($C$2:$C$221,C30,$D$2:$D$221,D30,$G$2:$G$221,"&lt;&gt;")=COUNTIF(OFFICIAL_ALLOCATIONS!$C$2:$C$111,C30),COUNTIFS($C$2:$C$221,C30,$D$2:$D$221,D30,$H$2:$H$221,"&lt;&gt;")=COUNTIF(OFFICIAL_ALLOCATIONS!$C$2:$C$111,C30)),"COMPLETE","SECTOR DATA INCOMPLETE"))</f>
        <v>FACILITY DATA MISSING</v>
      </c>
      <c r="J30" s="9" t="str">
        <f t="shared" si="3"/>
        <v/>
      </c>
      <c r="K30" s="23" t="str">
        <f>IF(COUNTIFS(POLICY_PARAMETERS!$B$2:$B$13,"g",POLICY_PARAMETERS!$E$2:$E$13,C30,POLICY_PARAMETERS!$F$2:$F$13,D30,POLICY_PARAMETERS!$G$2:$G$13,"&lt;&gt;")=0,"",SUMIFS(POLICY_PARAMETERS!$G$2:$G$13,POLICY_PARAMETERS!$B$2:$B$13,"g",POLICY_PARAMETERS!$E$2:$E$13,C30,POLICY_PARAMETERS!$F$2:$F$13,D30))</f>
        <v/>
      </c>
      <c r="L30" s="23" t="str">
        <f>IF(COUNTIFS(POLICY_PARAMETERS!$B$2:$B$13,"r",POLICY_PARAMETERS!$E$2:$E$13,C30,POLICY_PARAMETERS!$F$2:$F$13,D30,POLICY_PARAMETERS!$G$2:$G$13,"&lt;&gt;")=0,"",SUMIFS(POLICY_PARAMETERS!$G$2:$G$13,POLICY_PARAMETERS!$B$2:$B$13,"r",POLICY_PARAMETERS!$E$2:$E$13,C30,POLICY_PARAMETERS!$F$2:$F$13,D30))</f>
        <v/>
      </c>
      <c r="M30" s="24" t="str">
        <f t="shared" si="4"/>
        <v/>
      </c>
      <c r="N30" s="25" t="str">
        <f t="shared" si="5"/>
        <v/>
      </c>
      <c r="O30" s="26">
        <f>IF(D30=2025,IFERROR(VLOOKUP(A30,OFFICIAL_ALLOCATIONS!$A$2:$F$111,5,FALSE),""),IFERROR(VLOOKUP(A30,OFFICIAL_ALLOCATIONS!$A$2:$F$111,6,FALSE),""))</f>
        <v>8528067</v>
      </c>
      <c r="P30" s="42" t="str">
        <f t="shared" si="6"/>
        <v/>
      </c>
      <c r="Q30" s="28" t="str">
        <f t="shared" si="7"/>
        <v/>
      </c>
      <c r="R30" s="5" t="str">
        <f t="shared" si="8"/>
        <v>MISSING HISTORICAL DATA</v>
      </c>
      <c r="S30" s="5" t="s">
        <v>179</v>
      </c>
      <c r="T30" s="5" t="s">
        <v>59</v>
      </c>
    </row>
    <row r="31" ht="15.75" customHeight="1">
      <c r="A31" s="3" t="s">
        <v>987</v>
      </c>
      <c r="B31" s="3" t="s">
        <v>153</v>
      </c>
      <c r="C31" s="3" t="s">
        <v>41</v>
      </c>
      <c r="D31" s="9">
        <v>2026.0</v>
      </c>
      <c r="E31" s="9">
        <f t="shared" si="1"/>
        <v>2023</v>
      </c>
      <c r="F31" s="9">
        <f t="shared" si="2"/>
        <v>2025</v>
      </c>
      <c r="G31" s="31" t="str">
        <f>IF(COUNTIFS(HISTORICAL_DATA!$A$2:$A$441,$A31,HISTORICAL_DATA!$D$2:$D$441,"&gt;="&amp;$E31,HISTORICAL_DATA!$D$2:$D$441,"&lt;="&amp;$F31,HISTORICAL_DATA!$E$2:$E$441,"&lt;&gt;")&lt;3,"",SUMIFS(HISTORICAL_DATA!$E$2:$E$441,HISTORICAL_DATA!$A$2:$A$441,$A31,HISTORICAL_DATA!$D$2:$D$441,"&gt;="&amp;$E31,HISTORICAL_DATA!$D$2:$D$441,"&lt;="&amp;$F31)/3)</f>
        <v/>
      </c>
      <c r="H31" s="31" t="str">
        <f>IF(COUNTIFS(HISTORICAL_DATA!$A$2:$A$441,$A31,HISTORICAL_DATA!$D$2:$D$441,"&gt;="&amp;$E31,HISTORICAL_DATA!$D$2:$D$441,"&lt;="&amp;$F31,HISTORICAL_DATA!$G$2:$G$441,"&lt;&gt;")&lt;3,"",SUMIFS(HISTORICAL_DATA!$G$2:$G$441,HISTORICAL_DATA!$A$2:$A$441,$A31,HISTORICAL_DATA!$D$2:$D$441,"&gt;="&amp;$E31,HISTORICAL_DATA!$D$2:$D$441,"&lt;="&amp;$F31)/3)</f>
        <v/>
      </c>
      <c r="I31" s="31" t="str">
        <f>IF(OR(G31="",H31=""),"FACILITY DATA MISSING",IF(AND(COUNTIFS($C$2:$C$221,C31,$D$2:$D$221,D31,$G$2:$G$221,"&lt;&gt;")=COUNTIF(OFFICIAL_ALLOCATIONS!$C$2:$C$111,C31),COUNTIFS($C$2:$C$221,C31,$D$2:$D$221,D31,$H$2:$H$221,"&lt;&gt;")=COUNTIF(OFFICIAL_ALLOCATIONS!$C$2:$C$111,C31)),"COMPLETE","SECTOR DATA INCOMPLETE"))</f>
        <v>FACILITY DATA MISSING</v>
      </c>
      <c r="J31" s="9" t="str">
        <f t="shared" si="3"/>
        <v/>
      </c>
      <c r="K31" s="23" t="str">
        <f>IF(COUNTIFS(POLICY_PARAMETERS!$B$2:$B$13,"g",POLICY_PARAMETERS!$E$2:$E$13,C31,POLICY_PARAMETERS!$F$2:$F$13,D31,POLICY_PARAMETERS!$G$2:$G$13,"&lt;&gt;")=0,"",SUMIFS(POLICY_PARAMETERS!$G$2:$G$13,POLICY_PARAMETERS!$B$2:$B$13,"g",POLICY_PARAMETERS!$E$2:$E$13,C31,POLICY_PARAMETERS!$F$2:$F$13,D31))</f>
        <v/>
      </c>
      <c r="L31" s="23" t="str">
        <f>IF(COUNTIFS(POLICY_PARAMETERS!$B$2:$B$13,"r",POLICY_PARAMETERS!$E$2:$E$13,C31,POLICY_PARAMETERS!$F$2:$F$13,D31,POLICY_PARAMETERS!$G$2:$G$13,"&lt;&gt;")=0,"",SUMIFS(POLICY_PARAMETERS!$G$2:$G$13,POLICY_PARAMETERS!$B$2:$B$13,"r",POLICY_PARAMETERS!$E$2:$E$13,C31,POLICY_PARAMETERS!$F$2:$F$13,D31))</f>
        <v/>
      </c>
      <c r="M31" s="24" t="str">
        <f t="shared" si="4"/>
        <v/>
      </c>
      <c r="N31" s="25" t="str">
        <f t="shared" si="5"/>
        <v/>
      </c>
      <c r="O31" s="26">
        <f>IF(D31=2025,IFERROR(VLOOKUP(A31,OFFICIAL_ALLOCATIONS!$A$2:$F$111,5,FALSE),""),IFERROR(VLOOKUP(A31,OFFICIAL_ALLOCATIONS!$A$2:$F$111,6,FALSE),""))</f>
        <v>9342750</v>
      </c>
      <c r="P31" s="42" t="str">
        <f t="shared" si="6"/>
        <v/>
      </c>
      <c r="Q31" s="28" t="str">
        <f t="shared" si="7"/>
        <v/>
      </c>
      <c r="R31" s="5" t="str">
        <f t="shared" si="8"/>
        <v>MISSING HISTORICAL DATA</v>
      </c>
      <c r="S31" s="5" t="s">
        <v>179</v>
      </c>
      <c r="T31" s="5" t="s">
        <v>59</v>
      </c>
    </row>
    <row r="32" ht="15.75" customHeight="1">
      <c r="A32" s="3" t="s">
        <v>988</v>
      </c>
      <c r="B32" s="3" t="s">
        <v>155</v>
      </c>
      <c r="C32" s="3" t="s">
        <v>41</v>
      </c>
      <c r="D32" s="9">
        <v>2025.0</v>
      </c>
      <c r="E32" s="9">
        <f t="shared" si="1"/>
        <v>2022</v>
      </c>
      <c r="F32" s="9">
        <f t="shared" si="2"/>
        <v>2024</v>
      </c>
      <c r="G32" s="31" t="str">
        <f>IF(COUNTIFS(HISTORICAL_DATA!$A$2:$A$441,$A32,HISTORICAL_DATA!$D$2:$D$441,"&gt;="&amp;$E32,HISTORICAL_DATA!$D$2:$D$441,"&lt;="&amp;$F32,HISTORICAL_DATA!$E$2:$E$441,"&lt;&gt;")&lt;3,"",SUMIFS(HISTORICAL_DATA!$E$2:$E$441,HISTORICAL_DATA!$A$2:$A$441,$A32,HISTORICAL_DATA!$D$2:$D$441,"&gt;="&amp;$E32,HISTORICAL_DATA!$D$2:$D$441,"&lt;="&amp;$F32)/3)</f>
        <v/>
      </c>
      <c r="H32" s="31" t="str">
        <f>IF(COUNTIFS(HISTORICAL_DATA!$A$2:$A$441,$A32,HISTORICAL_DATA!$D$2:$D$441,"&gt;="&amp;$E32,HISTORICAL_DATA!$D$2:$D$441,"&lt;="&amp;$F32,HISTORICAL_DATA!$G$2:$G$441,"&lt;&gt;")&lt;3,"",SUMIFS(HISTORICAL_DATA!$G$2:$G$441,HISTORICAL_DATA!$A$2:$A$441,$A32,HISTORICAL_DATA!$D$2:$D$441,"&gt;="&amp;$E32,HISTORICAL_DATA!$D$2:$D$441,"&lt;="&amp;$F32)/3)</f>
        <v/>
      </c>
      <c r="I32" s="31" t="str">
        <f>IF(OR(G32="",H32=""),"FACILITY DATA MISSING",IF(AND(COUNTIFS($C$2:$C$221,C32,$D$2:$D$221,D32,$G$2:$G$221,"&lt;&gt;")=COUNTIF(OFFICIAL_ALLOCATIONS!$C$2:$C$111,C32),COUNTIFS($C$2:$C$221,C32,$D$2:$D$221,D32,$H$2:$H$221,"&lt;&gt;")=COUNTIF(OFFICIAL_ALLOCATIONS!$C$2:$C$111,C32)),"COMPLETE","SECTOR DATA INCOMPLETE"))</f>
        <v>FACILITY DATA MISSING</v>
      </c>
      <c r="J32" s="9" t="str">
        <f t="shared" si="3"/>
        <v/>
      </c>
      <c r="K32" s="23" t="str">
        <f>IF(COUNTIFS(POLICY_PARAMETERS!$B$2:$B$13,"g",POLICY_PARAMETERS!$E$2:$E$13,C32,POLICY_PARAMETERS!$F$2:$F$13,D32,POLICY_PARAMETERS!$G$2:$G$13,"&lt;&gt;")=0,"",SUMIFS(POLICY_PARAMETERS!$G$2:$G$13,POLICY_PARAMETERS!$B$2:$B$13,"g",POLICY_PARAMETERS!$E$2:$E$13,C32,POLICY_PARAMETERS!$F$2:$F$13,D32))</f>
        <v/>
      </c>
      <c r="L32" s="23" t="str">
        <f>IF(COUNTIFS(POLICY_PARAMETERS!$B$2:$B$13,"r",POLICY_PARAMETERS!$E$2:$E$13,C32,POLICY_PARAMETERS!$F$2:$F$13,D32,POLICY_PARAMETERS!$G$2:$G$13,"&lt;&gt;")=0,"",SUMIFS(POLICY_PARAMETERS!$G$2:$G$13,POLICY_PARAMETERS!$B$2:$B$13,"r",POLICY_PARAMETERS!$E$2:$E$13,C32,POLICY_PARAMETERS!$F$2:$F$13,D32))</f>
        <v/>
      </c>
      <c r="M32" s="24" t="str">
        <f t="shared" si="4"/>
        <v/>
      </c>
      <c r="N32" s="25" t="str">
        <f t="shared" si="5"/>
        <v/>
      </c>
      <c r="O32" s="26">
        <f>IF(D32=2025,IFERROR(VLOOKUP(A32,OFFICIAL_ALLOCATIONS!$A$2:$F$111,5,FALSE),""),IFERROR(VLOOKUP(A32,OFFICIAL_ALLOCATIONS!$A$2:$F$111,6,FALSE),""))</f>
        <v>21460</v>
      </c>
      <c r="P32" s="42" t="str">
        <f t="shared" si="6"/>
        <v/>
      </c>
      <c r="Q32" s="28" t="str">
        <f t="shared" si="7"/>
        <v/>
      </c>
      <c r="R32" s="5" t="str">
        <f t="shared" si="8"/>
        <v>MISSING HISTORICAL DATA</v>
      </c>
      <c r="S32" s="5" t="s">
        <v>179</v>
      </c>
      <c r="T32" s="5" t="s">
        <v>59</v>
      </c>
    </row>
    <row r="33" ht="15.75" customHeight="1">
      <c r="A33" s="3" t="s">
        <v>988</v>
      </c>
      <c r="B33" s="3" t="s">
        <v>155</v>
      </c>
      <c r="C33" s="3" t="s">
        <v>41</v>
      </c>
      <c r="D33" s="9">
        <v>2026.0</v>
      </c>
      <c r="E33" s="9">
        <f t="shared" si="1"/>
        <v>2023</v>
      </c>
      <c r="F33" s="9">
        <f t="shared" si="2"/>
        <v>2025</v>
      </c>
      <c r="G33" s="31" t="str">
        <f>IF(COUNTIFS(HISTORICAL_DATA!$A$2:$A$441,$A33,HISTORICAL_DATA!$D$2:$D$441,"&gt;="&amp;$E33,HISTORICAL_DATA!$D$2:$D$441,"&lt;="&amp;$F33,HISTORICAL_DATA!$E$2:$E$441,"&lt;&gt;")&lt;3,"",SUMIFS(HISTORICAL_DATA!$E$2:$E$441,HISTORICAL_DATA!$A$2:$A$441,$A33,HISTORICAL_DATA!$D$2:$D$441,"&gt;="&amp;$E33,HISTORICAL_DATA!$D$2:$D$441,"&lt;="&amp;$F33)/3)</f>
        <v/>
      </c>
      <c r="H33" s="31" t="str">
        <f>IF(COUNTIFS(HISTORICAL_DATA!$A$2:$A$441,$A33,HISTORICAL_DATA!$D$2:$D$441,"&gt;="&amp;$E33,HISTORICAL_DATA!$D$2:$D$441,"&lt;="&amp;$F33,HISTORICAL_DATA!$G$2:$G$441,"&lt;&gt;")&lt;3,"",SUMIFS(HISTORICAL_DATA!$G$2:$G$441,HISTORICAL_DATA!$A$2:$A$441,$A33,HISTORICAL_DATA!$D$2:$D$441,"&gt;="&amp;$E33,HISTORICAL_DATA!$D$2:$D$441,"&lt;="&amp;$F33)/3)</f>
        <v/>
      </c>
      <c r="I33" s="31" t="str">
        <f>IF(OR(G33="",H33=""),"FACILITY DATA MISSING",IF(AND(COUNTIFS($C$2:$C$221,C33,$D$2:$D$221,D33,$G$2:$G$221,"&lt;&gt;")=COUNTIF(OFFICIAL_ALLOCATIONS!$C$2:$C$111,C33),COUNTIFS($C$2:$C$221,C33,$D$2:$D$221,D33,$H$2:$H$221,"&lt;&gt;")=COUNTIF(OFFICIAL_ALLOCATIONS!$C$2:$C$111,C33)),"COMPLETE","SECTOR DATA INCOMPLETE"))</f>
        <v>FACILITY DATA MISSING</v>
      </c>
      <c r="J33" s="9" t="str">
        <f t="shared" si="3"/>
        <v/>
      </c>
      <c r="K33" s="23" t="str">
        <f>IF(COUNTIFS(POLICY_PARAMETERS!$B$2:$B$13,"g",POLICY_PARAMETERS!$E$2:$E$13,C33,POLICY_PARAMETERS!$F$2:$F$13,D33,POLICY_PARAMETERS!$G$2:$G$13,"&lt;&gt;")=0,"",SUMIFS(POLICY_PARAMETERS!$G$2:$G$13,POLICY_PARAMETERS!$B$2:$B$13,"g",POLICY_PARAMETERS!$E$2:$E$13,C33,POLICY_PARAMETERS!$F$2:$F$13,D33))</f>
        <v/>
      </c>
      <c r="L33" s="23" t="str">
        <f>IF(COUNTIFS(POLICY_PARAMETERS!$B$2:$B$13,"r",POLICY_PARAMETERS!$E$2:$E$13,C33,POLICY_PARAMETERS!$F$2:$F$13,D33,POLICY_PARAMETERS!$G$2:$G$13,"&lt;&gt;")=0,"",SUMIFS(POLICY_PARAMETERS!$G$2:$G$13,POLICY_PARAMETERS!$B$2:$B$13,"r",POLICY_PARAMETERS!$E$2:$E$13,C33,POLICY_PARAMETERS!$F$2:$F$13,D33))</f>
        <v/>
      </c>
      <c r="M33" s="24" t="str">
        <f t="shared" si="4"/>
        <v/>
      </c>
      <c r="N33" s="25" t="str">
        <f t="shared" si="5"/>
        <v/>
      </c>
      <c r="O33" s="26">
        <f>IF(D33=2025,IFERROR(VLOOKUP(A33,OFFICIAL_ALLOCATIONS!$A$2:$F$111,5,FALSE),""),IFERROR(VLOOKUP(A33,OFFICIAL_ALLOCATIONS!$A$2:$F$111,6,FALSE),""))</f>
        <v>23510</v>
      </c>
      <c r="P33" s="42" t="str">
        <f t="shared" si="6"/>
        <v/>
      </c>
      <c r="Q33" s="28" t="str">
        <f t="shared" si="7"/>
        <v/>
      </c>
      <c r="R33" s="5" t="str">
        <f t="shared" si="8"/>
        <v>MISSING HISTORICAL DATA</v>
      </c>
      <c r="S33" s="5" t="s">
        <v>179</v>
      </c>
      <c r="T33" s="5" t="s">
        <v>59</v>
      </c>
    </row>
    <row r="34" ht="15.75" customHeight="1">
      <c r="A34" s="3" t="s">
        <v>989</v>
      </c>
      <c r="B34" s="3" t="s">
        <v>157</v>
      </c>
      <c r="C34" s="3" t="s">
        <v>41</v>
      </c>
      <c r="D34" s="9">
        <v>2025.0</v>
      </c>
      <c r="E34" s="9">
        <f t="shared" si="1"/>
        <v>2022</v>
      </c>
      <c r="F34" s="9">
        <f t="shared" si="2"/>
        <v>2024</v>
      </c>
      <c r="G34" s="31" t="str">
        <f>IF(COUNTIFS(HISTORICAL_DATA!$A$2:$A$441,$A34,HISTORICAL_DATA!$D$2:$D$441,"&gt;="&amp;$E34,HISTORICAL_DATA!$D$2:$D$441,"&lt;="&amp;$F34,HISTORICAL_DATA!$E$2:$E$441,"&lt;&gt;")&lt;3,"",SUMIFS(HISTORICAL_DATA!$E$2:$E$441,HISTORICAL_DATA!$A$2:$A$441,$A34,HISTORICAL_DATA!$D$2:$D$441,"&gt;="&amp;$E34,HISTORICAL_DATA!$D$2:$D$441,"&lt;="&amp;$F34)/3)</f>
        <v/>
      </c>
      <c r="H34" s="31" t="str">
        <f>IF(COUNTIFS(HISTORICAL_DATA!$A$2:$A$441,$A34,HISTORICAL_DATA!$D$2:$D$441,"&gt;="&amp;$E34,HISTORICAL_DATA!$D$2:$D$441,"&lt;="&amp;$F34,HISTORICAL_DATA!$G$2:$G$441,"&lt;&gt;")&lt;3,"",SUMIFS(HISTORICAL_DATA!$G$2:$G$441,HISTORICAL_DATA!$A$2:$A$441,$A34,HISTORICAL_DATA!$D$2:$D$441,"&gt;="&amp;$E34,HISTORICAL_DATA!$D$2:$D$441,"&lt;="&amp;$F34)/3)</f>
        <v/>
      </c>
      <c r="I34" s="31" t="str">
        <f>IF(OR(G34="",H34=""),"FACILITY DATA MISSING",IF(AND(COUNTIFS($C$2:$C$221,C34,$D$2:$D$221,D34,$G$2:$G$221,"&lt;&gt;")=COUNTIF(OFFICIAL_ALLOCATIONS!$C$2:$C$111,C34),COUNTIFS($C$2:$C$221,C34,$D$2:$D$221,D34,$H$2:$H$221,"&lt;&gt;")=COUNTIF(OFFICIAL_ALLOCATIONS!$C$2:$C$111,C34)),"COMPLETE","SECTOR DATA INCOMPLETE"))</f>
        <v>FACILITY DATA MISSING</v>
      </c>
      <c r="J34" s="9" t="str">
        <f t="shared" si="3"/>
        <v/>
      </c>
      <c r="K34" s="23" t="str">
        <f>IF(COUNTIFS(POLICY_PARAMETERS!$B$2:$B$13,"g",POLICY_PARAMETERS!$E$2:$E$13,C34,POLICY_PARAMETERS!$F$2:$F$13,D34,POLICY_PARAMETERS!$G$2:$G$13,"&lt;&gt;")=0,"",SUMIFS(POLICY_PARAMETERS!$G$2:$G$13,POLICY_PARAMETERS!$B$2:$B$13,"g",POLICY_PARAMETERS!$E$2:$E$13,C34,POLICY_PARAMETERS!$F$2:$F$13,D34))</f>
        <v/>
      </c>
      <c r="L34" s="23" t="str">
        <f>IF(COUNTIFS(POLICY_PARAMETERS!$B$2:$B$13,"r",POLICY_PARAMETERS!$E$2:$E$13,C34,POLICY_PARAMETERS!$F$2:$F$13,D34,POLICY_PARAMETERS!$G$2:$G$13,"&lt;&gt;")=0,"",SUMIFS(POLICY_PARAMETERS!$G$2:$G$13,POLICY_PARAMETERS!$B$2:$B$13,"r",POLICY_PARAMETERS!$E$2:$E$13,C34,POLICY_PARAMETERS!$F$2:$F$13,D34))</f>
        <v/>
      </c>
      <c r="M34" s="24" t="str">
        <f t="shared" si="4"/>
        <v/>
      </c>
      <c r="N34" s="25" t="str">
        <f t="shared" si="5"/>
        <v/>
      </c>
      <c r="O34" s="26">
        <f>IF(D34=2025,IFERROR(VLOOKUP(A34,OFFICIAL_ALLOCATIONS!$A$2:$F$111,5,FALSE),""),IFERROR(VLOOKUP(A34,OFFICIAL_ALLOCATIONS!$A$2:$F$111,6,FALSE),""))</f>
        <v>2519925</v>
      </c>
      <c r="P34" s="42" t="str">
        <f t="shared" si="6"/>
        <v/>
      </c>
      <c r="Q34" s="28" t="str">
        <f t="shared" si="7"/>
        <v/>
      </c>
      <c r="R34" s="5" t="str">
        <f t="shared" si="8"/>
        <v>MISSING HISTORICAL DATA</v>
      </c>
      <c r="S34" s="5" t="s">
        <v>179</v>
      </c>
      <c r="T34" s="5" t="s">
        <v>59</v>
      </c>
    </row>
    <row r="35" ht="15.75" customHeight="1">
      <c r="A35" s="3" t="s">
        <v>989</v>
      </c>
      <c r="B35" s="3" t="s">
        <v>157</v>
      </c>
      <c r="C35" s="3" t="s">
        <v>41</v>
      </c>
      <c r="D35" s="9">
        <v>2026.0</v>
      </c>
      <c r="E35" s="9">
        <f t="shared" si="1"/>
        <v>2023</v>
      </c>
      <c r="F35" s="9">
        <f t="shared" si="2"/>
        <v>2025</v>
      </c>
      <c r="G35" s="31" t="str">
        <f>IF(COUNTIFS(HISTORICAL_DATA!$A$2:$A$441,$A35,HISTORICAL_DATA!$D$2:$D$441,"&gt;="&amp;$E35,HISTORICAL_DATA!$D$2:$D$441,"&lt;="&amp;$F35,HISTORICAL_DATA!$E$2:$E$441,"&lt;&gt;")&lt;3,"",SUMIFS(HISTORICAL_DATA!$E$2:$E$441,HISTORICAL_DATA!$A$2:$A$441,$A35,HISTORICAL_DATA!$D$2:$D$441,"&gt;="&amp;$E35,HISTORICAL_DATA!$D$2:$D$441,"&lt;="&amp;$F35)/3)</f>
        <v/>
      </c>
      <c r="H35" s="31" t="str">
        <f>IF(COUNTIFS(HISTORICAL_DATA!$A$2:$A$441,$A35,HISTORICAL_DATA!$D$2:$D$441,"&gt;="&amp;$E35,HISTORICAL_DATA!$D$2:$D$441,"&lt;="&amp;$F35,HISTORICAL_DATA!$G$2:$G$441,"&lt;&gt;")&lt;3,"",SUMIFS(HISTORICAL_DATA!$G$2:$G$441,HISTORICAL_DATA!$A$2:$A$441,$A35,HISTORICAL_DATA!$D$2:$D$441,"&gt;="&amp;$E35,HISTORICAL_DATA!$D$2:$D$441,"&lt;="&amp;$F35)/3)</f>
        <v/>
      </c>
      <c r="I35" s="31" t="str">
        <f>IF(OR(G35="",H35=""),"FACILITY DATA MISSING",IF(AND(COUNTIFS($C$2:$C$221,C35,$D$2:$D$221,D35,$G$2:$G$221,"&lt;&gt;")=COUNTIF(OFFICIAL_ALLOCATIONS!$C$2:$C$111,C35),COUNTIFS($C$2:$C$221,C35,$D$2:$D$221,D35,$H$2:$H$221,"&lt;&gt;")=COUNTIF(OFFICIAL_ALLOCATIONS!$C$2:$C$111,C35)),"COMPLETE","SECTOR DATA INCOMPLETE"))</f>
        <v>FACILITY DATA MISSING</v>
      </c>
      <c r="J35" s="9" t="str">
        <f t="shared" si="3"/>
        <v/>
      </c>
      <c r="K35" s="23" t="str">
        <f>IF(COUNTIFS(POLICY_PARAMETERS!$B$2:$B$13,"g",POLICY_PARAMETERS!$E$2:$E$13,C35,POLICY_PARAMETERS!$F$2:$F$13,D35,POLICY_PARAMETERS!$G$2:$G$13,"&lt;&gt;")=0,"",SUMIFS(POLICY_PARAMETERS!$G$2:$G$13,POLICY_PARAMETERS!$B$2:$B$13,"g",POLICY_PARAMETERS!$E$2:$E$13,C35,POLICY_PARAMETERS!$F$2:$F$13,D35))</f>
        <v/>
      </c>
      <c r="L35" s="23" t="str">
        <f>IF(COUNTIFS(POLICY_PARAMETERS!$B$2:$B$13,"r",POLICY_PARAMETERS!$E$2:$E$13,C35,POLICY_PARAMETERS!$F$2:$F$13,D35,POLICY_PARAMETERS!$G$2:$G$13,"&lt;&gt;")=0,"",SUMIFS(POLICY_PARAMETERS!$G$2:$G$13,POLICY_PARAMETERS!$B$2:$B$13,"r",POLICY_PARAMETERS!$E$2:$E$13,C35,POLICY_PARAMETERS!$F$2:$F$13,D35))</f>
        <v/>
      </c>
      <c r="M35" s="24" t="str">
        <f t="shared" si="4"/>
        <v/>
      </c>
      <c r="N35" s="25" t="str">
        <f t="shared" si="5"/>
        <v/>
      </c>
      <c r="O35" s="26">
        <f>IF(D35=2025,IFERROR(VLOOKUP(A35,OFFICIAL_ALLOCATIONS!$A$2:$F$111,5,FALSE),""),IFERROR(VLOOKUP(A35,OFFICIAL_ALLOCATIONS!$A$2:$F$111,6,FALSE),""))</f>
        <v>2760653</v>
      </c>
      <c r="P35" s="42" t="str">
        <f t="shared" si="6"/>
        <v/>
      </c>
      <c r="Q35" s="28" t="str">
        <f t="shared" si="7"/>
        <v/>
      </c>
      <c r="R35" s="5" t="str">
        <f t="shared" si="8"/>
        <v>MISSING HISTORICAL DATA</v>
      </c>
      <c r="S35" s="5" t="s">
        <v>179</v>
      </c>
      <c r="T35" s="5" t="s">
        <v>59</v>
      </c>
    </row>
    <row r="36" ht="15.75" customHeight="1">
      <c r="A36" s="3" t="s">
        <v>990</v>
      </c>
      <c r="B36" s="3" t="s">
        <v>159</v>
      </c>
      <c r="C36" s="3" t="s">
        <v>41</v>
      </c>
      <c r="D36" s="9">
        <v>2025.0</v>
      </c>
      <c r="E36" s="9">
        <f t="shared" si="1"/>
        <v>2022</v>
      </c>
      <c r="F36" s="9">
        <f t="shared" si="2"/>
        <v>2024</v>
      </c>
      <c r="G36" s="31" t="str">
        <f>IF(COUNTIFS(HISTORICAL_DATA!$A$2:$A$441,$A36,HISTORICAL_DATA!$D$2:$D$441,"&gt;="&amp;$E36,HISTORICAL_DATA!$D$2:$D$441,"&lt;="&amp;$F36,HISTORICAL_DATA!$E$2:$E$441,"&lt;&gt;")&lt;3,"",SUMIFS(HISTORICAL_DATA!$E$2:$E$441,HISTORICAL_DATA!$A$2:$A$441,$A36,HISTORICAL_DATA!$D$2:$D$441,"&gt;="&amp;$E36,HISTORICAL_DATA!$D$2:$D$441,"&lt;="&amp;$F36)/3)</f>
        <v/>
      </c>
      <c r="H36" s="31" t="str">
        <f>IF(COUNTIFS(HISTORICAL_DATA!$A$2:$A$441,$A36,HISTORICAL_DATA!$D$2:$D$441,"&gt;="&amp;$E36,HISTORICAL_DATA!$D$2:$D$441,"&lt;="&amp;$F36,HISTORICAL_DATA!$G$2:$G$441,"&lt;&gt;")&lt;3,"",SUMIFS(HISTORICAL_DATA!$G$2:$G$441,HISTORICAL_DATA!$A$2:$A$441,$A36,HISTORICAL_DATA!$D$2:$D$441,"&gt;="&amp;$E36,HISTORICAL_DATA!$D$2:$D$441,"&lt;="&amp;$F36)/3)</f>
        <v/>
      </c>
      <c r="I36" s="31" t="str">
        <f>IF(OR(G36="",H36=""),"FACILITY DATA MISSING",IF(AND(COUNTIFS($C$2:$C$221,C36,$D$2:$D$221,D36,$G$2:$G$221,"&lt;&gt;")=COUNTIF(OFFICIAL_ALLOCATIONS!$C$2:$C$111,C36),COUNTIFS($C$2:$C$221,C36,$D$2:$D$221,D36,$H$2:$H$221,"&lt;&gt;")=COUNTIF(OFFICIAL_ALLOCATIONS!$C$2:$C$111,C36)),"COMPLETE","SECTOR DATA INCOMPLETE"))</f>
        <v>FACILITY DATA MISSING</v>
      </c>
      <c r="J36" s="9" t="str">
        <f t="shared" si="3"/>
        <v/>
      </c>
      <c r="K36" s="23" t="str">
        <f>IF(COUNTIFS(POLICY_PARAMETERS!$B$2:$B$13,"g",POLICY_PARAMETERS!$E$2:$E$13,C36,POLICY_PARAMETERS!$F$2:$F$13,D36,POLICY_PARAMETERS!$G$2:$G$13,"&lt;&gt;")=0,"",SUMIFS(POLICY_PARAMETERS!$G$2:$G$13,POLICY_PARAMETERS!$B$2:$B$13,"g",POLICY_PARAMETERS!$E$2:$E$13,C36,POLICY_PARAMETERS!$F$2:$F$13,D36))</f>
        <v/>
      </c>
      <c r="L36" s="23" t="str">
        <f>IF(COUNTIFS(POLICY_PARAMETERS!$B$2:$B$13,"r",POLICY_PARAMETERS!$E$2:$E$13,C36,POLICY_PARAMETERS!$F$2:$F$13,D36,POLICY_PARAMETERS!$G$2:$G$13,"&lt;&gt;")=0,"",SUMIFS(POLICY_PARAMETERS!$G$2:$G$13,POLICY_PARAMETERS!$B$2:$B$13,"r",POLICY_PARAMETERS!$E$2:$E$13,C36,POLICY_PARAMETERS!$F$2:$F$13,D36))</f>
        <v/>
      </c>
      <c r="M36" s="24" t="str">
        <f t="shared" si="4"/>
        <v/>
      </c>
      <c r="N36" s="25" t="str">
        <f t="shared" si="5"/>
        <v/>
      </c>
      <c r="O36" s="26">
        <f>IF(D36=2025,IFERROR(VLOOKUP(A36,OFFICIAL_ALLOCATIONS!$A$2:$F$111,5,FALSE),""),IFERROR(VLOOKUP(A36,OFFICIAL_ALLOCATIONS!$A$2:$F$111,6,FALSE),""))</f>
        <v>1079828</v>
      </c>
      <c r="P36" s="42" t="str">
        <f t="shared" si="6"/>
        <v/>
      </c>
      <c r="Q36" s="28" t="str">
        <f t="shared" si="7"/>
        <v/>
      </c>
      <c r="R36" s="5" t="str">
        <f t="shared" si="8"/>
        <v>MISSING HISTORICAL DATA</v>
      </c>
      <c r="S36" s="5" t="s">
        <v>179</v>
      </c>
      <c r="T36" s="5" t="s">
        <v>59</v>
      </c>
    </row>
    <row r="37" ht="15.75" customHeight="1">
      <c r="A37" s="3" t="s">
        <v>990</v>
      </c>
      <c r="B37" s="3" t="s">
        <v>159</v>
      </c>
      <c r="C37" s="3" t="s">
        <v>41</v>
      </c>
      <c r="D37" s="9">
        <v>2026.0</v>
      </c>
      <c r="E37" s="9">
        <f t="shared" si="1"/>
        <v>2023</v>
      </c>
      <c r="F37" s="9">
        <f t="shared" si="2"/>
        <v>2025</v>
      </c>
      <c r="G37" s="31" t="str">
        <f>IF(COUNTIFS(HISTORICAL_DATA!$A$2:$A$441,$A37,HISTORICAL_DATA!$D$2:$D$441,"&gt;="&amp;$E37,HISTORICAL_DATA!$D$2:$D$441,"&lt;="&amp;$F37,HISTORICAL_DATA!$E$2:$E$441,"&lt;&gt;")&lt;3,"",SUMIFS(HISTORICAL_DATA!$E$2:$E$441,HISTORICAL_DATA!$A$2:$A$441,$A37,HISTORICAL_DATA!$D$2:$D$441,"&gt;="&amp;$E37,HISTORICAL_DATA!$D$2:$D$441,"&lt;="&amp;$F37)/3)</f>
        <v/>
      </c>
      <c r="H37" s="31" t="str">
        <f>IF(COUNTIFS(HISTORICAL_DATA!$A$2:$A$441,$A37,HISTORICAL_DATA!$D$2:$D$441,"&gt;="&amp;$E37,HISTORICAL_DATA!$D$2:$D$441,"&lt;="&amp;$F37,HISTORICAL_DATA!$G$2:$G$441,"&lt;&gt;")&lt;3,"",SUMIFS(HISTORICAL_DATA!$G$2:$G$441,HISTORICAL_DATA!$A$2:$A$441,$A37,HISTORICAL_DATA!$D$2:$D$441,"&gt;="&amp;$E37,HISTORICAL_DATA!$D$2:$D$441,"&lt;="&amp;$F37)/3)</f>
        <v/>
      </c>
      <c r="I37" s="31" t="str">
        <f>IF(OR(G37="",H37=""),"FACILITY DATA MISSING",IF(AND(COUNTIFS($C$2:$C$221,C37,$D$2:$D$221,D37,$G$2:$G$221,"&lt;&gt;")=COUNTIF(OFFICIAL_ALLOCATIONS!$C$2:$C$111,C37),COUNTIFS($C$2:$C$221,C37,$D$2:$D$221,D37,$H$2:$H$221,"&lt;&gt;")=COUNTIF(OFFICIAL_ALLOCATIONS!$C$2:$C$111,C37)),"COMPLETE","SECTOR DATA INCOMPLETE"))</f>
        <v>FACILITY DATA MISSING</v>
      </c>
      <c r="J37" s="9" t="str">
        <f t="shared" si="3"/>
        <v/>
      </c>
      <c r="K37" s="23" t="str">
        <f>IF(COUNTIFS(POLICY_PARAMETERS!$B$2:$B$13,"g",POLICY_PARAMETERS!$E$2:$E$13,C37,POLICY_PARAMETERS!$F$2:$F$13,D37,POLICY_PARAMETERS!$G$2:$G$13,"&lt;&gt;")=0,"",SUMIFS(POLICY_PARAMETERS!$G$2:$G$13,POLICY_PARAMETERS!$B$2:$B$13,"g",POLICY_PARAMETERS!$E$2:$E$13,C37,POLICY_PARAMETERS!$F$2:$F$13,D37))</f>
        <v/>
      </c>
      <c r="L37" s="23" t="str">
        <f>IF(COUNTIFS(POLICY_PARAMETERS!$B$2:$B$13,"r",POLICY_PARAMETERS!$E$2:$E$13,C37,POLICY_PARAMETERS!$F$2:$F$13,D37,POLICY_PARAMETERS!$G$2:$G$13,"&lt;&gt;")=0,"",SUMIFS(POLICY_PARAMETERS!$G$2:$G$13,POLICY_PARAMETERS!$B$2:$B$13,"r",POLICY_PARAMETERS!$E$2:$E$13,C37,POLICY_PARAMETERS!$F$2:$F$13,D37))</f>
        <v/>
      </c>
      <c r="M37" s="24" t="str">
        <f t="shared" si="4"/>
        <v/>
      </c>
      <c r="N37" s="25" t="str">
        <f t="shared" si="5"/>
        <v/>
      </c>
      <c r="O37" s="26">
        <f>IF(D37=2025,IFERROR(VLOOKUP(A37,OFFICIAL_ALLOCATIONS!$A$2:$F$111,5,FALSE),""),IFERROR(VLOOKUP(A37,OFFICIAL_ALLOCATIONS!$A$2:$F$111,6,FALSE),""))</f>
        <v>1182984</v>
      </c>
      <c r="P37" s="42" t="str">
        <f t="shared" si="6"/>
        <v/>
      </c>
      <c r="Q37" s="28" t="str">
        <f t="shared" si="7"/>
        <v/>
      </c>
      <c r="R37" s="5" t="str">
        <f t="shared" si="8"/>
        <v>MISSING HISTORICAL DATA</v>
      </c>
      <c r="S37" s="5" t="s">
        <v>179</v>
      </c>
      <c r="T37" s="5" t="s">
        <v>59</v>
      </c>
    </row>
    <row r="38" ht="15.75" customHeight="1">
      <c r="A38" s="3" t="s">
        <v>991</v>
      </c>
      <c r="B38" s="3" t="s">
        <v>160</v>
      </c>
      <c r="C38" s="3" t="s">
        <v>41</v>
      </c>
      <c r="D38" s="9">
        <v>2025.0</v>
      </c>
      <c r="E38" s="9">
        <f t="shared" si="1"/>
        <v>2022</v>
      </c>
      <c r="F38" s="9">
        <f t="shared" si="2"/>
        <v>2024</v>
      </c>
      <c r="G38" s="31" t="str">
        <f>IF(COUNTIFS(HISTORICAL_DATA!$A$2:$A$441,$A38,HISTORICAL_DATA!$D$2:$D$441,"&gt;="&amp;$E38,HISTORICAL_DATA!$D$2:$D$441,"&lt;="&amp;$F38,HISTORICAL_DATA!$E$2:$E$441,"&lt;&gt;")&lt;3,"",SUMIFS(HISTORICAL_DATA!$E$2:$E$441,HISTORICAL_DATA!$A$2:$A$441,$A38,HISTORICAL_DATA!$D$2:$D$441,"&gt;="&amp;$E38,HISTORICAL_DATA!$D$2:$D$441,"&lt;="&amp;$F38)/3)</f>
        <v/>
      </c>
      <c r="H38" s="31" t="str">
        <f>IF(COUNTIFS(HISTORICAL_DATA!$A$2:$A$441,$A38,HISTORICAL_DATA!$D$2:$D$441,"&gt;="&amp;$E38,HISTORICAL_DATA!$D$2:$D$441,"&lt;="&amp;$F38,HISTORICAL_DATA!$G$2:$G$441,"&lt;&gt;")&lt;3,"",SUMIFS(HISTORICAL_DATA!$G$2:$G$441,HISTORICAL_DATA!$A$2:$A$441,$A38,HISTORICAL_DATA!$D$2:$D$441,"&gt;="&amp;$E38,HISTORICAL_DATA!$D$2:$D$441,"&lt;="&amp;$F38)/3)</f>
        <v/>
      </c>
      <c r="I38" s="31" t="str">
        <f>IF(OR(G38="",H38=""),"FACILITY DATA MISSING",IF(AND(COUNTIFS($C$2:$C$221,C38,$D$2:$D$221,D38,$G$2:$G$221,"&lt;&gt;")=COUNTIF(OFFICIAL_ALLOCATIONS!$C$2:$C$111,C38),COUNTIFS($C$2:$C$221,C38,$D$2:$D$221,D38,$H$2:$H$221,"&lt;&gt;")=COUNTIF(OFFICIAL_ALLOCATIONS!$C$2:$C$111,C38)),"COMPLETE","SECTOR DATA INCOMPLETE"))</f>
        <v>FACILITY DATA MISSING</v>
      </c>
      <c r="J38" s="9" t="str">
        <f t="shared" si="3"/>
        <v/>
      </c>
      <c r="K38" s="23" t="str">
        <f>IF(COUNTIFS(POLICY_PARAMETERS!$B$2:$B$13,"g",POLICY_PARAMETERS!$E$2:$E$13,C38,POLICY_PARAMETERS!$F$2:$F$13,D38,POLICY_PARAMETERS!$G$2:$G$13,"&lt;&gt;")=0,"",SUMIFS(POLICY_PARAMETERS!$G$2:$G$13,POLICY_PARAMETERS!$B$2:$B$13,"g",POLICY_PARAMETERS!$E$2:$E$13,C38,POLICY_PARAMETERS!$F$2:$F$13,D38))</f>
        <v/>
      </c>
      <c r="L38" s="23" t="str">
        <f>IF(COUNTIFS(POLICY_PARAMETERS!$B$2:$B$13,"r",POLICY_PARAMETERS!$E$2:$E$13,C38,POLICY_PARAMETERS!$F$2:$F$13,D38,POLICY_PARAMETERS!$G$2:$G$13,"&lt;&gt;")=0,"",SUMIFS(POLICY_PARAMETERS!$G$2:$G$13,POLICY_PARAMETERS!$B$2:$B$13,"r",POLICY_PARAMETERS!$E$2:$E$13,C38,POLICY_PARAMETERS!$F$2:$F$13,D38))</f>
        <v/>
      </c>
      <c r="M38" s="24" t="str">
        <f t="shared" si="4"/>
        <v/>
      </c>
      <c r="N38" s="25" t="str">
        <f t="shared" si="5"/>
        <v/>
      </c>
      <c r="O38" s="26">
        <f>IF(D38=2025,IFERROR(VLOOKUP(A38,OFFICIAL_ALLOCATIONS!$A$2:$F$111,5,FALSE),""),IFERROR(VLOOKUP(A38,OFFICIAL_ALLOCATIONS!$A$2:$F$111,6,FALSE),""))</f>
        <v>876004</v>
      </c>
      <c r="P38" s="42" t="str">
        <f t="shared" si="6"/>
        <v/>
      </c>
      <c r="Q38" s="28" t="str">
        <f t="shared" si="7"/>
        <v/>
      </c>
      <c r="R38" s="5" t="str">
        <f t="shared" si="8"/>
        <v>MISSING HISTORICAL DATA</v>
      </c>
      <c r="S38" s="5" t="s">
        <v>179</v>
      </c>
      <c r="T38" s="5" t="s">
        <v>59</v>
      </c>
    </row>
    <row r="39" ht="15.75" customHeight="1">
      <c r="A39" s="3" t="s">
        <v>991</v>
      </c>
      <c r="B39" s="3" t="s">
        <v>160</v>
      </c>
      <c r="C39" s="3" t="s">
        <v>41</v>
      </c>
      <c r="D39" s="9">
        <v>2026.0</v>
      </c>
      <c r="E39" s="9">
        <f t="shared" si="1"/>
        <v>2023</v>
      </c>
      <c r="F39" s="9">
        <f t="shared" si="2"/>
        <v>2025</v>
      </c>
      <c r="G39" s="31" t="str">
        <f>IF(COUNTIFS(HISTORICAL_DATA!$A$2:$A$441,$A39,HISTORICAL_DATA!$D$2:$D$441,"&gt;="&amp;$E39,HISTORICAL_DATA!$D$2:$D$441,"&lt;="&amp;$F39,HISTORICAL_DATA!$E$2:$E$441,"&lt;&gt;")&lt;3,"",SUMIFS(HISTORICAL_DATA!$E$2:$E$441,HISTORICAL_DATA!$A$2:$A$441,$A39,HISTORICAL_DATA!$D$2:$D$441,"&gt;="&amp;$E39,HISTORICAL_DATA!$D$2:$D$441,"&lt;="&amp;$F39)/3)</f>
        <v/>
      </c>
      <c r="H39" s="31" t="str">
        <f>IF(COUNTIFS(HISTORICAL_DATA!$A$2:$A$441,$A39,HISTORICAL_DATA!$D$2:$D$441,"&gt;="&amp;$E39,HISTORICAL_DATA!$D$2:$D$441,"&lt;="&amp;$F39,HISTORICAL_DATA!$G$2:$G$441,"&lt;&gt;")&lt;3,"",SUMIFS(HISTORICAL_DATA!$G$2:$G$441,HISTORICAL_DATA!$A$2:$A$441,$A39,HISTORICAL_DATA!$D$2:$D$441,"&gt;="&amp;$E39,HISTORICAL_DATA!$D$2:$D$441,"&lt;="&amp;$F39)/3)</f>
        <v/>
      </c>
      <c r="I39" s="31" t="str">
        <f>IF(OR(G39="",H39=""),"FACILITY DATA MISSING",IF(AND(COUNTIFS($C$2:$C$221,C39,$D$2:$D$221,D39,$G$2:$G$221,"&lt;&gt;")=COUNTIF(OFFICIAL_ALLOCATIONS!$C$2:$C$111,C39),COUNTIFS($C$2:$C$221,C39,$D$2:$D$221,D39,$H$2:$H$221,"&lt;&gt;")=COUNTIF(OFFICIAL_ALLOCATIONS!$C$2:$C$111,C39)),"COMPLETE","SECTOR DATA INCOMPLETE"))</f>
        <v>FACILITY DATA MISSING</v>
      </c>
      <c r="J39" s="9" t="str">
        <f t="shared" si="3"/>
        <v/>
      </c>
      <c r="K39" s="23" t="str">
        <f>IF(COUNTIFS(POLICY_PARAMETERS!$B$2:$B$13,"g",POLICY_PARAMETERS!$E$2:$E$13,C39,POLICY_PARAMETERS!$F$2:$F$13,D39,POLICY_PARAMETERS!$G$2:$G$13,"&lt;&gt;")=0,"",SUMIFS(POLICY_PARAMETERS!$G$2:$G$13,POLICY_PARAMETERS!$B$2:$B$13,"g",POLICY_PARAMETERS!$E$2:$E$13,C39,POLICY_PARAMETERS!$F$2:$F$13,D39))</f>
        <v/>
      </c>
      <c r="L39" s="23" t="str">
        <f>IF(COUNTIFS(POLICY_PARAMETERS!$B$2:$B$13,"r",POLICY_PARAMETERS!$E$2:$E$13,C39,POLICY_PARAMETERS!$F$2:$F$13,D39,POLICY_PARAMETERS!$G$2:$G$13,"&lt;&gt;")=0,"",SUMIFS(POLICY_PARAMETERS!$G$2:$G$13,POLICY_PARAMETERS!$B$2:$B$13,"r",POLICY_PARAMETERS!$E$2:$E$13,C39,POLICY_PARAMETERS!$F$2:$F$13,D39))</f>
        <v/>
      </c>
      <c r="M39" s="24" t="str">
        <f t="shared" si="4"/>
        <v/>
      </c>
      <c r="N39" s="25" t="str">
        <f t="shared" si="5"/>
        <v/>
      </c>
      <c r="O39" s="26">
        <f>IF(D39=2025,IFERROR(VLOOKUP(A39,OFFICIAL_ALLOCATIONS!$A$2:$F$111,5,FALSE),""),IFERROR(VLOOKUP(A39,OFFICIAL_ALLOCATIONS!$A$2:$F$111,6,FALSE),""))</f>
        <v>959689</v>
      </c>
      <c r="P39" s="42" t="str">
        <f t="shared" si="6"/>
        <v/>
      </c>
      <c r="Q39" s="28" t="str">
        <f t="shared" si="7"/>
        <v/>
      </c>
      <c r="R39" s="5" t="str">
        <f t="shared" si="8"/>
        <v>MISSING HISTORICAL DATA</v>
      </c>
      <c r="S39" s="5" t="s">
        <v>179</v>
      </c>
      <c r="T39" s="5" t="s">
        <v>59</v>
      </c>
    </row>
    <row r="40" ht="15.75" customHeight="1">
      <c r="A40" s="3" t="s">
        <v>992</v>
      </c>
      <c r="B40" s="3" t="s">
        <v>161</v>
      </c>
      <c r="C40" s="3" t="s">
        <v>41</v>
      </c>
      <c r="D40" s="9">
        <v>2025.0</v>
      </c>
      <c r="E40" s="9">
        <f t="shared" si="1"/>
        <v>2022</v>
      </c>
      <c r="F40" s="9">
        <f t="shared" si="2"/>
        <v>2024</v>
      </c>
      <c r="G40" s="31" t="str">
        <f>IF(COUNTIFS(HISTORICAL_DATA!$A$2:$A$441,$A40,HISTORICAL_DATA!$D$2:$D$441,"&gt;="&amp;$E40,HISTORICAL_DATA!$D$2:$D$441,"&lt;="&amp;$F40,HISTORICAL_DATA!$E$2:$E$441,"&lt;&gt;")&lt;3,"",SUMIFS(HISTORICAL_DATA!$E$2:$E$441,HISTORICAL_DATA!$A$2:$A$441,$A40,HISTORICAL_DATA!$D$2:$D$441,"&gt;="&amp;$E40,HISTORICAL_DATA!$D$2:$D$441,"&lt;="&amp;$F40)/3)</f>
        <v/>
      </c>
      <c r="H40" s="31" t="str">
        <f>IF(COUNTIFS(HISTORICAL_DATA!$A$2:$A$441,$A40,HISTORICAL_DATA!$D$2:$D$441,"&gt;="&amp;$E40,HISTORICAL_DATA!$D$2:$D$441,"&lt;="&amp;$F40,HISTORICAL_DATA!$G$2:$G$441,"&lt;&gt;")&lt;3,"",SUMIFS(HISTORICAL_DATA!$G$2:$G$441,HISTORICAL_DATA!$A$2:$A$441,$A40,HISTORICAL_DATA!$D$2:$D$441,"&gt;="&amp;$E40,HISTORICAL_DATA!$D$2:$D$441,"&lt;="&amp;$F40)/3)</f>
        <v/>
      </c>
      <c r="I40" s="31" t="str">
        <f>IF(OR(G40="",H40=""),"FACILITY DATA MISSING",IF(AND(COUNTIFS($C$2:$C$221,C40,$D$2:$D$221,D40,$G$2:$G$221,"&lt;&gt;")=COUNTIF(OFFICIAL_ALLOCATIONS!$C$2:$C$111,C40),COUNTIFS($C$2:$C$221,C40,$D$2:$D$221,D40,$H$2:$H$221,"&lt;&gt;")=COUNTIF(OFFICIAL_ALLOCATIONS!$C$2:$C$111,C40)),"COMPLETE","SECTOR DATA INCOMPLETE"))</f>
        <v>FACILITY DATA MISSING</v>
      </c>
      <c r="J40" s="9" t="str">
        <f t="shared" si="3"/>
        <v/>
      </c>
      <c r="K40" s="23" t="str">
        <f>IF(COUNTIFS(POLICY_PARAMETERS!$B$2:$B$13,"g",POLICY_PARAMETERS!$E$2:$E$13,C40,POLICY_PARAMETERS!$F$2:$F$13,D40,POLICY_PARAMETERS!$G$2:$G$13,"&lt;&gt;")=0,"",SUMIFS(POLICY_PARAMETERS!$G$2:$G$13,POLICY_PARAMETERS!$B$2:$B$13,"g",POLICY_PARAMETERS!$E$2:$E$13,C40,POLICY_PARAMETERS!$F$2:$F$13,D40))</f>
        <v/>
      </c>
      <c r="L40" s="23" t="str">
        <f>IF(COUNTIFS(POLICY_PARAMETERS!$B$2:$B$13,"r",POLICY_PARAMETERS!$E$2:$E$13,C40,POLICY_PARAMETERS!$F$2:$F$13,D40,POLICY_PARAMETERS!$G$2:$G$13,"&lt;&gt;")=0,"",SUMIFS(POLICY_PARAMETERS!$G$2:$G$13,POLICY_PARAMETERS!$B$2:$B$13,"r",POLICY_PARAMETERS!$E$2:$E$13,C40,POLICY_PARAMETERS!$F$2:$F$13,D40))</f>
        <v/>
      </c>
      <c r="M40" s="24" t="str">
        <f t="shared" si="4"/>
        <v/>
      </c>
      <c r="N40" s="25" t="str">
        <f t="shared" si="5"/>
        <v/>
      </c>
      <c r="O40" s="26">
        <f>IF(D40=2025,IFERROR(VLOOKUP(A40,OFFICIAL_ALLOCATIONS!$A$2:$F$111,5,FALSE),""),IFERROR(VLOOKUP(A40,OFFICIAL_ALLOCATIONS!$A$2:$F$111,6,FALSE),""))</f>
        <v>68969</v>
      </c>
      <c r="P40" s="42" t="str">
        <f t="shared" si="6"/>
        <v/>
      </c>
      <c r="Q40" s="28" t="str">
        <f t="shared" si="7"/>
        <v/>
      </c>
      <c r="R40" s="5" t="str">
        <f t="shared" si="8"/>
        <v>MISSING HISTORICAL DATA</v>
      </c>
      <c r="S40" s="5" t="s">
        <v>179</v>
      </c>
      <c r="T40" s="5" t="s">
        <v>59</v>
      </c>
    </row>
    <row r="41" ht="15.75" customHeight="1">
      <c r="A41" s="3" t="s">
        <v>992</v>
      </c>
      <c r="B41" s="3" t="s">
        <v>161</v>
      </c>
      <c r="C41" s="3" t="s">
        <v>41</v>
      </c>
      <c r="D41" s="9">
        <v>2026.0</v>
      </c>
      <c r="E41" s="9">
        <f t="shared" si="1"/>
        <v>2023</v>
      </c>
      <c r="F41" s="9">
        <f t="shared" si="2"/>
        <v>2025</v>
      </c>
      <c r="G41" s="31" t="str">
        <f>IF(COUNTIFS(HISTORICAL_DATA!$A$2:$A$441,$A41,HISTORICAL_DATA!$D$2:$D$441,"&gt;="&amp;$E41,HISTORICAL_DATA!$D$2:$D$441,"&lt;="&amp;$F41,HISTORICAL_DATA!$E$2:$E$441,"&lt;&gt;")&lt;3,"",SUMIFS(HISTORICAL_DATA!$E$2:$E$441,HISTORICAL_DATA!$A$2:$A$441,$A41,HISTORICAL_DATA!$D$2:$D$441,"&gt;="&amp;$E41,HISTORICAL_DATA!$D$2:$D$441,"&lt;="&amp;$F41)/3)</f>
        <v/>
      </c>
      <c r="H41" s="31" t="str">
        <f>IF(COUNTIFS(HISTORICAL_DATA!$A$2:$A$441,$A41,HISTORICAL_DATA!$D$2:$D$441,"&gt;="&amp;$E41,HISTORICAL_DATA!$D$2:$D$441,"&lt;="&amp;$F41,HISTORICAL_DATA!$G$2:$G$441,"&lt;&gt;")&lt;3,"",SUMIFS(HISTORICAL_DATA!$G$2:$G$441,HISTORICAL_DATA!$A$2:$A$441,$A41,HISTORICAL_DATA!$D$2:$D$441,"&gt;="&amp;$E41,HISTORICAL_DATA!$D$2:$D$441,"&lt;="&amp;$F41)/3)</f>
        <v/>
      </c>
      <c r="I41" s="31" t="str">
        <f>IF(OR(G41="",H41=""),"FACILITY DATA MISSING",IF(AND(COUNTIFS($C$2:$C$221,C41,$D$2:$D$221,D41,$G$2:$G$221,"&lt;&gt;")=COUNTIF(OFFICIAL_ALLOCATIONS!$C$2:$C$111,C41),COUNTIFS($C$2:$C$221,C41,$D$2:$D$221,D41,$H$2:$H$221,"&lt;&gt;")=COUNTIF(OFFICIAL_ALLOCATIONS!$C$2:$C$111,C41)),"COMPLETE","SECTOR DATA INCOMPLETE"))</f>
        <v>FACILITY DATA MISSING</v>
      </c>
      <c r="J41" s="9" t="str">
        <f t="shared" si="3"/>
        <v/>
      </c>
      <c r="K41" s="23" t="str">
        <f>IF(COUNTIFS(POLICY_PARAMETERS!$B$2:$B$13,"g",POLICY_PARAMETERS!$E$2:$E$13,C41,POLICY_PARAMETERS!$F$2:$F$13,D41,POLICY_PARAMETERS!$G$2:$G$13,"&lt;&gt;")=0,"",SUMIFS(POLICY_PARAMETERS!$G$2:$G$13,POLICY_PARAMETERS!$B$2:$B$13,"g",POLICY_PARAMETERS!$E$2:$E$13,C41,POLICY_PARAMETERS!$F$2:$F$13,D41))</f>
        <v/>
      </c>
      <c r="L41" s="23" t="str">
        <f>IF(COUNTIFS(POLICY_PARAMETERS!$B$2:$B$13,"r",POLICY_PARAMETERS!$E$2:$E$13,C41,POLICY_PARAMETERS!$F$2:$F$13,D41,POLICY_PARAMETERS!$G$2:$G$13,"&lt;&gt;")=0,"",SUMIFS(POLICY_PARAMETERS!$G$2:$G$13,POLICY_PARAMETERS!$B$2:$B$13,"r",POLICY_PARAMETERS!$E$2:$E$13,C41,POLICY_PARAMETERS!$F$2:$F$13,D41))</f>
        <v/>
      </c>
      <c r="M41" s="24" t="str">
        <f t="shared" si="4"/>
        <v/>
      </c>
      <c r="N41" s="25" t="str">
        <f t="shared" si="5"/>
        <v/>
      </c>
      <c r="O41" s="26">
        <f>IF(D41=2025,IFERROR(VLOOKUP(A41,OFFICIAL_ALLOCATIONS!$A$2:$F$111,5,FALSE),""),IFERROR(VLOOKUP(A41,OFFICIAL_ALLOCATIONS!$A$2:$F$111,6,FALSE),""))</f>
        <v>75558</v>
      </c>
      <c r="P41" s="42" t="str">
        <f t="shared" si="6"/>
        <v/>
      </c>
      <c r="Q41" s="28" t="str">
        <f t="shared" si="7"/>
        <v/>
      </c>
      <c r="R41" s="5" t="str">
        <f t="shared" si="8"/>
        <v>MISSING HISTORICAL DATA</v>
      </c>
      <c r="S41" s="5" t="s">
        <v>179</v>
      </c>
      <c r="T41" s="5" t="s">
        <v>59</v>
      </c>
    </row>
    <row r="42" ht="15.75" customHeight="1">
      <c r="A42" s="3" t="s">
        <v>993</v>
      </c>
      <c r="B42" s="3" t="s">
        <v>163</v>
      </c>
      <c r="C42" s="3" t="s">
        <v>41</v>
      </c>
      <c r="D42" s="9">
        <v>2025.0</v>
      </c>
      <c r="E42" s="9">
        <f t="shared" si="1"/>
        <v>2022</v>
      </c>
      <c r="F42" s="9">
        <f t="shared" si="2"/>
        <v>2024</v>
      </c>
      <c r="G42" s="31" t="str">
        <f>IF(COUNTIFS(HISTORICAL_DATA!$A$2:$A$441,$A42,HISTORICAL_DATA!$D$2:$D$441,"&gt;="&amp;$E42,HISTORICAL_DATA!$D$2:$D$441,"&lt;="&amp;$F42,HISTORICAL_DATA!$E$2:$E$441,"&lt;&gt;")&lt;3,"",SUMIFS(HISTORICAL_DATA!$E$2:$E$441,HISTORICAL_DATA!$A$2:$A$441,$A42,HISTORICAL_DATA!$D$2:$D$441,"&gt;="&amp;$E42,HISTORICAL_DATA!$D$2:$D$441,"&lt;="&amp;$F42)/3)</f>
        <v/>
      </c>
      <c r="H42" s="31" t="str">
        <f>IF(COUNTIFS(HISTORICAL_DATA!$A$2:$A$441,$A42,HISTORICAL_DATA!$D$2:$D$441,"&gt;="&amp;$E42,HISTORICAL_DATA!$D$2:$D$441,"&lt;="&amp;$F42,HISTORICAL_DATA!$G$2:$G$441,"&lt;&gt;")&lt;3,"",SUMIFS(HISTORICAL_DATA!$G$2:$G$441,HISTORICAL_DATA!$A$2:$A$441,$A42,HISTORICAL_DATA!$D$2:$D$441,"&gt;="&amp;$E42,HISTORICAL_DATA!$D$2:$D$441,"&lt;="&amp;$F42)/3)</f>
        <v/>
      </c>
      <c r="I42" s="31" t="str">
        <f>IF(OR(G42="",H42=""),"FACILITY DATA MISSING",IF(AND(COUNTIFS($C$2:$C$221,C42,$D$2:$D$221,D42,$G$2:$G$221,"&lt;&gt;")=COUNTIF(OFFICIAL_ALLOCATIONS!$C$2:$C$111,C42),COUNTIFS($C$2:$C$221,C42,$D$2:$D$221,D42,$H$2:$H$221,"&lt;&gt;")=COUNTIF(OFFICIAL_ALLOCATIONS!$C$2:$C$111,C42)),"COMPLETE","SECTOR DATA INCOMPLETE"))</f>
        <v>FACILITY DATA MISSING</v>
      </c>
      <c r="J42" s="9" t="str">
        <f t="shared" si="3"/>
        <v/>
      </c>
      <c r="K42" s="23" t="str">
        <f>IF(COUNTIFS(POLICY_PARAMETERS!$B$2:$B$13,"g",POLICY_PARAMETERS!$E$2:$E$13,C42,POLICY_PARAMETERS!$F$2:$F$13,D42,POLICY_PARAMETERS!$G$2:$G$13,"&lt;&gt;")=0,"",SUMIFS(POLICY_PARAMETERS!$G$2:$G$13,POLICY_PARAMETERS!$B$2:$B$13,"g",POLICY_PARAMETERS!$E$2:$E$13,C42,POLICY_PARAMETERS!$F$2:$F$13,D42))</f>
        <v/>
      </c>
      <c r="L42" s="23" t="str">
        <f>IF(COUNTIFS(POLICY_PARAMETERS!$B$2:$B$13,"r",POLICY_PARAMETERS!$E$2:$E$13,C42,POLICY_PARAMETERS!$F$2:$F$13,D42,POLICY_PARAMETERS!$G$2:$G$13,"&lt;&gt;")=0,"",SUMIFS(POLICY_PARAMETERS!$G$2:$G$13,POLICY_PARAMETERS!$B$2:$B$13,"r",POLICY_PARAMETERS!$E$2:$E$13,C42,POLICY_PARAMETERS!$F$2:$F$13,D42))</f>
        <v/>
      </c>
      <c r="M42" s="24" t="str">
        <f t="shared" si="4"/>
        <v/>
      </c>
      <c r="N42" s="25" t="str">
        <f t="shared" si="5"/>
        <v/>
      </c>
      <c r="O42" s="26">
        <f>IF(D42=2025,IFERROR(VLOOKUP(A42,OFFICIAL_ALLOCATIONS!$A$2:$F$111,5,FALSE),""),IFERROR(VLOOKUP(A42,OFFICIAL_ALLOCATIONS!$A$2:$F$111,6,FALSE),""))</f>
        <v>31803</v>
      </c>
      <c r="P42" s="42" t="str">
        <f t="shared" si="6"/>
        <v/>
      </c>
      <c r="Q42" s="28" t="str">
        <f t="shared" si="7"/>
        <v/>
      </c>
      <c r="R42" s="5" t="str">
        <f t="shared" si="8"/>
        <v>MISSING HISTORICAL DATA</v>
      </c>
      <c r="S42" s="5" t="s">
        <v>179</v>
      </c>
      <c r="T42" s="5" t="s">
        <v>59</v>
      </c>
    </row>
    <row r="43" ht="15.75" customHeight="1">
      <c r="A43" s="3" t="s">
        <v>993</v>
      </c>
      <c r="B43" s="3" t="s">
        <v>163</v>
      </c>
      <c r="C43" s="3" t="s">
        <v>41</v>
      </c>
      <c r="D43" s="9">
        <v>2026.0</v>
      </c>
      <c r="E43" s="9">
        <f t="shared" si="1"/>
        <v>2023</v>
      </c>
      <c r="F43" s="9">
        <f t="shared" si="2"/>
        <v>2025</v>
      </c>
      <c r="G43" s="31" t="str">
        <f>IF(COUNTIFS(HISTORICAL_DATA!$A$2:$A$441,$A43,HISTORICAL_DATA!$D$2:$D$441,"&gt;="&amp;$E43,HISTORICAL_DATA!$D$2:$D$441,"&lt;="&amp;$F43,HISTORICAL_DATA!$E$2:$E$441,"&lt;&gt;")&lt;3,"",SUMIFS(HISTORICAL_DATA!$E$2:$E$441,HISTORICAL_DATA!$A$2:$A$441,$A43,HISTORICAL_DATA!$D$2:$D$441,"&gt;="&amp;$E43,HISTORICAL_DATA!$D$2:$D$441,"&lt;="&amp;$F43)/3)</f>
        <v/>
      </c>
      <c r="H43" s="31" t="str">
        <f>IF(COUNTIFS(HISTORICAL_DATA!$A$2:$A$441,$A43,HISTORICAL_DATA!$D$2:$D$441,"&gt;="&amp;$E43,HISTORICAL_DATA!$D$2:$D$441,"&lt;="&amp;$F43,HISTORICAL_DATA!$G$2:$G$441,"&lt;&gt;")&lt;3,"",SUMIFS(HISTORICAL_DATA!$G$2:$G$441,HISTORICAL_DATA!$A$2:$A$441,$A43,HISTORICAL_DATA!$D$2:$D$441,"&gt;="&amp;$E43,HISTORICAL_DATA!$D$2:$D$441,"&lt;="&amp;$F43)/3)</f>
        <v/>
      </c>
      <c r="I43" s="31" t="str">
        <f>IF(OR(G43="",H43=""),"FACILITY DATA MISSING",IF(AND(COUNTIFS($C$2:$C$221,C43,$D$2:$D$221,D43,$G$2:$G$221,"&lt;&gt;")=COUNTIF(OFFICIAL_ALLOCATIONS!$C$2:$C$111,C43),COUNTIFS($C$2:$C$221,C43,$D$2:$D$221,D43,$H$2:$H$221,"&lt;&gt;")=COUNTIF(OFFICIAL_ALLOCATIONS!$C$2:$C$111,C43)),"COMPLETE","SECTOR DATA INCOMPLETE"))</f>
        <v>FACILITY DATA MISSING</v>
      </c>
      <c r="J43" s="9" t="str">
        <f t="shared" si="3"/>
        <v/>
      </c>
      <c r="K43" s="23" t="str">
        <f>IF(COUNTIFS(POLICY_PARAMETERS!$B$2:$B$13,"g",POLICY_PARAMETERS!$E$2:$E$13,C43,POLICY_PARAMETERS!$F$2:$F$13,D43,POLICY_PARAMETERS!$G$2:$G$13,"&lt;&gt;")=0,"",SUMIFS(POLICY_PARAMETERS!$G$2:$G$13,POLICY_PARAMETERS!$B$2:$B$13,"g",POLICY_PARAMETERS!$E$2:$E$13,C43,POLICY_PARAMETERS!$F$2:$F$13,D43))</f>
        <v/>
      </c>
      <c r="L43" s="23" t="str">
        <f>IF(COUNTIFS(POLICY_PARAMETERS!$B$2:$B$13,"r",POLICY_PARAMETERS!$E$2:$E$13,C43,POLICY_PARAMETERS!$F$2:$F$13,D43,POLICY_PARAMETERS!$G$2:$G$13,"&lt;&gt;")=0,"",SUMIFS(POLICY_PARAMETERS!$G$2:$G$13,POLICY_PARAMETERS!$B$2:$B$13,"r",POLICY_PARAMETERS!$E$2:$E$13,C43,POLICY_PARAMETERS!$F$2:$F$13,D43))</f>
        <v/>
      </c>
      <c r="M43" s="24" t="str">
        <f t="shared" si="4"/>
        <v/>
      </c>
      <c r="N43" s="25" t="str">
        <f t="shared" si="5"/>
        <v/>
      </c>
      <c r="O43" s="26">
        <f>IF(D43=2025,IFERROR(VLOOKUP(A43,OFFICIAL_ALLOCATIONS!$A$2:$F$111,5,FALSE),""),IFERROR(VLOOKUP(A43,OFFICIAL_ALLOCATIONS!$A$2:$F$111,6,FALSE),""))</f>
        <v>34842</v>
      </c>
      <c r="P43" s="42" t="str">
        <f t="shared" si="6"/>
        <v/>
      </c>
      <c r="Q43" s="28" t="str">
        <f t="shared" si="7"/>
        <v/>
      </c>
      <c r="R43" s="5" t="str">
        <f t="shared" si="8"/>
        <v>MISSING HISTORICAL DATA</v>
      </c>
      <c r="S43" s="5" t="s">
        <v>179</v>
      </c>
      <c r="T43" s="5" t="s">
        <v>59</v>
      </c>
    </row>
    <row r="44" ht="15.75" customHeight="1">
      <c r="A44" s="3" t="s">
        <v>994</v>
      </c>
      <c r="B44" s="3" t="s">
        <v>165</v>
      </c>
      <c r="C44" s="3" t="s">
        <v>41</v>
      </c>
      <c r="D44" s="9">
        <v>2025.0</v>
      </c>
      <c r="E44" s="9">
        <f t="shared" si="1"/>
        <v>2022</v>
      </c>
      <c r="F44" s="9">
        <f t="shared" si="2"/>
        <v>2024</v>
      </c>
      <c r="G44" s="31" t="str">
        <f>IF(COUNTIFS(HISTORICAL_DATA!$A$2:$A$441,$A44,HISTORICAL_DATA!$D$2:$D$441,"&gt;="&amp;$E44,HISTORICAL_DATA!$D$2:$D$441,"&lt;="&amp;$F44,HISTORICAL_DATA!$E$2:$E$441,"&lt;&gt;")&lt;3,"",SUMIFS(HISTORICAL_DATA!$E$2:$E$441,HISTORICAL_DATA!$A$2:$A$441,$A44,HISTORICAL_DATA!$D$2:$D$441,"&gt;="&amp;$E44,HISTORICAL_DATA!$D$2:$D$441,"&lt;="&amp;$F44)/3)</f>
        <v/>
      </c>
      <c r="H44" s="31" t="str">
        <f>IF(COUNTIFS(HISTORICAL_DATA!$A$2:$A$441,$A44,HISTORICAL_DATA!$D$2:$D$441,"&gt;="&amp;$E44,HISTORICAL_DATA!$D$2:$D$441,"&lt;="&amp;$F44,HISTORICAL_DATA!$G$2:$G$441,"&lt;&gt;")&lt;3,"",SUMIFS(HISTORICAL_DATA!$G$2:$G$441,HISTORICAL_DATA!$A$2:$A$441,$A44,HISTORICAL_DATA!$D$2:$D$441,"&gt;="&amp;$E44,HISTORICAL_DATA!$D$2:$D$441,"&lt;="&amp;$F44)/3)</f>
        <v/>
      </c>
      <c r="I44" s="31" t="str">
        <f>IF(OR(G44="",H44=""),"FACILITY DATA MISSING",IF(AND(COUNTIFS($C$2:$C$221,C44,$D$2:$D$221,D44,$G$2:$G$221,"&lt;&gt;")=COUNTIF(OFFICIAL_ALLOCATIONS!$C$2:$C$111,C44),COUNTIFS($C$2:$C$221,C44,$D$2:$D$221,D44,$H$2:$H$221,"&lt;&gt;")=COUNTIF(OFFICIAL_ALLOCATIONS!$C$2:$C$111,C44)),"COMPLETE","SECTOR DATA INCOMPLETE"))</f>
        <v>FACILITY DATA MISSING</v>
      </c>
      <c r="J44" s="9" t="str">
        <f t="shared" si="3"/>
        <v/>
      </c>
      <c r="K44" s="23" t="str">
        <f>IF(COUNTIFS(POLICY_PARAMETERS!$B$2:$B$13,"g",POLICY_PARAMETERS!$E$2:$E$13,C44,POLICY_PARAMETERS!$F$2:$F$13,D44,POLICY_PARAMETERS!$G$2:$G$13,"&lt;&gt;")=0,"",SUMIFS(POLICY_PARAMETERS!$G$2:$G$13,POLICY_PARAMETERS!$B$2:$B$13,"g",POLICY_PARAMETERS!$E$2:$E$13,C44,POLICY_PARAMETERS!$F$2:$F$13,D44))</f>
        <v/>
      </c>
      <c r="L44" s="23" t="str">
        <f>IF(COUNTIFS(POLICY_PARAMETERS!$B$2:$B$13,"r",POLICY_PARAMETERS!$E$2:$E$13,C44,POLICY_PARAMETERS!$F$2:$F$13,D44,POLICY_PARAMETERS!$G$2:$G$13,"&lt;&gt;")=0,"",SUMIFS(POLICY_PARAMETERS!$G$2:$G$13,POLICY_PARAMETERS!$B$2:$B$13,"r",POLICY_PARAMETERS!$E$2:$E$13,C44,POLICY_PARAMETERS!$F$2:$F$13,D44))</f>
        <v/>
      </c>
      <c r="M44" s="24" t="str">
        <f t="shared" si="4"/>
        <v/>
      </c>
      <c r="N44" s="25" t="str">
        <f t="shared" si="5"/>
        <v/>
      </c>
      <c r="O44" s="26">
        <f>IF(D44=2025,IFERROR(VLOOKUP(A44,OFFICIAL_ALLOCATIONS!$A$2:$F$111,5,FALSE),""),IFERROR(VLOOKUP(A44,OFFICIAL_ALLOCATIONS!$A$2:$F$111,6,FALSE),""))</f>
        <v>407990</v>
      </c>
      <c r="P44" s="42" t="str">
        <f t="shared" si="6"/>
        <v/>
      </c>
      <c r="Q44" s="28" t="str">
        <f t="shared" si="7"/>
        <v/>
      </c>
      <c r="R44" s="5" t="str">
        <f t="shared" si="8"/>
        <v>MISSING HISTORICAL DATA</v>
      </c>
      <c r="S44" s="5" t="s">
        <v>179</v>
      </c>
      <c r="T44" s="5" t="s">
        <v>59</v>
      </c>
    </row>
    <row r="45" ht="15.75" customHeight="1">
      <c r="A45" s="3" t="s">
        <v>994</v>
      </c>
      <c r="B45" s="3" t="s">
        <v>165</v>
      </c>
      <c r="C45" s="3" t="s">
        <v>41</v>
      </c>
      <c r="D45" s="9">
        <v>2026.0</v>
      </c>
      <c r="E45" s="9">
        <f t="shared" si="1"/>
        <v>2023</v>
      </c>
      <c r="F45" s="9">
        <f t="shared" si="2"/>
        <v>2025</v>
      </c>
      <c r="G45" s="31" t="str">
        <f>IF(COUNTIFS(HISTORICAL_DATA!$A$2:$A$441,$A45,HISTORICAL_DATA!$D$2:$D$441,"&gt;="&amp;$E45,HISTORICAL_DATA!$D$2:$D$441,"&lt;="&amp;$F45,HISTORICAL_DATA!$E$2:$E$441,"&lt;&gt;")&lt;3,"",SUMIFS(HISTORICAL_DATA!$E$2:$E$441,HISTORICAL_DATA!$A$2:$A$441,$A45,HISTORICAL_DATA!$D$2:$D$441,"&gt;="&amp;$E45,HISTORICAL_DATA!$D$2:$D$441,"&lt;="&amp;$F45)/3)</f>
        <v/>
      </c>
      <c r="H45" s="31" t="str">
        <f>IF(COUNTIFS(HISTORICAL_DATA!$A$2:$A$441,$A45,HISTORICAL_DATA!$D$2:$D$441,"&gt;="&amp;$E45,HISTORICAL_DATA!$D$2:$D$441,"&lt;="&amp;$F45,HISTORICAL_DATA!$G$2:$G$441,"&lt;&gt;")&lt;3,"",SUMIFS(HISTORICAL_DATA!$G$2:$G$441,HISTORICAL_DATA!$A$2:$A$441,$A45,HISTORICAL_DATA!$D$2:$D$441,"&gt;="&amp;$E45,HISTORICAL_DATA!$D$2:$D$441,"&lt;="&amp;$F45)/3)</f>
        <v/>
      </c>
      <c r="I45" s="31" t="str">
        <f>IF(OR(G45="",H45=""),"FACILITY DATA MISSING",IF(AND(COUNTIFS($C$2:$C$221,C45,$D$2:$D$221,D45,$G$2:$G$221,"&lt;&gt;")=COUNTIF(OFFICIAL_ALLOCATIONS!$C$2:$C$111,C45),COUNTIFS($C$2:$C$221,C45,$D$2:$D$221,D45,$H$2:$H$221,"&lt;&gt;")=COUNTIF(OFFICIAL_ALLOCATIONS!$C$2:$C$111,C45)),"COMPLETE","SECTOR DATA INCOMPLETE"))</f>
        <v>FACILITY DATA MISSING</v>
      </c>
      <c r="J45" s="9" t="str">
        <f t="shared" si="3"/>
        <v/>
      </c>
      <c r="K45" s="23" t="str">
        <f>IF(COUNTIFS(POLICY_PARAMETERS!$B$2:$B$13,"g",POLICY_PARAMETERS!$E$2:$E$13,C45,POLICY_PARAMETERS!$F$2:$F$13,D45,POLICY_PARAMETERS!$G$2:$G$13,"&lt;&gt;")=0,"",SUMIFS(POLICY_PARAMETERS!$G$2:$G$13,POLICY_PARAMETERS!$B$2:$B$13,"g",POLICY_PARAMETERS!$E$2:$E$13,C45,POLICY_PARAMETERS!$F$2:$F$13,D45))</f>
        <v/>
      </c>
      <c r="L45" s="23" t="str">
        <f>IF(COUNTIFS(POLICY_PARAMETERS!$B$2:$B$13,"r",POLICY_PARAMETERS!$E$2:$E$13,C45,POLICY_PARAMETERS!$F$2:$F$13,D45,POLICY_PARAMETERS!$G$2:$G$13,"&lt;&gt;")=0,"",SUMIFS(POLICY_PARAMETERS!$G$2:$G$13,POLICY_PARAMETERS!$B$2:$B$13,"r",POLICY_PARAMETERS!$E$2:$E$13,C45,POLICY_PARAMETERS!$F$2:$F$13,D45))</f>
        <v/>
      </c>
      <c r="M45" s="24" t="str">
        <f t="shared" si="4"/>
        <v/>
      </c>
      <c r="N45" s="25" t="str">
        <f t="shared" si="5"/>
        <v/>
      </c>
      <c r="O45" s="26">
        <f>IF(D45=2025,IFERROR(VLOOKUP(A45,OFFICIAL_ALLOCATIONS!$A$2:$F$111,5,FALSE),""),IFERROR(VLOOKUP(A45,OFFICIAL_ALLOCATIONS!$A$2:$F$111,6,FALSE),""))</f>
        <v>446965</v>
      </c>
      <c r="P45" s="42" t="str">
        <f t="shared" si="6"/>
        <v/>
      </c>
      <c r="Q45" s="28" t="str">
        <f t="shared" si="7"/>
        <v/>
      </c>
      <c r="R45" s="5" t="str">
        <f t="shared" si="8"/>
        <v>MISSING HISTORICAL DATA</v>
      </c>
      <c r="S45" s="5" t="s">
        <v>179</v>
      </c>
      <c r="T45" s="5" t="s">
        <v>59</v>
      </c>
    </row>
    <row r="46" ht="15.75" customHeight="1">
      <c r="A46" s="3" t="s">
        <v>995</v>
      </c>
      <c r="B46" s="3" t="s">
        <v>167</v>
      </c>
      <c r="C46" s="3" t="s">
        <v>41</v>
      </c>
      <c r="D46" s="9">
        <v>2025.0</v>
      </c>
      <c r="E46" s="9">
        <f t="shared" si="1"/>
        <v>2022</v>
      </c>
      <c r="F46" s="9">
        <f t="shared" si="2"/>
        <v>2024</v>
      </c>
      <c r="G46" s="31" t="str">
        <f>IF(COUNTIFS(HISTORICAL_DATA!$A$2:$A$441,$A46,HISTORICAL_DATA!$D$2:$D$441,"&gt;="&amp;$E46,HISTORICAL_DATA!$D$2:$D$441,"&lt;="&amp;$F46,HISTORICAL_DATA!$E$2:$E$441,"&lt;&gt;")&lt;3,"",SUMIFS(HISTORICAL_DATA!$E$2:$E$441,HISTORICAL_DATA!$A$2:$A$441,$A46,HISTORICAL_DATA!$D$2:$D$441,"&gt;="&amp;$E46,HISTORICAL_DATA!$D$2:$D$441,"&lt;="&amp;$F46)/3)</f>
        <v/>
      </c>
      <c r="H46" s="31" t="str">
        <f>IF(COUNTIFS(HISTORICAL_DATA!$A$2:$A$441,$A46,HISTORICAL_DATA!$D$2:$D$441,"&gt;="&amp;$E46,HISTORICAL_DATA!$D$2:$D$441,"&lt;="&amp;$F46,HISTORICAL_DATA!$G$2:$G$441,"&lt;&gt;")&lt;3,"",SUMIFS(HISTORICAL_DATA!$G$2:$G$441,HISTORICAL_DATA!$A$2:$A$441,$A46,HISTORICAL_DATA!$D$2:$D$441,"&gt;="&amp;$E46,HISTORICAL_DATA!$D$2:$D$441,"&lt;="&amp;$F46)/3)</f>
        <v/>
      </c>
      <c r="I46" s="31" t="str">
        <f>IF(OR(G46="",H46=""),"FACILITY DATA MISSING",IF(AND(COUNTIFS($C$2:$C$221,C46,$D$2:$D$221,D46,$G$2:$G$221,"&lt;&gt;")=COUNTIF(OFFICIAL_ALLOCATIONS!$C$2:$C$111,C46),COUNTIFS($C$2:$C$221,C46,$D$2:$D$221,D46,$H$2:$H$221,"&lt;&gt;")=COUNTIF(OFFICIAL_ALLOCATIONS!$C$2:$C$111,C46)),"COMPLETE","SECTOR DATA INCOMPLETE"))</f>
        <v>FACILITY DATA MISSING</v>
      </c>
      <c r="J46" s="9" t="str">
        <f t="shared" si="3"/>
        <v/>
      </c>
      <c r="K46" s="23" t="str">
        <f>IF(COUNTIFS(POLICY_PARAMETERS!$B$2:$B$13,"g",POLICY_PARAMETERS!$E$2:$E$13,C46,POLICY_PARAMETERS!$F$2:$F$13,D46,POLICY_PARAMETERS!$G$2:$G$13,"&lt;&gt;")=0,"",SUMIFS(POLICY_PARAMETERS!$G$2:$G$13,POLICY_PARAMETERS!$B$2:$B$13,"g",POLICY_PARAMETERS!$E$2:$E$13,C46,POLICY_PARAMETERS!$F$2:$F$13,D46))</f>
        <v/>
      </c>
      <c r="L46" s="23" t="str">
        <f>IF(COUNTIFS(POLICY_PARAMETERS!$B$2:$B$13,"r",POLICY_PARAMETERS!$E$2:$E$13,C46,POLICY_PARAMETERS!$F$2:$F$13,D46,POLICY_PARAMETERS!$G$2:$G$13,"&lt;&gt;")=0,"",SUMIFS(POLICY_PARAMETERS!$G$2:$G$13,POLICY_PARAMETERS!$B$2:$B$13,"r",POLICY_PARAMETERS!$E$2:$E$13,C46,POLICY_PARAMETERS!$F$2:$F$13,D46))</f>
        <v/>
      </c>
      <c r="M46" s="24" t="str">
        <f t="shared" si="4"/>
        <v/>
      </c>
      <c r="N46" s="25" t="str">
        <f t="shared" si="5"/>
        <v/>
      </c>
      <c r="O46" s="26">
        <f>IF(D46=2025,IFERROR(VLOOKUP(A46,OFFICIAL_ALLOCATIONS!$A$2:$F$111,5,FALSE),""),IFERROR(VLOOKUP(A46,OFFICIAL_ALLOCATIONS!$A$2:$F$111,6,FALSE),""))</f>
        <v>512653</v>
      </c>
      <c r="P46" s="42" t="str">
        <f t="shared" si="6"/>
        <v/>
      </c>
      <c r="Q46" s="28" t="str">
        <f t="shared" si="7"/>
        <v/>
      </c>
      <c r="R46" s="5" t="str">
        <f t="shared" si="8"/>
        <v>MISSING HISTORICAL DATA</v>
      </c>
      <c r="S46" s="5" t="s">
        <v>179</v>
      </c>
      <c r="T46" s="5" t="s">
        <v>59</v>
      </c>
    </row>
    <row r="47" ht="15.75" customHeight="1">
      <c r="A47" s="3" t="s">
        <v>995</v>
      </c>
      <c r="B47" s="3" t="s">
        <v>167</v>
      </c>
      <c r="C47" s="3" t="s">
        <v>41</v>
      </c>
      <c r="D47" s="9">
        <v>2026.0</v>
      </c>
      <c r="E47" s="9">
        <f t="shared" si="1"/>
        <v>2023</v>
      </c>
      <c r="F47" s="9">
        <f t="shared" si="2"/>
        <v>2025</v>
      </c>
      <c r="G47" s="31" t="str">
        <f>IF(COUNTIFS(HISTORICAL_DATA!$A$2:$A$441,$A47,HISTORICAL_DATA!$D$2:$D$441,"&gt;="&amp;$E47,HISTORICAL_DATA!$D$2:$D$441,"&lt;="&amp;$F47,HISTORICAL_DATA!$E$2:$E$441,"&lt;&gt;")&lt;3,"",SUMIFS(HISTORICAL_DATA!$E$2:$E$441,HISTORICAL_DATA!$A$2:$A$441,$A47,HISTORICAL_DATA!$D$2:$D$441,"&gt;="&amp;$E47,HISTORICAL_DATA!$D$2:$D$441,"&lt;="&amp;$F47)/3)</f>
        <v/>
      </c>
      <c r="H47" s="31" t="str">
        <f>IF(COUNTIFS(HISTORICAL_DATA!$A$2:$A$441,$A47,HISTORICAL_DATA!$D$2:$D$441,"&gt;="&amp;$E47,HISTORICAL_DATA!$D$2:$D$441,"&lt;="&amp;$F47,HISTORICAL_DATA!$G$2:$G$441,"&lt;&gt;")&lt;3,"",SUMIFS(HISTORICAL_DATA!$G$2:$G$441,HISTORICAL_DATA!$A$2:$A$441,$A47,HISTORICAL_DATA!$D$2:$D$441,"&gt;="&amp;$E47,HISTORICAL_DATA!$D$2:$D$441,"&lt;="&amp;$F47)/3)</f>
        <v/>
      </c>
      <c r="I47" s="31" t="str">
        <f>IF(OR(G47="",H47=""),"FACILITY DATA MISSING",IF(AND(COUNTIFS($C$2:$C$221,C47,$D$2:$D$221,D47,$G$2:$G$221,"&lt;&gt;")=COUNTIF(OFFICIAL_ALLOCATIONS!$C$2:$C$111,C47),COUNTIFS($C$2:$C$221,C47,$D$2:$D$221,D47,$H$2:$H$221,"&lt;&gt;")=COUNTIF(OFFICIAL_ALLOCATIONS!$C$2:$C$111,C47)),"COMPLETE","SECTOR DATA INCOMPLETE"))</f>
        <v>FACILITY DATA MISSING</v>
      </c>
      <c r="J47" s="9" t="str">
        <f t="shared" si="3"/>
        <v/>
      </c>
      <c r="K47" s="23" t="str">
        <f>IF(COUNTIFS(POLICY_PARAMETERS!$B$2:$B$13,"g",POLICY_PARAMETERS!$E$2:$E$13,C47,POLICY_PARAMETERS!$F$2:$F$13,D47,POLICY_PARAMETERS!$G$2:$G$13,"&lt;&gt;")=0,"",SUMIFS(POLICY_PARAMETERS!$G$2:$G$13,POLICY_PARAMETERS!$B$2:$B$13,"g",POLICY_PARAMETERS!$E$2:$E$13,C47,POLICY_PARAMETERS!$F$2:$F$13,D47))</f>
        <v/>
      </c>
      <c r="L47" s="23" t="str">
        <f>IF(COUNTIFS(POLICY_PARAMETERS!$B$2:$B$13,"r",POLICY_PARAMETERS!$E$2:$E$13,C47,POLICY_PARAMETERS!$F$2:$F$13,D47,POLICY_PARAMETERS!$G$2:$G$13,"&lt;&gt;")=0,"",SUMIFS(POLICY_PARAMETERS!$G$2:$G$13,POLICY_PARAMETERS!$B$2:$B$13,"r",POLICY_PARAMETERS!$E$2:$E$13,C47,POLICY_PARAMETERS!$F$2:$F$13,D47))</f>
        <v/>
      </c>
      <c r="M47" s="24" t="str">
        <f t="shared" si="4"/>
        <v/>
      </c>
      <c r="N47" s="25" t="str">
        <f t="shared" si="5"/>
        <v/>
      </c>
      <c r="O47" s="26">
        <f>IF(D47=2025,IFERROR(VLOOKUP(A47,OFFICIAL_ALLOCATIONS!$A$2:$F$111,5,FALSE),""),IFERROR(VLOOKUP(A47,OFFICIAL_ALLOCATIONS!$A$2:$F$111,6,FALSE),""))</f>
        <v>561627</v>
      </c>
      <c r="P47" s="42" t="str">
        <f t="shared" si="6"/>
        <v/>
      </c>
      <c r="Q47" s="28" t="str">
        <f t="shared" si="7"/>
        <v/>
      </c>
      <c r="R47" s="5" t="str">
        <f t="shared" si="8"/>
        <v>MISSING HISTORICAL DATA</v>
      </c>
      <c r="S47" s="5" t="s">
        <v>179</v>
      </c>
      <c r="T47" s="5" t="s">
        <v>59</v>
      </c>
    </row>
    <row r="48" ht="15.75" customHeight="1">
      <c r="A48" s="3" t="s">
        <v>996</v>
      </c>
      <c r="B48" s="3" t="s">
        <v>169</v>
      </c>
      <c r="C48" s="3" t="s">
        <v>41</v>
      </c>
      <c r="D48" s="9">
        <v>2025.0</v>
      </c>
      <c r="E48" s="9">
        <f t="shared" si="1"/>
        <v>2022</v>
      </c>
      <c r="F48" s="9">
        <f t="shared" si="2"/>
        <v>2024</v>
      </c>
      <c r="G48" s="31" t="str">
        <f>IF(COUNTIFS(HISTORICAL_DATA!$A$2:$A$441,$A48,HISTORICAL_DATA!$D$2:$D$441,"&gt;="&amp;$E48,HISTORICAL_DATA!$D$2:$D$441,"&lt;="&amp;$F48,HISTORICAL_DATA!$E$2:$E$441,"&lt;&gt;")&lt;3,"",SUMIFS(HISTORICAL_DATA!$E$2:$E$441,HISTORICAL_DATA!$A$2:$A$441,$A48,HISTORICAL_DATA!$D$2:$D$441,"&gt;="&amp;$E48,HISTORICAL_DATA!$D$2:$D$441,"&lt;="&amp;$F48)/3)</f>
        <v/>
      </c>
      <c r="H48" s="31" t="str">
        <f>IF(COUNTIFS(HISTORICAL_DATA!$A$2:$A$441,$A48,HISTORICAL_DATA!$D$2:$D$441,"&gt;="&amp;$E48,HISTORICAL_DATA!$D$2:$D$441,"&lt;="&amp;$F48,HISTORICAL_DATA!$G$2:$G$441,"&lt;&gt;")&lt;3,"",SUMIFS(HISTORICAL_DATA!$G$2:$G$441,HISTORICAL_DATA!$A$2:$A$441,$A48,HISTORICAL_DATA!$D$2:$D$441,"&gt;="&amp;$E48,HISTORICAL_DATA!$D$2:$D$441,"&lt;="&amp;$F48)/3)</f>
        <v/>
      </c>
      <c r="I48" s="31" t="str">
        <f>IF(OR(G48="",H48=""),"FACILITY DATA MISSING",IF(AND(COUNTIFS($C$2:$C$221,C48,$D$2:$D$221,D48,$G$2:$G$221,"&lt;&gt;")=COUNTIF(OFFICIAL_ALLOCATIONS!$C$2:$C$111,C48),COUNTIFS($C$2:$C$221,C48,$D$2:$D$221,D48,$H$2:$H$221,"&lt;&gt;")=COUNTIF(OFFICIAL_ALLOCATIONS!$C$2:$C$111,C48)),"COMPLETE","SECTOR DATA INCOMPLETE"))</f>
        <v>FACILITY DATA MISSING</v>
      </c>
      <c r="J48" s="9" t="str">
        <f t="shared" si="3"/>
        <v/>
      </c>
      <c r="K48" s="23" t="str">
        <f>IF(COUNTIFS(POLICY_PARAMETERS!$B$2:$B$13,"g",POLICY_PARAMETERS!$E$2:$E$13,C48,POLICY_PARAMETERS!$F$2:$F$13,D48,POLICY_PARAMETERS!$G$2:$G$13,"&lt;&gt;")=0,"",SUMIFS(POLICY_PARAMETERS!$G$2:$G$13,POLICY_PARAMETERS!$B$2:$B$13,"g",POLICY_PARAMETERS!$E$2:$E$13,C48,POLICY_PARAMETERS!$F$2:$F$13,D48))</f>
        <v/>
      </c>
      <c r="L48" s="23" t="str">
        <f>IF(COUNTIFS(POLICY_PARAMETERS!$B$2:$B$13,"r",POLICY_PARAMETERS!$E$2:$E$13,C48,POLICY_PARAMETERS!$F$2:$F$13,D48,POLICY_PARAMETERS!$G$2:$G$13,"&lt;&gt;")=0,"",SUMIFS(POLICY_PARAMETERS!$G$2:$G$13,POLICY_PARAMETERS!$B$2:$B$13,"r",POLICY_PARAMETERS!$E$2:$E$13,C48,POLICY_PARAMETERS!$F$2:$F$13,D48))</f>
        <v/>
      </c>
      <c r="M48" s="24" t="str">
        <f t="shared" si="4"/>
        <v/>
      </c>
      <c r="N48" s="25" t="str">
        <f t="shared" si="5"/>
        <v/>
      </c>
      <c r="O48" s="26">
        <f>IF(D48=2025,IFERROR(VLOOKUP(A48,OFFICIAL_ALLOCATIONS!$A$2:$F$111,5,FALSE),""),IFERROR(VLOOKUP(A48,OFFICIAL_ALLOCATIONS!$A$2:$F$111,6,FALSE),""))</f>
        <v>89</v>
      </c>
      <c r="P48" s="42" t="str">
        <f t="shared" si="6"/>
        <v/>
      </c>
      <c r="Q48" s="28" t="str">
        <f t="shared" si="7"/>
        <v/>
      </c>
      <c r="R48" s="5" t="str">
        <f t="shared" si="8"/>
        <v>MISSING HISTORICAL DATA</v>
      </c>
      <c r="S48" s="5" t="s">
        <v>179</v>
      </c>
      <c r="T48" s="5" t="s">
        <v>59</v>
      </c>
    </row>
    <row r="49" ht="15.75" customHeight="1">
      <c r="A49" s="3" t="s">
        <v>996</v>
      </c>
      <c r="B49" s="3" t="s">
        <v>169</v>
      </c>
      <c r="C49" s="3" t="s">
        <v>41</v>
      </c>
      <c r="D49" s="9">
        <v>2026.0</v>
      </c>
      <c r="E49" s="9">
        <f t="shared" si="1"/>
        <v>2023</v>
      </c>
      <c r="F49" s="9">
        <f t="shared" si="2"/>
        <v>2025</v>
      </c>
      <c r="G49" s="31" t="str">
        <f>IF(COUNTIFS(HISTORICAL_DATA!$A$2:$A$441,$A49,HISTORICAL_DATA!$D$2:$D$441,"&gt;="&amp;$E49,HISTORICAL_DATA!$D$2:$D$441,"&lt;="&amp;$F49,HISTORICAL_DATA!$E$2:$E$441,"&lt;&gt;")&lt;3,"",SUMIFS(HISTORICAL_DATA!$E$2:$E$441,HISTORICAL_DATA!$A$2:$A$441,$A49,HISTORICAL_DATA!$D$2:$D$441,"&gt;="&amp;$E49,HISTORICAL_DATA!$D$2:$D$441,"&lt;="&amp;$F49)/3)</f>
        <v/>
      </c>
      <c r="H49" s="31" t="str">
        <f>IF(COUNTIFS(HISTORICAL_DATA!$A$2:$A$441,$A49,HISTORICAL_DATA!$D$2:$D$441,"&gt;="&amp;$E49,HISTORICAL_DATA!$D$2:$D$441,"&lt;="&amp;$F49,HISTORICAL_DATA!$G$2:$G$441,"&lt;&gt;")&lt;3,"",SUMIFS(HISTORICAL_DATA!$G$2:$G$441,HISTORICAL_DATA!$A$2:$A$441,$A49,HISTORICAL_DATA!$D$2:$D$441,"&gt;="&amp;$E49,HISTORICAL_DATA!$D$2:$D$441,"&lt;="&amp;$F49)/3)</f>
        <v/>
      </c>
      <c r="I49" s="31" t="str">
        <f>IF(OR(G49="",H49=""),"FACILITY DATA MISSING",IF(AND(COUNTIFS($C$2:$C$221,C49,$D$2:$D$221,D49,$G$2:$G$221,"&lt;&gt;")=COUNTIF(OFFICIAL_ALLOCATIONS!$C$2:$C$111,C49),COUNTIFS($C$2:$C$221,C49,$D$2:$D$221,D49,$H$2:$H$221,"&lt;&gt;")=COUNTIF(OFFICIAL_ALLOCATIONS!$C$2:$C$111,C49)),"COMPLETE","SECTOR DATA INCOMPLETE"))</f>
        <v>FACILITY DATA MISSING</v>
      </c>
      <c r="J49" s="9" t="str">
        <f t="shared" si="3"/>
        <v/>
      </c>
      <c r="K49" s="23" t="str">
        <f>IF(COUNTIFS(POLICY_PARAMETERS!$B$2:$B$13,"g",POLICY_PARAMETERS!$E$2:$E$13,C49,POLICY_PARAMETERS!$F$2:$F$13,D49,POLICY_PARAMETERS!$G$2:$G$13,"&lt;&gt;")=0,"",SUMIFS(POLICY_PARAMETERS!$G$2:$G$13,POLICY_PARAMETERS!$B$2:$B$13,"g",POLICY_PARAMETERS!$E$2:$E$13,C49,POLICY_PARAMETERS!$F$2:$F$13,D49))</f>
        <v/>
      </c>
      <c r="L49" s="23" t="str">
        <f>IF(COUNTIFS(POLICY_PARAMETERS!$B$2:$B$13,"r",POLICY_PARAMETERS!$E$2:$E$13,C49,POLICY_PARAMETERS!$F$2:$F$13,D49,POLICY_PARAMETERS!$G$2:$G$13,"&lt;&gt;")=0,"",SUMIFS(POLICY_PARAMETERS!$G$2:$G$13,POLICY_PARAMETERS!$B$2:$B$13,"r",POLICY_PARAMETERS!$E$2:$E$13,C49,POLICY_PARAMETERS!$F$2:$F$13,D49))</f>
        <v/>
      </c>
      <c r="M49" s="24" t="str">
        <f t="shared" si="4"/>
        <v/>
      </c>
      <c r="N49" s="25" t="str">
        <f t="shared" si="5"/>
        <v/>
      </c>
      <c r="O49" s="26">
        <f>IF(D49=2025,IFERROR(VLOOKUP(A49,OFFICIAL_ALLOCATIONS!$A$2:$F$111,5,FALSE),""),IFERROR(VLOOKUP(A49,OFFICIAL_ALLOCATIONS!$A$2:$F$111,6,FALSE),""))</f>
        <v>97</v>
      </c>
      <c r="P49" s="42" t="str">
        <f t="shared" si="6"/>
        <v/>
      </c>
      <c r="Q49" s="28" t="str">
        <f t="shared" si="7"/>
        <v/>
      </c>
      <c r="R49" s="5" t="str">
        <f t="shared" si="8"/>
        <v>MISSING HISTORICAL DATA</v>
      </c>
      <c r="S49" s="5" t="s">
        <v>179</v>
      </c>
      <c r="T49" s="5" t="s">
        <v>59</v>
      </c>
    </row>
    <row r="50" ht="15.75" customHeight="1">
      <c r="A50" s="3" t="s">
        <v>997</v>
      </c>
      <c r="B50" s="3" t="s">
        <v>171</v>
      </c>
      <c r="C50" s="3" t="s">
        <v>41</v>
      </c>
      <c r="D50" s="9">
        <v>2025.0</v>
      </c>
      <c r="E50" s="9">
        <f t="shared" si="1"/>
        <v>2022</v>
      </c>
      <c r="F50" s="9">
        <f t="shared" si="2"/>
        <v>2024</v>
      </c>
      <c r="G50" s="31" t="str">
        <f>IF(COUNTIFS(HISTORICAL_DATA!$A$2:$A$441,$A50,HISTORICAL_DATA!$D$2:$D$441,"&gt;="&amp;$E50,HISTORICAL_DATA!$D$2:$D$441,"&lt;="&amp;$F50,HISTORICAL_DATA!$E$2:$E$441,"&lt;&gt;")&lt;3,"",SUMIFS(HISTORICAL_DATA!$E$2:$E$441,HISTORICAL_DATA!$A$2:$A$441,$A50,HISTORICAL_DATA!$D$2:$D$441,"&gt;="&amp;$E50,HISTORICAL_DATA!$D$2:$D$441,"&lt;="&amp;$F50)/3)</f>
        <v/>
      </c>
      <c r="H50" s="31" t="str">
        <f>IF(COUNTIFS(HISTORICAL_DATA!$A$2:$A$441,$A50,HISTORICAL_DATA!$D$2:$D$441,"&gt;="&amp;$E50,HISTORICAL_DATA!$D$2:$D$441,"&lt;="&amp;$F50,HISTORICAL_DATA!$G$2:$G$441,"&lt;&gt;")&lt;3,"",SUMIFS(HISTORICAL_DATA!$G$2:$G$441,HISTORICAL_DATA!$A$2:$A$441,$A50,HISTORICAL_DATA!$D$2:$D$441,"&gt;="&amp;$E50,HISTORICAL_DATA!$D$2:$D$441,"&lt;="&amp;$F50)/3)</f>
        <v/>
      </c>
      <c r="I50" s="31" t="str">
        <f>IF(OR(G50="",H50=""),"FACILITY DATA MISSING",IF(AND(COUNTIFS($C$2:$C$221,C50,$D$2:$D$221,D50,$G$2:$G$221,"&lt;&gt;")=COUNTIF(OFFICIAL_ALLOCATIONS!$C$2:$C$111,C50),COUNTIFS($C$2:$C$221,C50,$D$2:$D$221,D50,$H$2:$H$221,"&lt;&gt;")=COUNTIF(OFFICIAL_ALLOCATIONS!$C$2:$C$111,C50)),"COMPLETE","SECTOR DATA INCOMPLETE"))</f>
        <v>FACILITY DATA MISSING</v>
      </c>
      <c r="J50" s="9" t="str">
        <f t="shared" si="3"/>
        <v/>
      </c>
      <c r="K50" s="23" t="str">
        <f>IF(COUNTIFS(POLICY_PARAMETERS!$B$2:$B$13,"g",POLICY_PARAMETERS!$E$2:$E$13,C50,POLICY_PARAMETERS!$F$2:$F$13,D50,POLICY_PARAMETERS!$G$2:$G$13,"&lt;&gt;")=0,"",SUMIFS(POLICY_PARAMETERS!$G$2:$G$13,POLICY_PARAMETERS!$B$2:$B$13,"g",POLICY_PARAMETERS!$E$2:$E$13,C50,POLICY_PARAMETERS!$F$2:$F$13,D50))</f>
        <v/>
      </c>
      <c r="L50" s="23" t="str">
        <f>IF(COUNTIFS(POLICY_PARAMETERS!$B$2:$B$13,"r",POLICY_PARAMETERS!$E$2:$E$13,C50,POLICY_PARAMETERS!$F$2:$F$13,D50,POLICY_PARAMETERS!$G$2:$G$13,"&lt;&gt;")=0,"",SUMIFS(POLICY_PARAMETERS!$G$2:$G$13,POLICY_PARAMETERS!$B$2:$B$13,"r",POLICY_PARAMETERS!$E$2:$E$13,C50,POLICY_PARAMETERS!$F$2:$F$13,D50))</f>
        <v/>
      </c>
      <c r="M50" s="24" t="str">
        <f t="shared" si="4"/>
        <v/>
      </c>
      <c r="N50" s="25" t="str">
        <f t="shared" si="5"/>
        <v/>
      </c>
      <c r="O50" s="26">
        <f>IF(D50=2025,IFERROR(VLOOKUP(A50,OFFICIAL_ALLOCATIONS!$A$2:$F$111,5,FALSE),""),IFERROR(VLOOKUP(A50,OFFICIAL_ALLOCATIONS!$A$2:$F$111,6,FALSE),""))</f>
        <v>1617372</v>
      </c>
      <c r="P50" s="42" t="str">
        <f t="shared" si="6"/>
        <v/>
      </c>
      <c r="Q50" s="28" t="str">
        <f t="shared" si="7"/>
        <v/>
      </c>
      <c r="R50" s="5" t="str">
        <f t="shared" si="8"/>
        <v>MISSING HISTORICAL DATA</v>
      </c>
      <c r="S50" s="5" t="s">
        <v>179</v>
      </c>
      <c r="T50" s="5" t="s">
        <v>59</v>
      </c>
    </row>
    <row r="51" ht="15.75" customHeight="1">
      <c r="A51" s="3" t="s">
        <v>997</v>
      </c>
      <c r="B51" s="3" t="s">
        <v>171</v>
      </c>
      <c r="C51" s="3" t="s">
        <v>41</v>
      </c>
      <c r="D51" s="9">
        <v>2026.0</v>
      </c>
      <c r="E51" s="9">
        <f t="shared" si="1"/>
        <v>2023</v>
      </c>
      <c r="F51" s="9">
        <f t="shared" si="2"/>
        <v>2025</v>
      </c>
      <c r="G51" s="31" t="str">
        <f>IF(COUNTIFS(HISTORICAL_DATA!$A$2:$A$441,$A51,HISTORICAL_DATA!$D$2:$D$441,"&gt;="&amp;$E51,HISTORICAL_DATA!$D$2:$D$441,"&lt;="&amp;$F51,HISTORICAL_DATA!$E$2:$E$441,"&lt;&gt;")&lt;3,"",SUMIFS(HISTORICAL_DATA!$E$2:$E$441,HISTORICAL_DATA!$A$2:$A$441,$A51,HISTORICAL_DATA!$D$2:$D$441,"&gt;="&amp;$E51,HISTORICAL_DATA!$D$2:$D$441,"&lt;="&amp;$F51)/3)</f>
        <v/>
      </c>
      <c r="H51" s="31" t="str">
        <f>IF(COUNTIFS(HISTORICAL_DATA!$A$2:$A$441,$A51,HISTORICAL_DATA!$D$2:$D$441,"&gt;="&amp;$E51,HISTORICAL_DATA!$D$2:$D$441,"&lt;="&amp;$F51,HISTORICAL_DATA!$G$2:$G$441,"&lt;&gt;")&lt;3,"",SUMIFS(HISTORICAL_DATA!$G$2:$G$441,HISTORICAL_DATA!$A$2:$A$441,$A51,HISTORICAL_DATA!$D$2:$D$441,"&gt;="&amp;$E51,HISTORICAL_DATA!$D$2:$D$441,"&lt;="&amp;$F51)/3)</f>
        <v/>
      </c>
      <c r="I51" s="31" t="str">
        <f>IF(OR(G51="",H51=""),"FACILITY DATA MISSING",IF(AND(COUNTIFS($C$2:$C$221,C51,$D$2:$D$221,D51,$G$2:$G$221,"&lt;&gt;")=COUNTIF(OFFICIAL_ALLOCATIONS!$C$2:$C$111,C51),COUNTIFS($C$2:$C$221,C51,$D$2:$D$221,D51,$H$2:$H$221,"&lt;&gt;")=COUNTIF(OFFICIAL_ALLOCATIONS!$C$2:$C$111,C51)),"COMPLETE","SECTOR DATA INCOMPLETE"))</f>
        <v>FACILITY DATA MISSING</v>
      </c>
      <c r="J51" s="9" t="str">
        <f t="shared" si="3"/>
        <v/>
      </c>
      <c r="K51" s="23" t="str">
        <f>IF(COUNTIFS(POLICY_PARAMETERS!$B$2:$B$13,"g",POLICY_PARAMETERS!$E$2:$E$13,C51,POLICY_PARAMETERS!$F$2:$F$13,D51,POLICY_PARAMETERS!$G$2:$G$13,"&lt;&gt;")=0,"",SUMIFS(POLICY_PARAMETERS!$G$2:$G$13,POLICY_PARAMETERS!$B$2:$B$13,"g",POLICY_PARAMETERS!$E$2:$E$13,C51,POLICY_PARAMETERS!$F$2:$F$13,D51))</f>
        <v/>
      </c>
      <c r="L51" s="23" t="str">
        <f>IF(COUNTIFS(POLICY_PARAMETERS!$B$2:$B$13,"r",POLICY_PARAMETERS!$E$2:$E$13,C51,POLICY_PARAMETERS!$F$2:$F$13,D51,POLICY_PARAMETERS!$G$2:$G$13,"&lt;&gt;")=0,"",SUMIFS(POLICY_PARAMETERS!$G$2:$G$13,POLICY_PARAMETERS!$B$2:$B$13,"r",POLICY_PARAMETERS!$E$2:$E$13,C51,POLICY_PARAMETERS!$F$2:$F$13,D51))</f>
        <v/>
      </c>
      <c r="M51" s="24" t="str">
        <f t="shared" si="4"/>
        <v/>
      </c>
      <c r="N51" s="25" t="str">
        <f t="shared" si="5"/>
        <v/>
      </c>
      <c r="O51" s="26">
        <f>IF(D51=2025,IFERROR(VLOOKUP(A51,OFFICIAL_ALLOCATIONS!$A$2:$F$111,5,FALSE),""),IFERROR(VLOOKUP(A51,OFFICIAL_ALLOCATIONS!$A$2:$F$111,6,FALSE),""))</f>
        <v>1771879</v>
      </c>
      <c r="P51" s="42" t="str">
        <f t="shared" si="6"/>
        <v/>
      </c>
      <c r="Q51" s="28" t="str">
        <f t="shared" si="7"/>
        <v/>
      </c>
      <c r="R51" s="5" t="str">
        <f t="shared" si="8"/>
        <v>MISSING HISTORICAL DATA</v>
      </c>
      <c r="S51" s="5" t="s">
        <v>179</v>
      </c>
      <c r="T51" s="5" t="s">
        <v>59</v>
      </c>
    </row>
    <row r="52" ht="15.75" customHeight="1">
      <c r="A52" s="3" t="s">
        <v>998</v>
      </c>
      <c r="B52" s="3" t="s">
        <v>173</v>
      </c>
      <c r="C52" s="3" t="s">
        <v>41</v>
      </c>
      <c r="D52" s="9">
        <v>2025.0</v>
      </c>
      <c r="E52" s="9">
        <f t="shared" si="1"/>
        <v>2022</v>
      </c>
      <c r="F52" s="9">
        <f t="shared" si="2"/>
        <v>2024</v>
      </c>
      <c r="G52" s="31" t="str">
        <f>IF(COUNTIFS(HISTORICAL_DATA!$A$2:$A$441,$A52,HISTORICAL_DATA!$D$2:$D$441,"&gt;="&amp;$E52,HISTORICAL_DATA!$D$2:$D$441,"&lt;="&amp;$F52,HISTORICAL_DATA!$E$2:$E$441,"&lt;&gt;")&lt;3,"",SUMIFS(HISTORICAL_DATA!$E$2:$E$441,HISTORICAL_DATA!$A$2:$A$441,$A52,HISTORICAL_DATA!$D$2:$D$441,"&gt;="&amp;$E52,HISTORICAL_DATA!$D$2:$D$441,"&lt;="&amp;$F52)/3)</f>
        <v/>
      </c>
      <c r="H52" s="31" t="str">
        <f>IF(COUNTIFS(HISTORICAL_DATA!$A$2:$A$441,$A52,HISTORICAL_DATA!$D$2:$D$441,"&gt;="&amp;$E52,HISTORICAL_DATA!$D$2:$D$441,"&lt;="&amp;$F52,HISTORICAL_DATA!$G$2:$G$441,"&lt;&gt;")&lt;3,"",SUMIFS(HISTORICAL_DATA!$G$2:$G$441,HISTORICAL_DATA!$A$2:$A$441,$A52,HISTORICAL_DATA!$D$2:$D$441,"&gt;="&amp;$E52,HISTORICAL_DATA!$D$2:$D$441,"&lt;="&amp;$F52)/3)</f>
        <v/>
      </c>
      <c r="I52" s="31" t="str">
        <f>IF(OR(G52="",H52=""),"FACILITY DATA MISSING",IF(AND(COUNTIFS($C$2:$C$221,C52,$D$2:$D$221,D52,$G$2:$G$221,"&lt;&gt;")=COUNTIF(OFFICIAL_ALLOCATIONS!$C$2:$C$111,C52),COUNTIFS($C$2:$C$221,C52,$D$2:$D$221,D52,$H$2:$H$221,"&lt;&gt;")=COUNTIF(OFFICIAL_ALLOCATIONS!$C$2:$C$111,C52)),"COMPLETE","SECTOR DATA INCOMPLETE"))</f>
        <v>FACILITY DATA MISSING</v>
      </c>
      <c r="J52" s="9" t="str">
        <f t="shared" si="3"/>
        <v/>
      </c>
      <c r="K52" s="23" t="str">
        <f>IF(COUNTIFS(POLICY_PARAMETERS!$B$2:$B$13,"g",POLICY_PARAMETERS!$E$2:$E$13,C52,POLICY_PARAMETERS!$F$2:$F$13,D52,POLICY_PARAMETERS!$G$2:$G$13,"&lt;&gt;")=0,"",SUMIFS(POLICY_PARAMETERS!$G$2:$G$13,POLICY_PARAMETERS!$B$2:$B$13,"g",POLICY_PARAMETERS!$E$2:$E$13,C52,POLICY_PARAMETERS!$F$2:$F$13,D52))</f>
        <v/>
      </c>
      <c r="L52" s="23" t="str">
        <f>IF(COUNTIFS(POLICY_PARAMETERS!$B$2:$B$13,"r",POLICY_PARAMETERS!$E$2:$E$13,C52,POLICY_PARAMETERS!$F$2:$F$13,D52,POLICY_PARAMETERS!$G$2:$G$13,"&lt;&gt;")=0,"",SUMIFS(POLICY_PARAMETERS!$G$2:$G$13,POLICY_PARAMETERS!$B$2:$B$13,"r",POLICY_PARAMETERS!$E$2:$E$13,C52,POLICY_PARAMETERS!$F$2:$F$13,D52))</f>
        <v/>
      </c>
      <c r="M52" s="24" t="str">
        <f t="shared" si="4"/>
        <v/>
      </c>
      <c r="N52" s="25" t="str">
        <f t="shared" si="5"/>
        <v/>
      </c>
      <c r="O52" s="26">
        <f>IF(D52=2025,IFERROR(VLOOKUP(A52,OFFICIAL_ALLOCATIONS!$A$2:$F$111,5,FALSE),""),IFERROR(VLOOKUP(A52,OFFICIAL_ALLOCATIONS!$A$2:$F$111,6,FALSE),""))</f>
        <v>9663688</v>
      </c>
      <c r="P52" s="42" t="str">
        <f t="shared" si="6"/>
        <v/>
      </c>
      <c r="Q52" s="28" t="str">
        <f t="shared" si="7"/>
        <v/>
      </c>
      <c r="R52" s="5" t="str">
        <f t="shared" si="8"/>
        <v>MISSING HISTORICAL DATA</v>
      </c>
      <c r="S52" s="5" t="s">
        <v>179</v>
      </c>
      <c r="T52" s="5" t="s">
        <v>59</v>
      </c>
    </row>
    <row r="53" ht="15.75" customHeight="1">
      <c r="A53" s="3" t="s">
        <v>998</v>
      </c>
      <c r="B53" s="3" t="s">
        <v>173</v>
      </c>
      <c r="C53" s="3" t="s">
        <v>41</v>
      </c>
      <c r="D53" s="9">
        <v>2026.0</v>
      </c>
      <c r="E53" s="9">
        <f t="shared" si="1"/>
        <v>2023</v>
      </c>
      <c r="F53" s="9">
        <f t="shared" si="2"/>
        <v>2025</v>
      </c>
      <c r="G53" s="31" t="str">
        <f>IF(COUNTIFS(HISTORICAL_DATA!$A$2:$A$441,$A53,HISTORICAL_DATA!$D$2:$D$441,"&gt;="&amp;$E53,HISTORICAL_DATA!$D$2:$D$441,"&lt;="&amp;$F53,HISTORICAL_DATA!$E$2:$E$441,"&lt;&gt;")&lt;3,"",SUMIFS(HISTORICAL_DATA!$E$2:$E$441,HISTORICAL_DATA!$A$2:$A$441,$A53,HISTORICAL_DATA!$D$2:$D$441,"&gt;="&amp;$E53,HISTORICAL_DATA!$D$2:$D$441,"&lt;="&amp;$F53)/3)</f>
        <v/>
      </c>
      <c r="H53" s="31" t="str">
        <f>IF(COUNTIFS(HISTORICAL_DATA!$A$2:$A$441,$A53,HISTORICAL_DATA!$D$2:$D$441,"&gt;="&amp;$E53,HISTORICAL_DATA!$D$2:$D$441,"&lt;="&amp;$F53,HISTORICAL_DATA!$G$2:$G$441,"&lt;&gt;")&lt;3,"",SUMIFS(HISTORICAL_DATA!$G$2:$G$441,HISTORICAL_DATA!$A$2:$A$441,$A53,HISTORICAL_DATA!$D$2:$D$441,"&gt;="&amp;$E53,HISTORICAL_DATA!$D$2:$D$441,"&lt;="&amp;$F53)/3)</f>
        <v/>
      </c>
      <c r="I53" s="31" t="str">
        <f>IF(OR(G53="",H53=""),"FACILITY DATA MISSING",IF(AND(COUNTIFS($C$2:$C$221,C53,$D$2:$D$221,D53,$G$2:$G$221,"&lt;&gt;")=COUNTIF(OFFICIAL_ALLOCATIONS!$C$2:$C$111,C53),COUNTIFS($C$2:$C$221,C53,$D$2:$D$221,D53,$H$2:$H$221,"&lt;&gt;")=COUNTIF(OFFICIAL_ALLOCATIONS!$C$2:$C$111,C53)),"COMPLETE","SECTOR DATA INCOMPLETE"))</f>
        <v>FACILITY DATA MISSING</v>
      </c>
      <c r="J53" s="9" t="str">
        <f t="shared" si="3"/>
        <v/>
      </c>
      <c r="K53" s="23" t="str">
        <f>IF(COUNTIFS(POLICY_PARAMETERS!$B$2:$B$13,"g",POLICY_PARAMETERS!$E$2:$E$13,C53,POLICY_PARAMETERS!$F$2:$F$13,D53,POLICY_PARAMETERS!$G$2:$G$13,"&lt;&gt;")=0,"",SUMIFS(POLICY_PARAMETERS!$G$2:$G$13,POLICY_PARAMETERS!$B$2:$B$13,"g",POLICY_PARAMETERS!$E$2:$E$13,C53,POLICY_PARAMETERS!$F$2:$F$13,D53))</f>
        <v/>
      </c>
      <c r="L53" s="23" t="str">
        <f>IF(COUNTIFS(POLICY_PARAMETERS!$B$2:$B$13,"r",POLICY_PARAMETERS!$E$2:$E$13,C53,POLICY_PARAMETERS!$F$2:$F$13,D53,POLICY_PARAMETERS!$G$2:$G$13,"&lt;&gt;")=0,"",SUMIFS(POLICY_PARAMETERS!$G$2:$G$13,POLICY_PARAMETERS!$B$2:$B$13,"r",POLICY_PARAMETERS!$E$2:$E$13,C53,POLICY_PARAMETERS!$F$2:$F$13,D53))</f>
        <v/>
      </c>
      <c r="M53" s="24" t="str">
        <f t="shared" si="4"/>
        <v/>
      </c>
      <c r="N53" s="25" t="str">
        <f t="shared" si="5"/>
        <v/>
      </c>
      <c r="O53" s="26">
        <f>IF(D53=2025,IFERROR(VLOOKUP(A53,OFFICIAL_ALLOCATIONS!$A$2:$F$111,5,FALSE),""),IFERROR(VLOOKUP(A53,OFFICIAL_ALLOCATIONS!$A$2:$F$111,6,FALSE),""))</f>
        <v>10586856</v>
      </c>
      <c r="P53" s="42" t="str">
        <f t="shared" si="6"/>
        <v/>
      </c>
      <c r="Q53" s="28" t="str">
        <f t="shared" si="7"/>
        <v/>
      </c>
      <c r="R53" s="5" t="str">
        <f t="shared" si="8"/>
        <v>MISSING HISTORICAL DATA</v>
      </c>
      <c r="S53" s="5" t="s">
        <v>179</v>
      </c>
      <c r="T53" s="5" t="s">
        <v>59</v>
      </c>
    </row>
    <row r="54" ht="15.75" customHeight="1">
      <c r="A54" s="3" t="s">
        <v>999</v>
      </c>
      <c r="B54" s="3" t="s">
        <v>175</v>
      </c>
      <c r="C54" s="3" t="s">
        <v>41</v>
      </c>
      <c r="D54" s="9">
        <v>2025.0</v>
      </c>
      <c r="E54" s="9">
        <f t="shared" si="1"/>
        <v>2022</v>
      </c>
      <c r="F54" s="9">
        <f t="shared" si="2"/>
        <v>2024</v>
      </c>
      <c r="G54" s="31" t="str">
        <f>IF(COUNTIFS(HISTORICAL_DATA!$A$2:$A$441,$A54,HISTORICAL_DATA!$D$2:$D$441,"&gt;="&amp;$E54,HISTORICAL_DATA!$D$2:$D$441,"&lt;="&amp;$F54,HISTORICAL_DATA!$E$2:$E$441,"&lt;&gt;")&lt;3,"",SUMIFS(HISTORICAL_DATA!$E$2:$E$441,HISTORICAL_DATA!$A$2:$A$441,$A54,HISTORICAL_DATA!$D$2:$D$441,"&gt;="&amp;$E54,HISTORICAL_DATA!$D$2:$D$441,"&lt;="&amp;$F54)/3)</f>
        <v/>
      </c>
      <c r="H54" s="31" t="str">
        <f>IF(COUNTIFS(HISTORICAL_DATA!$A$2:$A$441,$A54,HISTORICAL_DATA!$D$2:$D$441,"&gt;="&amp;$E54,HISTORICAL_DATA!$D$2:$D$441,"&lt;="&amp;$F54,HISTORICAL_DATA!$G$2:$G$441,"&lt;&gt;")&lt;3,"",SUMIFS(HISTORICAL_DATA!$G$2:$G$441,HISTORICAL_DATA!$A$2:$A$441,$A54,HISTORICAL_DATA!$D$2:$D$441,"&gt;="&amp;$E54,HISTORICAL_DATA!$D$2:$D$441,"&lt;="&amp;$F54)/3)</f>
        <v/>
      </c>
      <c r="I54" s="31" t="str">
        <f>IF(OR(G54="",H54=""),"FACILITY DATA MISSING",IF(AND(COUNTIFS($C$2:$C$221,C54,$D$2:$D$221,D54,$G$2:$G$221,"&lt;&gt;")=COUNTIF(OFFICIAL_ALLOCATIONS!$C$2:$C$111,C54),COUNTIFS($C$2:$C$221,C54,$D$2:$D$221,D54,$H$2:$H$221,"&lt;&gt;")=COUNTIF(OFFICIAL_ALLOCATIONS!$C$2:$C$111,C54)),"COMPLETE","SECTOR DATA INCOMPLETE"))</f>
        <v>FACILITY DATA MISSING</v>
      </c>
      <c r="J54" s="9" t="str">
        <f t="shared" si="3"/>
        <v/>
      </c>
      <c r="K54" s="23" t="str">
        <f>IF(COUNTIFS(POLICY_PARAMETERS!$B$2:$B$13,"g",POLICY_PARAMETERS!$E$2:$E$13,C54,POLICY_PARAMETERS!$F$2:$F$13,D54,POLICY_PARAMETERS!$G$2:$G$13,"&lt;&gt;")=0,"",SUMIFS(POLICY_PARAMETERS!$G$2:$G$13,POLICY_PARAMETERS!$B$2:$B$13,"g",POLICY_PARAMETERS!$E$2:$E$13,C54,POLICY_PARAMETERS!$F$2:$F$13,D54))</f>
        <v/>
      </c>
      <c r="L54" s="23" t="str">
        <f>IF(COUNTIFS(POLICY_PARAMETERS!$B$2:$B$13,"r",POLICY_PARAMETERS!$E$2:$E$13,C54,POLICY_PARAMETERS!$F$2:$F$13,D54,POLICY_PARAMETERS!$G$2:$G$13,"&lt;&gt;")=0,"",SUMIFS(POLICY_PARAMETERS!$G$2:$G$13,POLICY_PARAMETERS!$B$2:$B$13,"r",POLICY_PARAMETERS!$E$2:$E$13,C54,POLICY_PARAMETERS!$F$2:$F$13,D54))</f>
        <v/>
      </c>
      <c r="M54" s="24" t="str">
        <f t="shared" si="4"/>
        <v/>
      </c>
      <c r="N54" s="25" t="str">
        <f t="shared" si="5"/>
        <v/>
      </c>
      <c r="O54" s="26">
        <f>IF(D54=2025,IFERROR(VLOOKUP(A54,OFFICIAL_ALLOCATIONS!$A$2:$F$111,5,FALSE),""),IFERROR(VLOOKUP(A54,OFFICIAL_ALLOCATIONS!$A$2:$F$111,6,FALSE),""))</f>
        <v>3623243</v>
      </c>
      <c r="P54" s="42" t="str">
        <f t="shared" si="6"/>
        <v/>
      </c>
      <c r="Q54" s="28" t="str">
        <f t="shared" si="7"/>
        <v/>
      </c>
      <c r="R54" s="5" t="str">
        <f t="shared" si="8"/>
        <v>MISSING HISTORICAL DATA</v>
      </c>
      <c r="S54" s="5" t="s">
        <v>179</v>
      </c>
      <c r="T54" s="5" t="s">
        <v>59</v>
      </c>
    </row>
    <row r="55" ht="15.75" customHeight="1">
      <c r="A55" s="3" t="s">
        <v>999</v>
      </c>
      <c r="B55" s="3" t="s">
        <v>175</v>
      </c>
      <c r="C55" s="3" t="s">
        <v>41</v>
      </c>
      <c r="D55" s="9">
        <v>2026.0</v>
      </c>
      <c r="E55" s="9">
        <f t="shared" si="1"/>
        <v>2023</v>
      </c>
      <c r="F55" s="9">
        <f t="shared" si="2"/>
        <v>2025</v>
      </c>
      <c r="G55" s="31" t="str">
        <f>IF(COUNTIFS(HISTORICAL_DATA!$A$2:$A$441,$A55,HISTORICAL_DATA!$D$2:$D$441,"&gt;="&amp;$E55,HISTORICAL_DATA!$D$2:$D$441,"&lt;="&amp;$F55,HISTORICAL_DATA!$E$2:$E$441,"&lt;&gt;")&lt;3,"",SUMIFS(HISTORICAL_DATA!$E$2:$E$441,HISTORICAL_DATA!$A$2:$A$441,$A55,HISTORICAL_DATA!$D$2:$D$441,"&gt;="&amp;$E55,HISTORICAL_DATA!$D$2:$D$441,"&lt;="&amp;$F55)/3)</f>
        <v/>
      </c>
      <c r="H55" s="31" t="str">
        <f>IF(COUNTIFS(HISTORICAL_DATA!$A$2:$A$441,$A55,HISTORICAL_DATA!$D$2:$D$441,"&gt;="&amp;$E55,HISTORICAL_DATA!$D$2:$D$441,"&lt;="&amp;$F55,HISTORICAL_DATA!$G$2:$G$441,"&lt;&gt;")&lt;3,"",SUMIFS(HISTORICAL_DATA!$G$2:$G$441,HISTORICAL_DATA!$A$2:$A$441,$A55,HISTORICAL_DATA!$D$2:$D$441,"&gt;="&amp;$E55,HISTORICAL_DATA!$D$2:$D$441,"&lt;="&amp;$F55)/3)</f>
        <v/>
      </c>
      <c r="I55" s="31" t="str">
        <f>IF(OR(G55="",H55=""),"FACILITY DATA MISSING",IF(AND(COUNTIFS($C$2:$C$221,C55,$D$2:$D$221,D55,$G$2:$G$221,"&lt;&gt;")=COUNTIF(OFFICIAL_ALLOCATIONS!$C$2:$C$111,C55),COUNTIFS($C$2:$C$221,C55,$D$2:$D$221,D55,$H$2:$H$221,"&lt;&gt;")=COUNTIF(OFFICIAL_ALLOCATIONS!$C$2:$C$111,C55)),"COMPLETE","SECTOR DATA INCOMPLETE"))</f>
        <v>FACILITY DATA MISSING</v>
      </c>
      <c r="J55" s="9" t="str">
        <f t="shared" si="3"/>
        <v/>
      </c>
      <c r="K55" s="23" t="str">
        <f>IF(COUNTIFS(POLICY_PARAMETERS!$B$2:$B$13,"g",POLICY_PARAMETERS!$E$2:$E$13,C55,POLICY_PARAMETERS!$F$2:$F$13,D55,POLICY_PARAMETERS!$G$2:$G$13,"&lt;&gt;")=0,"",SUMIFS(POLICY_PARAMETERS!$G$2:$G$13,POLICY_PARAMETERS!$B$2:$B$13,"g",POLICY_PARAMETERS!$E$2:$E$13,C55,POLICY_PARAMETERS!$F$2:$F$13,D55))</f>
        <v/>
      </c>
      <c r="L55" s="23" t="str">
        <f>IF(COUNTIFS(POLICY_PARAMETERS!$B$2:$B$13,"r",POLICY_PARAMETERS!$E$2:$E$13,C55,POLICY_PARAMETERS!$F$2:$F$13,D55,POLICY_PARAMETERS!$G$2:$G$13,"&lt;&gt;")=0,"",SUMIFS(POLICY_PARAMETERS!$G$2:$G$13,POLICY_PARAMETERS!$B$2:$B$13,"r",POLICY_PARAMETERS!$E$2:$E$13,C55,POLICY_PARAMETERS!$F$2:$F$13,D55))</f>
        <v/>
      </c>
      <c r="M55" s="24" t="str">
        <f t="shared" si="4"/>
        <v/>
      </c>
      <c r="N55" s="25" t="str">
        <f t="shared" si="5"/>
        <v/>
      </c>
      <c r="O55" s="26">
        <f>IF(D55=2025,IFERROR(VLOOKUP(A55,OFFICIAL_ALLOCATIONS!$A$2:$F$111,5,FALSE),""),IFERROR(VLOOKUP(A55,OFFICIAL_ALLOCATIONS!$A$2:$F$111,6,FALSE),""))</f>
        <v>3969369</v>
      </c>
      <c r="P55" s="42" t="str">
        <f t="shared" si="6"/>
        <v/>
      </c>
      <c r="Q55" s="28" t="str">
        <f t="shared" si="7"/>
        <v/>
      </c>
      <c r="R55" s="5" t="str">
        <f t="shared" si="8"/>
        <v>MISSING HISTORICAL DATA</v>
      </c>
      <c r="S55" s="5" t="s">
        <v>179</v>
      </c>
      <c r="T55" s="5" t="s">
        <v>59</v>
      </c>
    </row>
    <row r="56" ht="15.75" customHeight="1">
      <c r="A56" s="3" t="s">
        <v>1000</v>
      </c>
      <c r="B56" s="3" t="s">
        <v>176</v>
      </c>
      <c r="C56" s="3" t="s">
        <v>41</v>
      </c>
      <c r="D56" s="9">
        <v>2025.0</v>
      </c>
      <c r="E56" s="9">
        <f t="shared" si="1"/>
        <v>2022</v>
      </c>
      <c r="F56" s="9">
        <f t="shared" si="2"/>
        <v>2024</v>
      </c>
      <c r="G56" s="31" t="str">
        <f>IF(COUNTIFS(HISTORICAL_DATA!$A$2:$A$441,$A56,HISTORICAL_DATA!$D$2:$D$441,"&gt;="&amp;$E56,HISTORICAL_DATA!$D$2:$D$441,"&lt;="&amp;$F56,HISTORICAL_DATA!$E$2:$E$441,"&lt;&gt;")&lt;3,"",SUMIFS(HISTORICAL_DATA!$E$2:$E$441,HISTORICAL_DATA!$A$2:$A$441,$A56,HISTORICAL_DATA!$D$2:$D$441,"&gt;="&amp;$E56,HISTORICAL_DATA!$D$2:$D$441,"&lt;="&amp;$F56)/3)</f>
        <v/>
      </c>
      <c r="H56" s="31" t="str">
        <f>IF(COUNTIFS(HISTORICAL_DATA!$A$2:$A$441,$A56,HISTORICAL_DATA!$D$2:$D$441,"&gt;="&amp;$E56,HISTORICAL_DATA!$D$2:$D$441,"&lt;="&amp;$F56,HISTORICAL_DATA!$G$2:$G$441,"&lt;&gt;")&lt;3,"",SUMIFS(HISTORICAL_DATA!$G$2:$G$441,HISTORICAL_DATA!$A$2:$A$441,$A56,HISTORICAL_DATA!$D$2:$D$441,"&gt;="&amp;$E56,HISTORICAL_DATA!$D$2:$D$441,"&lt;="&amp;$F56)/3)</f>
        <v/>
      </c>
      <c r="I56" s="31" t="str">
        <f>IF(OR(G56="",H56=""),"FACILITY DATA MISSING",IF(AND(COUNTIFS($C$2:$C$221,C56,$D$2:$D$221,D56,$G$2:$G$221,"&lt;&gt;")=COUNTIF(OFFICIAL_ALLOCATIONS!$C$2:$C$111,C56),COUNTIFS($C$2:$C$221,C56,$D$2:$D$221,D56,$H$2:$H$221,"&lt;&gt;")=COUNTIF(OFFICIAL_ALLOCATIONS!$C$2:$C$111,C56)),"COMPLETE","SECTOR DATA INCOMPLETE"))</f>
        <v>FACILITY DATA MISSING</v>
      </c>
      <c r="J56" s="9" t="str">
        <f t="shared" si="3"/>
        <v/>
      </c>
      <c r="K56" s="23" t="str">
        <f>IF(COUNTIFS(POLICY_PARAMETERS!$B$2:$B$13,"g",POLICY_PARAMETERS!$E$2:$E$13,C56,POLICY_PARAMETERS!$F$2:$F$13,D56,POLICY_PARAMETERS!$G$2:$G$13,"&lt;&gt;")=0,"",SUMIFS(POLICY_PARAMETERS!$G$2:$G$13,POLICY_PARAMETERS!$B$2:$B$13,"g",POLICY_PARAMETERS!$E$2:$E$13,C56,POLICY_PARAMETERS!$F$2:$F$13,D56))</f>
        <v/>
      </c>
      <c r="L56" s="23" t="str">
        <f>IF(COUNTIFS(POLICY_PARAMETERS!$B$2:$B$13,"r",POLICY_PARAMETERS!$E$2:$E$13,C56,POLICY_PARAMETERS!$F$2:$F$13,D56,POLICY_PARAMETERS!$G$2:$G$13,"&lt;&gt;")=0,"",SUMIFS(POLICY_PARAMETERS!$G$2:$G$13,POLICY_PARAMETERS!$B$2:$B$13,"r",POLICY_PARAMETERS!$E$2:$E$13,C56,POLICY_PARAMETERS!$F$2:$F$13,D56))</f>
        <v/>
      </c>
      <c r="M56" s="24" t="str">
        <f t="shared" si="4"/>
        <v/>
      </c>
      <c r="N56" s="25" t="str">
        <f t="shared" si="5"/>
        <v/>
      </c>
      <c r="O56" s="26">
        <f>IF(D56=2025,IFERROR(VLOOKUP(A56,OFFICIAL_ALLOCATIONS!$A$2:$F$111,5,FALSE),""),IFERROR(VLOOKUP(A56,OFFICIAL_ALLOCATIONS!$A$2:$F$111,6,FALSE),""))</f>
        <v>2728391</v>
      </c>
      <c r="P56" s="42" t="str">
        <f t="shared" si="6"/>
        <v/>
      </c>
      <c r="Q56" s="28" t="str">
        <f t="shared" si="7"/>
        <v/>
      </c>
      <c r="R56" s="5" t="str">
        <f t="shared" si="8"/>
        <v>MISSING HISTORICAL DATA</v>
      </c>
      <c r="S56" s="5" t="s">
        <v>179</v>
      </c>
      <c r="T56" s="5" t="s">
        <v>59</v>
      </c>
    </row>
    <row r="57" ht="15.75" customHeight="1">
      <c r="A57" s="3" t="s">
        <v>1000</v>
      </c>
      <c r="B57" s="3" t="s">
        <v>176</v>
      </c>
      <c r="C57" s="3" t="s">
        <v>41</v>
      </c>
      <c r="D57" s="9">
        <v>2026.0</v>
      </c>
      <c r="E57" s="9">
        <f t="shared" si="1"/>
        <v>2023</v>
      </c>
      <c r="F57" s="9">
        <f t="shared" si="2"/>
        <v>2025</v>
      </c>
      <c r="G57" s="31" t="str">
        <f>IF(COUNTIFS(HISTORICAL_DATA!$A$2:$A$441,$A57,HISTORICAL_DATA!$D$2:$D$441,"&gt;="&amp;$E57,HISTORICAL_DATA!$D$2:$D$441,"&lt;="&amp;$F57,HISTORICAL_DATA!$E$2:$E$441,"&lt;&gt;")&lt;3,"",SUMIFS(HISTORICAL_DATA!$E$2:$E$441,HISTORICAL_DATA!$A$2:$A$441,$A57,HISTORICAL_DATA!$D$2:$D$441,"&gt;="&amp;$E57,HISTORICAL_DATA!$D$2:$D$441,"&lt;="&amp;$F57)/3)</f>
        <v/>
      </c>
      <c r="H57" s="31" t="str">
        <f>IF(COUNTIFS(HISTORICAL_DATA!$A$2:$A$441,$A57,HISTORICAL_DATA!$D$2:$D$441,"&gt;="&amp;$E57,HISTORICAL_DATA!$D$2:$D$441,"&lt;="&amp;$F57,HISTORICAL_DATA!$G$2:$G$441,"&lt;&gt;")&lt;3,"",SUMIFS(HISTORICAL_DATA!$G$2:$G$441,HISTORICAL_DATA!$A$2:$A$441,$A57,HISTORICAL_DATA!$D$2:$D$441,"&gt;="&amp;$E57,HISTORICAL_DATA!$D$2:$D$441,"&lt;="&amp;$F57)/3)</f>
        <v/>
      </c>
      <c r="I57" s="31" t="str">
        <f>IF(OR(G57="",H57=""),"FACILITY DATA MISSING",IF(AND(COUNTIFS($C$2:$C$221,C57,$D$2:$D$221,D57,$G$2:$G$221,"&lt;&gt;")=COUNTIF(OFFICIAL_ALLOCATIONS!$C$2:$C$111,C57),COUNTIFS($C$2:$C$221,C57,$D$2:$D$221,D57,$H$2:$H$221,"&lt;&gt;")=COUNTIF(OFFICIAL_ALLOCATIONS!$C$2:$C$111,C57)),"COMPLETE","SECTOR DATA INCOMPLETE"))</f>
        <v>FACILITY DATA MISSING</v>
      </c>
      <c r="J57" s="9" t="str">
        <f t="shared" si="3"/>
        <v/>
      </c>
      <c r="K57" s="23" t="str">
        <f>IF(COUNTIFS(POLICY_PARAMETERS!$B$2:$B$13,"g",POLICY_PARAMETERS!$E$2:$E$13,C57,POLICY_PARAMETERS!$F$2:$F$13,D57,POLICY_PARAMETERS!$G$2:$G$13,"&lt;&gt;")=0,"",SUMIFS(POLICY_PARAMETERS!$G$2:$G$13,POLICY_PARAMETERS!$B$2:$B$13,"g",POLICY_PARAMETERS!$E$2:$E$13,C57,POLICY_PARAMETERS!$F$2:$F$13,D57))</f>
        <v/>
      </c>
      <c r="L57" s="23" t="str">
        <f>IF(COUNTIFS(POLICY_PARAMETERS!$B$2:$B$13,"r",POLICY_PARAMETERS!$E$2:$E$13,C57,POLICY_PARAMETERS!$F$2:$F$13,D57,POLICY_PARAMETERS!$G$2:$G$13,"&lt;&gt;")=0,"",SUMIFS(POLICY_PARAMETERS!$G$2:$G$13,POLICY_PARAMETERS!$B$2:$B$13,"r",POLICY_PARAMETERS!$E$2:$E$13,C57,POLICY_PARAMETERS!$F$2:$F$13,D57))</f>
        <v/>
      </c>
      <c r="M57" s="24" t="str">
        <f t="shared" si="4"/>
        <v/>
      </c>
      <c r="N57" s="25" t="str">
        <f t="shared" si="5"/>
        <v/>
      </c>
      <c r="O57" s="26">
        <f>IF(D57=2025,IFERROR(VLOOKUP(A57,OFFICIAL_ALLOCATIONS!$A$2:$F$111,5,FALSE),""),IFERROR(VLOOKUP(A57,OFFICIAL_ALLOCATIONS!$A$2:$F$111,6,FALSE),""))</f>
        <v>2989033</v>
      </c>
      <c r="P57" s="42" t="str">
        <f t="shared" si="6"/>
        <v/>
      </c>
      <c r="Q57" s="28" t="str">
        <f t="shared" si="7"/>
        <v/>
      </c>
      <c r="R57" s="5" t="str">
        <f t="shared" si="8"/>
        <v>MISSING HISTORICAL DATA</v>
      </c>
      <c r="S57" s="5" t="s">
        <v>179</v>
      </c>
      <c r="T57" s="5" t="s">
        <v>59</v>
      </c>
    </row>
    <row r="58" ht="15.75" customHeight="1">
      <c r="A58" s="3" t="s">
        <v>1001</v>
      </c>
      <c r="B58" s="3" t="s">
        <v>177</v>
      </c>
      <c r="C58" s="3" t="s">
        <v>41</v>
      </c>
      <c r="D58" s="9">
        <v>2025.0</v>
      </c>
      <c r="E58" s="9">
        <f t="shared" si="1"/>
        <v>2022</v>
      </c>
      <c r="F58" s="9">
        <f t="shared" si="2"/>
        <v>2024</v>
      </c>
      <c r="G58" s="31" t="str">
        <f>IF(COUNTIFS(HISTORICAL_DATA!$A$2:$A$441,$A58,HISTORICAL_DATA!$D$2:$D$441,"&gt;="&amp;$E58,HISTORICAL_DATA!$D$2:$D$441,"&lt;="&amp;$F58,HISTORICAL_DATA!$E$2:$E$441,"&lt;&gt;")&lt;3,"",SUMIFS(HISTORICAL_DATA!$E$2:$E$441,HISTORICAL_DATA!$A$2:$A$441,$A58,HISTORICAL_DATA!$D$2:$D$441,"&gt;="&amp;$E58,HISTORICAL_DATA!$D$2:$D$441,"&lt;="&amp;$F58)/3)</f>
        <v/>
      </c>
      <c r="H58" s="31" t="str">
        <f>IF(COUNTIFS(HISTORICAL_DATA!$A$2:$A$441,$A58,HISTORICAL_DATA!$D$2:$D$441,"&gt;="&amp;$E58,HISTORICAL_DATA!$D$2:$D$441,"&lt;="&amp;$F58,HISTORICAL_DATA!$G$2:$G$441,"&lt;&gt;")&lt;3,"",SUMIFS(HISTORICAL_DATA!$G$2:$G$441,HISTORICAL_DATA!$A$2:$A$441,$A58,HISTORICAL_DATA!$D$2:$D$441,"&gt;="&amp;$E58,HISTORICAL_DATA!$D$2:$D$441,"&lt;="&amp;$F58)/3)</f>
        <v/>
      </c>
      <c r="I58" s="31" t="str">
        <f>IF(OR(G58="",H58=""),"FACILITY DATA MISSING",IF(AND(COUNTIFS($C$2:$C$221,C58,$D$2:$D$221,D58,$G$2:$G$221,"&lt;&gt;")=COUNTIF(OFFICIAL_ALLOCATIONS!$C$2:$C$111,C58),COUNTIFS($C$2:$C$221,C58,$D$2:$D$221,D58,$H$2:$H$221,"&lt;&gt;")=COUNTIF(OFFICIAL_ALLOCATIONS!$C$2:$C$111,C58)),"COMPLETE","SECTOR DATA INCOMPLETE"))</f>
        <v>FACILITY DATA MISSING</v>
      </c>
      <c r="J58" s="9" t="str">
        <f t="shared" si="3"/>
        <v/>
      </c>
      <c r="K58" s="23" t="str">
        <f>IF(COUNTIFS(POLICY_PARAMETERS!$B$2:$B$13,"g",POLICY_PARAMETERS!$E$2:$E$13,C58,POLICY_PARAMETERS!$F$2:$F$13,D58,POLICY_PARAMETERS!$G$2:$G$13,"&lt;&gt;")=0,"",SUMIFS(POLICY_PARAMETERS!$G$2:$G$13,POLICY_PARAMETERS!$B$2:$B$13,"g",POLICY_PARAMETERS!$E$2:$E$13,C58,POLICY_PARAMETERS!$F$2:$F$13,D58))</f>
        <v/>
      </c>
      <c r="L58" s="23" t="str">
        <f>IF(COUNTIFS(POLICY_PARAMETERS!$B$2:$B$13,"r",POLICY_PARAMETERS!$E$2:$E$13,C58,POLICY_PARAMETERS!$F$2:$F$13,D58,POLICY_PARAMETERS!$G$2:$G$13,"&lt;&gt;")=0,"",SUMIFS(POLICY_PARAMETERS!$G$2:$G$13,POLICY_PARAMETERS!$B$2:$B$13,"r",POLICY_PARAMETERS!$E$2:$E$13,C58,POLICY_PARAMETERS!$F$2:$F$13,D58))</f>
        <v/>
      </c>
      <c r="M58" s="24" t="str">
        <f t="shared" si="4"/>
        <v/>
      </c>
      <c r="N58" s="25" t="str">
        <f t="shared" si="5"/>
        <v/>
      </c>
      <c r="O58" s="26">
        <f>IF(D58=2025,IFERROR(VLOOKUP(A58,OFFICIAL_ALLOCATIONS!$A$2:$F$111,5,FALSE),""),IFERROR(VLOOKUP(A58,OFFICIAL_ALLOCATIONS!$A$2:$F$111,6,FALSE),""))</f>
        <v>5199840</v>
      </c>
      <c r="P58" s="42" t="str">
        <f t="shared" si="6"/>
        <v/>
      </c>
      <c r="Q58" s="28" t="str">
        <f t="shared" si="7"/>
        <v/>
      </c>
      <c r="R58" s="5" t="str">
        <f t="shared" si="8"/>
        <v>MISSING HISTORICAL DATA</v>
      </c>
      <c r="S58" s="5" t="s">
        <v>179</v>
      </c>
      <c r="T58" s="5" t="s">
        <v>59</v>
      </c>
    </row>
    <row r="59" ht="15.75" customHeight="1">
      <c r="A59" s="3" t="s">
        <v>1001</v>
      </c>
      <c r="B59" s="3" t="s">
        <v>177</v>
      </c>
      <c r="C59" s="3" t="s">
        <v>41</v>
      </c>
      <c r="D59" s="9">
        <v>2026.0</v>
      </c>
      <c r="E59" s="9">
        <f t="shared" si="1"/>
        <v>2023</v>
      </c>
      <c r="F59" s="9">
        <f t="shared" si="2"/>
        <v>2025</v>
      </c>
      <c r="G59" s="31" t="str">
        <f>IF(COUNTIFS(HISTORICAL_DATA!$A$2:$A$441,$A59,HISTORICAL_DATA!$D$2:$D$441,"&gt;="&amp;$E59,HISTORICAL_DATA!$D$2:$D$441,"&lt;="&amp;$F59,HISTORICAL_DATA!$E$2:$E$441,"&lt;&gt;")&lt;3,"",SUMIFS(HISTORICAL_DATA!$E$2:$E$441,HISTORICAL_DATA!$A$2:$A$441,$A59,HISTORICAL_DATA!$D$2:$D$441,"&gt;="&amp;$E59,HISTORICAL_DATA!$D$2:$D$441,"&lt;="&amp;$F59)/3)</f>
        <v/>
      </c>
      <c r="H59" s="31" t="str">
        <f>IF(COUNTIFS(HISTORICAL_DATA!$A$2:$A$441,$A59,HISTORICAL_DATA!$D$2:$D$441,"&gt;="&amp;$E59,HISTORICAL_DATA!$D$2:$D$441,"&lt;="&amp;$F59,HISTORICAL_DATA!$G$2:$G$441,"&lt;&gt;")&lt;3,"",SUMIFS(HISTORICAL_DATA!$G$2:$G$441,HISTORICAL_DATA!$A$2:$A$441,$A59,HISTORICAL_DATA!$D$2:$D$441,"&gt;="&amp;$E59,HISTORICAL_DATA!$D$2:$D$441,"&lt;="&amp;$F59)/3)</f>
        <v/>
      </c>
      <c r="I59" s="31" t="str">
        <f>IF(OR(G59="",H59=""),"FACILITY DATA MISSING",IF(AND(COUNTIFS($C$2:$C$221,C59,$D$2:$D$221,D59,$G$2:$G$221,"&lt;&gt;")=COUNTIF(OFFICIAL_ALLOCATIONS!$C$2:$C$111,C59),COUNTIFS($C$2:$C$221,C59,$D$2:$D$221,D59,$H$2:$H$221,"&lt;&gt;")=COUNTIF(OFFICIAL_ALLOCATIONS!$C$2:$C$111,C59)),"COMPLETE","SECTOR DATA INCOMPLETE"))</f>
        <v>FACILITY DATA MISSING</v>
      </c>
      <c r="J59" s="9" t="str">
        <f t="shared" si="3"/>
        <v/>
      </c>
      <c r="K59" s="23" t="str">
        <f>IF(COUNTIFS(POLICY_PARAMETERS!$B$2:$B$13,"g",POLICY_PARAMETERS!$E$2:$E$13,C59,POLICY_PARAMETERS!$F$2:$F$13,D59,POLICY_PARAMETERS!$G$2:$G$13,"&lt;&gt;")=0,"",SUMIFS(POLICY_PARAMETERS!$G$2:$G$13,POLICY_PARAMETERS!$B$2:$B$13,"g",POLICY_PARAMETERS!$E$2:$E$13,C59,POLICY_PARAMETERS!$F$2:$F$13,D59))</f>
        <v/>
      </c>
      <c r="L59" s="23" t="str">
        <f>IF(COUNTIFS(POLICY_PARAMETERS!$B$2:$B$13,"r",POLICY_PARAMETERS!$E$2:$E$13,C59,POLICY_PARAMETERS!$F$2:$F$13,D59,POLICY_PARAMETERS!$G$2:$G$13,"&lt;&gt;")=0,"",SUMIFS(POLICY_PARAMETERS!$G$2:$G$13,POLICY_PARAMETERS!$B$2:$B$13,"r",POLICY_PARAMETERS!$E$2:$E$13,C59,POLICY_PARAMETERS!$F$2:$F$13,D59))</f>
        <v/>
      </c>
      <c r="M59" s="24" t="str">
        <f t="shared" si="4"/>
        <v/>
      </c>
      <c r="N59" s="25" t="str">
        <f t="shared" si="5"/>
        <v/>
      </c>
      <c r="O59" s="26">
        <f>IF(D59=2025,IFERROR(VLOOKUP(A59,OFFICIAL_ALLOCATIONS!$A$2:$F$111,5,FALSE),""),IFERROR(VLOOKUP(A59,OFFICIAL_ALLOCATIONS!$A$2:$F$111,6,FALSE),""))</f>
        <v>5696578</v>
      </c>
      <c r="P59" s="42" t="str">
        <f t="shared" si="6"/>
        <v/>
      </c>
      <c r="Q59" s="28" t="str">
        <f t="shared" si="7"/>
        <v/>
      </c>
      <c r="R59" s="5" t="str">
        <f t="shared" si="8"/>
        <v>MISSING HISTORICAL DATA</v>
      </c>
      <c r="S59" s="5" t="s">
        <v>179</v>
      </c>
      <c r="T59" s="5" t="s">
        <v>59</v>
      </c>
    </row>
    <row r="60" ht="15.75" customHeight="1">
      <c r="A60" s="3" t="s">
        <v>1002</v>
      </c>
      <c r="B60" s="3" t="s">
        <v>180</v>
      </c>
      <c r="C60" s="3" t="s">
        <v>41</v>
      </c>
      <c r="D60" s="9">
        <v>2025.0</v>
      </c>
      <c r="E60" s="9">
        <f t="shared" si="1"/>
        <v>2022</v>
      </c>
      <c r="F60" s="9">
        <f t="shared" si="2"/>
        <v>2024</v>
      </c>
      <c r="G60" s="31" t="str">
        <f>IF(COUNTIFS(HISTORICAL_DATA!$A$2:$A$441,$A60,HISTORICAL_DATA!$D$2:$D$441,"&gt;="&amp;$E60,HISTORICAL_DATA!$D$2:$D$441,"&lt;="&amp;$F60,HISTORICAL_DATA!$E$2:$E$441,"&lt;&gt;")&lt;3,"",SUMIFS(HISTORICAL_DATA!$E$2:$E$441,HISTORICAL_DATA!$A$2:$A$441,$A60,HISTORICAL_DATA!$D$2:$D$441,"&gt;="&amp;$E60,HISTORICAL_DATA!$D$2:$D$441,"&lt;="&amp;$F60)/3)</f>
        <v/>
      </c>
      <c r="H60" s="31" t="str">
        <f>IF(COUNTIFS(HISTORICAL_DATA!$A$2:$A$441,$A60,HISTORICAL_DATA!$D$2:$D$441,"&gt;="&amp;$E60,HISTORICAL_DATA!$D$2:$D$441,"&lt;="&amp;$F60,HISTORICAL_DATA!$G$2:$G$441,"&lt;&gt;")&lt;3,"",SUMIFS(HISTORICAL_DATA!$G$2:$G$441,HISTORICAL_DATA!$A$2:$A$441,$A60,HISTORICAL_DATA!$D$2:$D$441,"&gt;="&amp;$E60,HISTORICAL_DATA!$D$2:$D$441,"&lt;="&amp;$F60)/3)</f>
        <v/>
      </c>
      <c r="I60" s="31" t="str">
        <f>IF(OR(G60="",H60=""),"FACILITY DATA MISSING",IF(AND(COUNTIFS($C$2:$C$221,C60,$D$2:$D$221,D60,$G$2:$G$221,"&lt;&gt;")=COUNTIF(OFFICIAL_ALLOCATIONS!$C$2:$C$111,C60),COUNTIFS($C$2:$C$221,C60,$D$2:$D$221,D60,$H$2:$H$221,"&lt;&gt;")=COUNTIF(OFFICIAL_ALLOCATIONS!$C$2:$C$111,C60)),"COMPLETE","SECTOR DATA INCOMPLETE"))</f>
        <v>FACILITY DATA MISSING</v>
      </c>
      <c r="J60" s="9" t="str">
        <f t="shared" si="3"/>
        <v/>
      </c>
      <c r="K60" s="23" t="str">
        <f>IF(COUNTIFS(POLICY_PARAMETERS!$B$2:$B$13,"g",POLICY_PARAMETERS!$E$2:$E$13,C60,POLICY_PARAMETERS!$F$2:$F$13,D60,POLICY_PARAMETERS!$G$2:$G$13,"&lt;&gt;")=0,"",SUMIFS(POLICY_PARAMETERS!$G$2:$G$13,POLICY_PARAMETERS!$B$2:$B$13,"g",POLICY_PARAMETERS!$E$2:$E$13,C60,POLICY_PARAMETERS!$F$2:$F$13,D60))</f>
        <v/>
      </c>
      <c r="L60" s="23" t="str">
        <f>IF(COUNTIFS(POLICY_PARAMETERS!$B$2:$B$13,"r",POLICY_PARAMETERS!$E$2:$E$13,C60,POLICY_PARAMETERS!$F$2:$F$13,D60,POLICY_PARAMETERS!$G$2:$G$13,"&lt;&gt;")=0,"",SUMIFS(POLICY_PARAMETERS!$G$2:$G$13,POLICY_PARAMETERS!$B$2:$B$13,"r",POLICY_PARAMETERS!$E$2:$E$13,C60,POLICY_PARAMETERS!$F$2:$F$13,D60))</f>
        <v/>
      </c>
      <c r="M60" s="24" t="str">
        <f t="shared" si="4"/>
        <v/>
      </c>
      <c r="N60" s="25" t="str">
        <f t="shared" si="5"/>
        <v/>
      </c>
      <c r="O60" s="26">
        <f>IF(D60=2025,IFERROR(VLOOKUP(A60,OFFICIAL_ALLOCATIONS!$A$2:$F$111,5,FALSE),""),IFERROR(VLOOKUP(A60,OFFICIAL_ALLOCATIONS!$A$2:$F$111,6,FALSE),""))</f>
        <v>1006602</v>
      </c>
      <c r="P60" s="42" t="str">
        <f t="shared" si="6"/>
        <v/>
      </c>
      <c r="Q60" s="28" t="str">
        <f t="shared" si="7"/>
        <v/>
      </c>
      <c r="R60" s="5" t="str">
        <f t="shared" si="8"/>
        <v>MISSING HISTORICAL DATA</v>
      </c>
      <c r="S60" s="5" t="s">
        <v>179</v>
      </c>
      <c r="T60" s="5" t="s">
        <v>59</v>
      </c>
    </row>
    <row r="61" ht="15.75" customHeight="1">
      <c r="A61" s="3" t="s">
        <v>1002</v>
      </c>
      <c r="B61" s="3" t="s">
        <v>180</v>
      </c>
      <c r="C61" s="3" t="s">
        <v>41</v>
      </c>
      <c r="D61" s="9">
        <v>2026.0</v>
      </c>
      <c r="E61" s="9">
        <f t="shared" si="1"/>
        <v>2023</v>
      </c>
      <c r="F61" s="9">
        <f t="shared" si="2"/>
        <v>2025</v>
      </c>
      <c r="G61" s="31" t="str">
        <f>IF(COUNTIFS(HISTORICAL_DATA!$A$2:$A$441,$A61,HISTORICAL_DATA!$D$2:$D$441,"&gt;="&amp;$E61,HISTORICAL_DATA!$D$2:$D$441,"&lt;="&amp;$F61,HISTORICAL_DATA!$E$2:$E$441,"&lt;&gt;")&lt;3,"",SUMIFS(HISTORICAL_DATA!$E$2:$E$441,HISTORICAL_DATA!$A$2:$A$441,$A61,HISTORICAL_DATA!$D$2:$D$441,"&gt;="&amp;$E61,HISTORICAL_DATA!$D$2:$D$441,"&lt;="&amp;$F61)/3)</f>
        <v/>
      </c>
      <c r="H61" s="31" t="str">
        <f>IF(COUNTIFS(HISTORICAL_DATA!$A$2:$A$441,$A61,HISTORICAL_DATA!$D$2:$D$441,"&gt;="&amp;$E61,HISTORICAL_DATA!$D$2:$D$441,"&lt;="&amp;$F61,HISTORICAL_DATA!$G$2:$G$441,"&lt;&gt;")&lt;3,"",SUMIFS(HISTORICAL_DATA!$G$2:$G$441,HISTORICAL_DATA!$A$2:$A$441,$A61,HISTORICAL_DATA!$D$2:$D$441,"&gt;="&amp;$E61,HISTORICAL_DATA!$D$2:$D$441,"&lt;="&amp;$F61)/3)</f>
        <v/>
      </c>
      <c r="I61" s="31" t="str">
        <f>IF(OR(G61="",H61=""),"FACILITY DATA MISSING",IF(AND(COUNTIFS($C$2:$C$221,C61,$D$2:$D$221,D61,$G$2:$G$221,"&lt;&gt;")=COUNTIF(OFFICIAL_ALLOCATIONS!$C$2:$C$111,C61),COUNTIFS($C$2:$C$221,C61,$D$2:$D$221,D61,$H$2:$H$221,"&lt;&gt;")=COUNTIF(OFFICIAL_ALLOCATIONS!$C$2:$C$111,C61)),"COMPLETE","SECTOR DATA INCOMPLETE"))</f>
        <v>FACILITY DATA MISSING</v>
      </c>
      <c r="J61" s="9" t="str">
        <f t="shared" si="3"/>
        <v/>
      </c>
      <c r="K61" s="23" t="str">
        <f>IF(COUNTIFS(POLICY_PARAMETERS!$B$2:$B$13,"g",POLICY_PARAMETERS!$E$2:$E$13,C61,POLICY_PARAMETERS!$F$2:$F$13,D61,POLICY_PARAMETERS!$G$2:$G$13,"&lt;&gt;")=0,"",SUMIFS(POLICY_PARAMETERS!$G$2:$G$13,POLICY_PARAMETERS!$B$2:$B$13,"g",POLICY_PARAMETERS!$E$2:$E$13,C61,POLICY_PARAMETERS!$F$2:$F$13,D61))</f>
        <v/>
      </c>
      <c r="L61" s="23" t="str">
        <f>IF(COUNTIFS(POLICY_PARAMETERS!$B$2:$B$13,"r",POLICY_PARAMETERS!$E$2:$E$13,C61,POLICY_PARAMETERS!$F$2:$F$13,D61,POLICY_PARAMETERS!$G$2:$G$13,"&lt;&gt;")=0,"",SUMIFS(POLICY_PARAMETERS!$G$2:$G$13,POLICY_PARAMETERS!$B$2:$B$13,"r",POLICY_PARAMETERS!$E$2:$E$13,C61,POLICY_PARAMETERS!$F$2:$F$13,D61))</f>
        <v/>
      </c>
      <c r="M61" s="24" t="str">
        <f t="shared" si="4"/>
        <v/>
      </c>
      <c r="N61" s="25" t="str">
        <f t="shared" si="5"/>
        <v/>
      </c>
      <c r="O61" s="26">
        <f>IF(D61=2025,IFERROR(VLOOKUP(A61,OFFICIAL_ALLOCATIONS!$A$2:$F$111,5,FALSE),""),IFERROR(VLOOKUP(A61,OFFICIAL_ALLOCATIONS!$A$2:$F$111,6,FALSE),""))</f>
        <v>1102763</v>
      </c>
      <c r="P61" s="42" t="str">
        <f t="shared" si="6"/>
        <v/>
      </c>
      <c r="Q61" s="28" t="str">
        <f t="shared" si="7"/>
        <v/>
      </c>
      <c r="R61" s="5" t="str">
        <f t="shared" si="8"/>
        <v>MISSING HISTORICAL DATA</v>
      </c>
      <c r="S61" s="5" t="s">
        <v>179</v>
      </c>
      <c r="T61" s="5" t="s">
        <v>59</v>
      </c>
    </row>
    <row r="62" ht="15.75" customHeight="1">
      <c r="A62" s="3" t="s">
        <v>1003</v>
      </c>
      <c r="B62" s="3" t="s">
        <v>182</v>
      </c>
      <c r="C62" s="3" t="s">
        <v>41</v>
      </c>
      <c r="D62" s="9">
        <v>2025.0</v>
      </c>
      <c r="E62" s="9">
        <f t="shared" si="1"/>
        <v>2022</v>
      </c>
      <c r="F62" s="9">
        <f t="shared" si="2"/>
        <v>2024</v>
      </c>
      <c r="G62" s="31" t="str">
        <f>IF(COUNTIFS(HISTORICAL_DATA!$A$2:$A$441,$A62,HISTORICAL_DATA!$D$2:$D$441,"&gt;="&amp;$E62,HISTORICAL_DATA!$D$2:$D$441,"&lt;="&amp;$F62,HISTORICAL_DATA!$E$2:$E$441,"&lt;&gt;")&lt;3,"",SUMIFS(HISTORICAL_DATA!$E$2:$E$441,HISTORICAL_DATA!$A$2:$A$441,$A62,HISTORICAL_DATA!$D$2:$D$441,"&gt;="&amp;$E62,HISTORICAL_DATA!$D$2:$D$441,"&lt;="&amp;$F62)/3)</f>
        <v/>
      </c>
      <c r="H62" s="31" t="str">
        <f>IF(COUNTIFS(HISTORICAL_DATA!$A$2:$A$441,$A62,HISTORICAL_DATA!$D$2:$D$441,"&gt;="&amp;$E62,HISTORICAL_DATA!$D$2:$D$441,"&lt;="&amp;$F62,HISTORICAL_DATA!$G$2:$G$441,"&lt;&gt;")&lt;3,"",SUMIFS(HISTORICAL_DATA!$G$2:$G$441,HISTORICAL_DATA!$A$2:$A$441,$A62,HISTORICAL_DATA!$D$2:$D$441,"&gt;="&amp;$E62,HISTORICAL_DATA!$D$2:$D$441,"&lt;="&amp;$F62)/3)</f>
        <v/>
      </c>
      <c r="I62" s="31" t="str">
        <f>IF(OR(G62="",H62=""),"FACILITY DATA MISSING",IF(AND(COUNTIFS($C$2:$C$221,C62,$D$2:$D$221,D62,$G$2:$G$221,"&lt;&gt;")=COUNTIF(OFFICIAL_ALLOCATIONS!$C$2:$C$111,C62),COUNTIFS($C$2:$C$221,C62,$D$2:$D$221,D62,$H$2:$H$221,"&lt;&gt;")=COUNTIF(OFFICIAL_ALLOCATIONS!$C$2:$C$111,C62)),"COMPLETE","SECTOR DATA INCOMPLETE"))</f>
        <v>FACILITY DATA MISSING</v>
      </c>
      <c r="J62" s="9" t="str">
        <f t="shared" si="3"/>
        <v/>
      </c>
      <c r="K62" s="23" t="str">
        <f>IF(COUNTIFS(POLICY_PARAMETERS!$B$2:$B$13,"g",POLICY_PARAMETERS!$E$2:$E$13,C62,POLICY_PARAMETERS!$F$2:$F$13,D62,POLICY_PARAMETERS!$G$2:$G$13,"&lt;&gt;")=0,"",SUMIFS(POLICY_PARAMETERS!$G$2:$G$13,POLICY_PARAMETERS!$B$2:$B$13,"g",POLICY_PARAMETERS!$E$2:$E$13,C62,POLICY_PARAMETERS!$F$2:$F$13,D62))</f>
        <v/>
      </c>
      <c r="L62" s="23" t="str">
        <f>IF(COUNTIFS(POLICY_PARAMETERS!$B$2:$B$13,"r",POLICY_PARAMETERS!$E$2:$E$13,C62,POLICY_PARAMETERS!$F$2:$F$13,D62,POLICY_PARAMETERS!$G$2:$G$13,"&lt;&gt;")=0,"",SUMIFS(POLICY_PARAMETERS!$G$2:$G$13,POLICY_PARAMETERS!$B$2:$B$13,"r",POLICY_PARAMETERS!$E$2:$E$13,C62,POLICY_PARAMETERS!$F$2:$F$13,D62))</f>
        <v/>
      </c>
      <c r="M62" s="24" t="str">
        <f t="shared" si="4"/>
        <v/>
      </c>
      <c r="N62" s="25" t="str">
        <f t="shared" si="5"/>
        <v/>
      </c>
      <c r="O62" s="26">
        <f>IF(D62=2025,IFERROR(VLOOKUP(A62,OFFICIAL_ALLOCATIONS!$A$2:$F$111,5,FALSE),""),IFERROR(VLOOKUP(A62,OFFICIAL_ALLOCATIONS!$A$2:$F$111,6,FALSE),""))</f>
        <v>1550998</v>
      </c>
      <c r="P62" s="42" t="str">
        <f t="shared" si="6"/>
        <v/>
      </c>
      <c r="Q62" s="28" t="str">
        <f t="shared" si="7"/>
        <v/>
      </c>
      <c r="R62" s="5" t="str">
        <f t="shared" si="8"/>
        <v>MISSING HISTORICAL DATA</v>
      </c>
      <c r="S62" s="5" t="s">
        <v>179</v>
      </c>
      <c r="T62" s="5" t="s">
        <v>59</v>
      </c>
    </row>
    <row r="63" ht="15.75" customHeight="1">
      <c r="A63" s="3" t="s">
        <v>1003</v>
      </c>
      <c r="B63" s="3" t="s">
        <v>182</v>
      </c>
      <c r="C63" s="3" t="s">
        <v>41</v>
      </c>
      <c r="D63" s="9">
        <v>2026.0</v>
      </c>
      <c r="E63" s="9">
        <f t="shared" si="1"/>
        <v>2023</v>
      </c>
      <c r="F63" s="9">
        <f t="shared" si="2"/>
        <v>2025</v>
      </c>
      <c r="G63" s="31" t="str">
        <f>IF(COUNTIFS(HISTORICAL_DATA!$A$2:$A$441,$A63,HISTORICAL_DATA!$D$2:$D$441,"&gt;="&amp;$E63,HISTORICAL_DATA!$D$2:$D$441,"&lt;="&amp;$F63,HISTORICAL_DATA!$E$2:$E$441,"&lt;&gt;")&lt;3,"",SUMIFS(HISTORICAL_DATA!$E$2:$E$441,HISTORICAL_DATA!$A$2:$A$441,$A63,HISTORICAL_DATA!$D$2:$D$441,"&gt;="&amp;$E63,HISTORICAL_DATA!$D$2:$D$441,"&lt;="&amp;$F63)/3)</f>
        <v/>
      </c>
      <c r="H63" s="31" t="str">
        <f>IF(COUNTIFS(HISTORICAL_DATA!$A$2:$A$441,$A63,HISTORICAL_DATA!$D$2:$D$441,"&gt;="&amp;$E63,HISTORICAL_DATA!$D$2:$D$441,"&lt;="&amp;$F63,HISTORICAL_DATA!$G$2:$G$441,"&lt;&gt;")&lt;3,"",SUMIFS(HISTORICAL_DATA!$G$2:$G$441,HISTORICAL_DATA!$A$2:$A$441,$A63,HISTORICAL_DATA!$D$2:$D$441,"&gt;="&amp;$E63,HISTORICAL_DATA!$D$2:$D$441,"&lt;="&amp;$F63)/3)</f>
        <v/>
      </c>
      <c r="I63" s="31" t="str">
        <f>IF(OR(G63="",H63=""),"FACILITY DATA MISSING",IF(AND(COUNTIFS($C$2:$C$221,C63,$D$2:$D$221,D63,$G$2:$G$221,"&lt;&gt;")=COUNTIF(OFFICIAL_ALLOCATIONS!$C$2:$C$111,C63),COUNTIFS($C$2:$C$221,C63,$D$2:$D$221,D63,$H$2:$H$221,"&lt;&gt;")=COUNTIF(OFFICIAL_ALLOCATIONS!$C$2:$C$111,C63)),"COMPLETE","SECTOR DATA INCOMPLETE"))</f>
        <v>FACILITY DATA MISSING</v>
      </c>
      <c r="J63" s="9" t="str">
        <f t="shared" si="3"/>
        <v/>
      </c>
      <c r="K63" s="23" t="str">
        <f>IF(COUNTIFS(POLICY_PARAMETERS!$B$2:$B$13,"g",POLICY_PARAMETERS!$E$2:$E$13,C63,POLICY_PARAMETERS!$F$2:$F$13,D63,POLICY_PARAMETERS!$G$2:$G$13,"&lt;&gt;")=0,"",SUMIFS(POLICY_PARAMETERS!$G$2:$G$13,POLICY_PARAMETERS!$B$2:$B$13,"g",POLICY_PARAMETERS!$E$2:$E$13,C63,POLICY_PARAMETERS!$F$2:$F$13,D63))</f>
        <v/>
      </c>
      <c r="L63" s="23" t="str">
        <f>IF(COUNTIFS(POLICY_PARAMETERS!$B$2:$B$13,"r",POLICY_PARAMETERS!$E$2:$E$13,C63,POLICY_PARAMETERS!$F$2:$F$13,D63,POLICY_PARAMETERS!$G$2:$G$13,"&lt;&gt;")=0,"",SUMIFS(POLICY_PARAMETERS!$G$2:$G$13,POLICY_PARAMETERS!$B$2:$B$13,"r",POLICY_PARAMETERS!$E$2:$E$13,C63,POLICY_PARAMETERS!$F$2:$F$13,D63))</f>
        <v/>
      </c>
      <c r="M63" s="24" t="str">
        <f t="shared" si="4"/>
        <v/>
      </c>
      <c r="N63" s="25" t="str">
        <f t="shared" si="5"/>
        <v/>
      </c>
      <c r="O63" s="26">
        <f>IF(D63=2025,IFERROR(VLOOKUP(A63,OFFICIAL_ALLOCATIONS!$A$2:$F$111,5,FALSE),""),IFERROR(VLOOKUP(A63,OFFICIAL_ALLOCATIONS!$A$2:$F$111,6,FALSE),""))</f>
        <v>1699164</v>
      </c>
      <c r="P63" s="42" t="str">
        <f t="shared" si="6"/>
        <v/>
      </c>
      <c r="Q63" s="28" t="str">
        <f t="shared" si="7"/>
        <v/>
      </c>
      <c r="R63" s="5" t="str">
        <f t="shared" si="8"/>
        <v>MISSING HISTORICAL DATA</v>
      </c>
      <c r="S63" s="5" t="s">
        <v>179</v>
      </c>
      <c r="T63" s="5" t="s">
        <v>59</v>
      </c>
    </row>
    <row r="64" ht="15.75" customHeight="1">
      <c r="A64" s="3" t="s">
        <v>1004</v>
      </c>
      <c r="B64" s="3" t="s">
        <v>183</v>
      </c>
      <c r="C64" s="3" t="s">
        <v>41</v>
      </c>
      <c r="D64" s="9">
        <v>2025.0</v>
      </c>
      <c r="E64" s="9">
        <f t="shared" si="1"/>
        <v>2022</v>
      </c>
      <c r="F64" s="9">
        <f t="shared" si="2"/>
        <v>2024</v>
      </c>
      <c r="G64" s="31" t="str">
        <f>IF(COUNTIFS(HISTORICAL_DATA!$A$2:$A$441,$A64,HISTORICAL_DATA!$D$2:$D$441,"&gt;="&amp;$E64,HISTORICAL_DATA!$D$2:$D$441,"&lt;="&amp;$F64,HISTORICAL_DATA!$E$2:$E$441,"&lt;&gt;")&lt;3,"",SUMIFS(HISTORICAL_DATA!$E$2:$E$441,HISTORICAL_DATA!$A$2:$A$441,$A64,HISTORICAL_DATA!$D$2:$D$441,"&gt;="&amp;$E64,HISTORICAL_DATA!$D$2:$D$441,"&lt;="&amp;$F64)/3)</f>
        <v/>
      </c>
      <c r="H64" s="31" t="str">
        <f>IF(COUNTIFS(HISTORICAL_DATA!$A$2:$A$441,$A64,HISTORICAL_DATA!$D$2:$D$441,"&gt;="&amp;$E64,HISTORICAL_DATA!$D$2:$D$441,"&lt;="&amp;$F64,HISTORICAL_DATA!$G$2:$G$441,"&lt;&gt;")&lt;3,"",SUMIFS(HISTORICAL_DATA!$G$2:$G$441,HISTORICAL_DATA!$A$2:$A$441,$A64,HISTORICAL_DATA!$D$2:$D$441,"&gt;="&amp;$E64,HISTORICAL_DATA!$D$2:$D$441,"&lt;="&amp;$F64)/3)</f>
        <v/>
      </c>
      <c r="I64" s="31" t="str">
        <f>IF(OR(G64="",H64=""),"FACILITY DATA MISSING",IF(AND(COUNTIFS($C$2:$C$221,C64,$D$2:$D$221,D64,$G$2:$G$221,"&lt;&gt;")=COUNTIF(OFFICIAL_ALLOCATIONS!$C$2:$C$111,C64),COUNTIFS($C$2:$C$221,C64,$D$2:$D$221,D64,$H$2:$H$221,"&lt;&gt;")=COUNTIF(OFFICIAL_ALLOCATIONS!$C$2:$C$111,C64)),"COMPLETE","SECTOR DATA INCOMPLETE"))</f>
        <v>FACILITY DATA MISSING</v>
      </c>
      <c r="J64" s="9" t="str">
        <f t="shared" si="3"/>
        <v/>
      </c>
      <c r="K64" s="23" t="str">
        <f>IF(COUNTIFS(POLICY_PARAMETERS!$B$2:$B$13,"g",POLICY_PARAMETERS!$E$2:$E$13,C64,POLICY_PARAMETERS!$F$2:$F$13,D64,POLICY_PARAMETERS!$G$2:$G$13,"&lt;&gt;")=0,"",SUMIFS(POLICY_PARAMETERS!$G$2:$G$13,POLICY_PARAMETERS!$B$2:$B$13,"g",POLICY_PARAMETERS!$E$2:$E$13,C64,POLICY_PARAMETERS!$F$2:$F$13,D64))</f>
        <v/>
      </c>
      <c r="L64" s="23" t="str">
        <f>IF(COUNTIFS(POLICY_PARAMETERS!$B$2:$B$13,"r",POLICY_PARAMETERS!$E$2:$E$13,C64,POLICY_PARAMETERS!$F$2:$F$13,D64,POLICY_PARAMETERS!$G$2:$G$13,"&lt;&gt;")=0,"",SUMIFS(POLICY_PARAMETERS!$G$2:$G$13,POLICY_PARAMETERS!$B$2:$B$13,"r",POLICY_PARAMETERS!$E$2:$E$13,C64,POLICY_PARAMETERS!$F$2:$F$13,D64))</f>
        <v/>
      </c>
      <c r="M64" s="24" t="str">
        <f t="shared" si="4"/>
        <v/>
      </c>
      <c r="N64" s="25" t="str">
        <f t="shared" si="5"/>
        <v/>
      </c>
      <c r="O64" s="26">
        <f>IF(D64=2025,IFERROR(VLOOKUP(A64,OFFICIAL_ALLOCATIONS!$A$2:$F$111,5,FALSE),""),IFERROR(VLOOKUP(A64,OFFICIAL_ALLOCATIONS!$A$2:$F$111,6,FALSE),""))</f>
        <v>924021</v>
      </c>
      <c r="P64" s="42" t="str">
        <f t="shared" si="6"/>
        <v/>
      </c>
      <c r="Q64" s="28" t="str">
        <f t="shared" si="7"/>
        <v/>
      </c>
      <c r="R64" s="5" t="str">
        <f t="shared" si="8"/>
        <v>MISSING HISTORICAL DATA</v>
      </c>
      <c r="S64" s="5" t="s">
        <v>179</v>
      </c>
      <c r="T64" s="5" t="s">
        <v>59</v>
      </c>
    </row>
    <row r="65" ht="15.75" customHeight="1">
      <c r="A65" s="3" t="s">
        <v>1004</v>
      </c>
      <c r="B65" s="3" t="s">
        <v>183</v>
      </c>
      <c r="C65" s="3" t="s">
        <v>41</v>
      </c>
      <c r="D65" s="9">
        <v>2026.0</v>
      </c>
      <c r="E65" s="9">
        <f t="shared" si="1"/>
        <v>2023</v>
      </c>
      <c r="F65" s="9">
        <f t="shared" si="2"/>
        <v>2025</v>
      </c>
      <c r="G65" s="31" t="str">
        <f>IF(COUNTIFS(HISTORICAL_DATA!$A$2:$A$441,$A65,HISTORICAL_DATA!$D$2:$D$441,"&gt;="&amp;$E65,HISTORICAL_DATA!$D$2:$D$441,"&lt;="&amp;$F65,HISTORICAL_DATA!$E$2:$E$441,"&lt;&gt;")&lt;3,"",SUMIFS(HISTORICAL_DATA!$E$2:$E$441,HISTORICAL_DATA!$A$2:$A$441,$A65,HISTORICAL_DATA!$D$2:$D$441,"&gt;="&amp;$E65,HISTORICAL_DATA!$D$2:$D$441,"&lt;="&amp;$F65)/3)</f>
        <v/>
      </c>
      <c r="H65" s="31" t="str">
        <f>IF(COUNTIFS(HISTORICAL_DATA!$A$2:$A$441,$A65,HISTORICAL_DATA!$D$2:$D$441,"&gt;="&amp;$E65,HISTORICAL_DATA!$D$2:$D$441,"&lt;="&amp;$F65,HISTORICAL_DATA!$G$2:$G$441,"&lt;&gt;")&lt;3,"",SUMIFS(HISTORICAL_DATA!$G$2:$G$441,HISTORICAL_DATA!$A$2:$A$441,$A65,HISTORICAL_DATA!$D$2:$D$441,"&gt;="&amp;$E65,HISTORICAL_DATA!$D$2:$D$441,"&lt;="&amp;$F65)/3)</f>
        <v/>
      </c>
      <c r="I65" s="31" t="str">
        <f>IF(OR(G65="",H65=""),"FACILITY DATA MISSING",IF(AND(COUNTIFS($C$2:$C$221,C65,$D$2:$D$221,D65,$G$2:$G$221,"&lt;&gt;")=COUNTIF(OFFICIAL_ALLOCATIONS!$C$2:$C$111,C65),COUNTIFS($C$2:$C$221,C65,$D$2:$D$221,D65,$H$2:$H$221,"&lt;&gt;")=COUNTIF(OFFICIAL_ALLOCATIONS!$C$2:$C$111,C65)),"COMPLETE","SECTOR DATA INCOMPLETE"))</f>
        <v>FACILITY DATA MISSING</v>
      </c>
      <c r="J65" s="9" t="str">
        <f t="shared" si="3"/>
        <v/>
      </c>
      <c r="K65" s="23" t="str">
        <f>IF(COUNTIFS(POLICY_PARAMETERS!$B$2:$B$13,"g",POLICY_PARAMETERS!$E$2:$E$13,C65,POLICY_PARAMETERS!$F$2:$F$13,D65,POLICY_PARAMETERS!$G$2:$G$13,"&lt;&gt;")=0,"",SUMIFS(POLICY_PARAMETERS!$G$2:$G$13,POLICY_PARAMETERS!$B$2:$B$13,"g",POLICY_PARAMETERS!$E$2:$E$13,C65,POLICY_PARAMETERS!$F$2:$F$13,D65))</f>
        <v/>
      </c>
      <c r="L65" s="23" t="str">
        <f>IF(COUNTIFS(POLICY_PARAMETERS!$B$2:$B$13,"r",POLICY_PARAMETERS!$E$2:$E$13,C65,POLICY_PARAMETERS!$F$2:$F$13,D65,POLICY_PARAMETERS!$G$2:$G$13,"&lt;&gt;")=0,"",SUMIFS(POLICY_PARAMETERS!$G$2:$G$13,POLICY_PARAMETERS!$B$2:$B$13,"r",POLICY_PARAMETERS!$E$2:$E$13,C65,POLICY_PARAMETERS!$F$2:$F$13,D65))</f>
        <v/>
      </c>
      <c r="M65" s="24" t="str">
        <f t="shared" si="4"/>
        <v/>
      </c>
      <c r="N65" s="25" t="str">
        <f t="shared" si="5"/>
        <v/>
      </c>
      <c r="O65" s="26">
        <f>IF(D65=2025,IFERROR(VLOOKUP(A65,OFFICIAL_ALLOCATIONS!$A$2:$F$111,5,FALSE),""),IFERROR(VLOOKUP(A65,OFFICIAL_ALLOCATIONS!$A$2:$F$111,6,FALSE),""))</f>
        <v>1012292</v>
      </c>
      <c r="P65" s="42" t="str">
        <f t="shared" si="6"/>
        <v/>
      </c>
      <c r="Q65" s="28" t="str">
        <f t="shared" si="7"/>
        <v/>
      </c>
      <c r="R65" s="5" t="str">
        <f t="shared" si="8"/>
        <v>MISSING HISTORICAL DATA</v>
      </c>
      <c r="S65" s="5" t="s">
        <v>179</v>
      </c>
      <c r="T65" s="5" t="s">
        <v>59</v>
      </c>
    </row>
    <row r="66" ht="15.75" customHeight="1">
      <c r="A66" s="3" t="s">
        <v>1005</v>
      </c>
      <c r="B66" s="3" t="s">
        <v>185</v>
      </c>
      <c r="C66" s="3" t="s">
        <v>41</v>
      </c>
      <c r="D66" s="9">
        <v>2025.0</v>
      </c>
      <c r="E66" s="9">
        <f t="shared" si="1"/>
        <v>2022</v>
      </c>
      <c r="F66" s="9">
        <f t="shared" si="2"/>
        <v>2024</v>
      </c>
      <c r="G66" s="31" t="str">
        <f>IF(COUNTIFS(HISTORICAL_DATA!$A$2:$A$441,$A66,HISTORICAL_DATA!$D$2:$D$441,"&gt;="&amp;$E66,HISTORICAL_DATA!$D$2:$D$441,"&lt;="&amp;$F66,HISTORICAL_DATA!$E$2:$E$441,"&lt;&gt;")&lt;3,"",SUMIFS(HISTORICAL_DATA!$E$2:$E$441,HISTORICAL_DATA!$A$2:$A$441,$A66,HISTORICAL_DATA!$D$2:$D$441,"&gt;="&amp;$E66,HISTORICAL_DATA!$D$2:$D$441,"&lt;="&amp;$F66)/3)</f>
        <v/>
      </c>
      <c r="H66" s="31" t="str">
        <f>IF(COUNTIFS(HISTORICAL_DATA!$A$2:$A$441,$A66,HISTORICAL_DATA!$D$2:$D$441,"&gt;="&amp;$E66,HISTORICAL_DATA!$D$2:$D$441,"&lt;="&amp;$F66,HISTORICAL_DATA!$G$2:$G$441,"&lt;&gt;")&lt;3,"",SUMIFS(HISTORICAL_DATA!$G$2:$G$441,HISTORICAL_DATA!$A$2:$A$441,$A66,HISTORICAL_DATA!$D$2:$D$441,"&gt;="&amp;$E66,HISTORICAL_DATA!$D$2:$D$441,"&lt;="&amp;$F66)/3)</f>
        <v/>
      </c>
      <c r="I66" s="31" t="str">
        <f>IF(OR(G66="",H66=""),"FACILITY DATA MISSING",IF(AND(COUNTIFS($C$2:$C$221,C66,$D$2:$D$221,D66,$G$2:$G$221,"&lt;&gt;")=COUNTIF(OFFICIAL_ALLOCATIONS!$C$2:$C$111,C66),COUNTIFS($C$2:$C$221,C66,$D$2:$D$221,D66,$H$2:$H$221,"&lt;&gt;")=COUNTIF(OFFICIAL_ALLOCATIONS!$C$2:$C$111,C66)),"COMPLETE","SECTOR DATA INCOMPLETE"))</f>
        <v>FACILITY DATA MISSING</v>
      </c>
      <c r="J66" s="9" t="str">
        <f t="shared" si="3"/>
        <v/>
      </c>
      <c r="K66" s="23" t="str">
        <f>IF(COUNTIFS(POLICY_PARAMETERS!$B$2:$B$13,"g",POLICY_PARAMETERS!$E$2:$E$13,C66,POLICY_PARAMETERS!$F$2:$F$13,D66,POLICY_PARAMETERS!$G$2:$G$13,"&lt;&gt;")=0,"",SUMIFS(POLICY_PARAMETERS!$G$2:$G$13,POLICY_PARAMETERS!$B$2:$B$13,"g",POLICY_PARAMETERS!$E$2:$E$13,C66,POLICY_PARAMETERS!$F$2:$F$13,D66))</f>
        <v/>
      </c>
      <c r="L66" s="23" t="str">
        <f>IF(COUNTIFS(POLICY_PARAMETERS!$B$2:$B$13,"r",POLICY_PARAMETERS!$E$2:$E$13,C66,POLICY_PARAMETERS!$F$2:$F$13,D66,POLICY_PARAMETERS!$G$2:$G$13,"&lt;&gt;")=0,"",SUMIFS(POLICY_PARAMETERS!$G$2:$G$13,POLICY_PARAMETERS!$B$2:$B$13,"r",POLICY_PARAMETERS!$E$2:$E$13,C66,POLICY_PARAMETERS!$F$2:$F$13,D66))</f>
        <v/>
      </c>
      <c r="M66" s="24" t="str">
        <f t="shared" si="4"/>
        <v/>
      </c>
      <c r="N66" s="25" t="str">
        <f t="shared" si="5"/>
        <v/>
      </c>
      <c r="O66" s="26">
        <f>IF(D66=2025,IFERROR(VLOOKUP(A66,OFFICIAL_ALLOCATIONS!$A$2:$F$111,5,FALSE),""),IFERROR(VLOOKUP(A66,OFFICIAL_ALLOCATIONS!$A$2:$F$111,6,FALSE),""))</f>
        <v>1240305</v>
      </c>
      <c r="P66" s="42" t="str">
        <f t="shared" si="6"/>
        <v/>
      </c>
      <c r="Q66" s="28" t="str">
        <f t="shared" si="7"/>
        <v/>
      </c>
      <c r="R66" s="5" t="str">
        <f t="shared" si="8"/>
        <v>MISSING HISTORICAL DATA</v>
      </c>
      <c r="S66" s="5" t="s">
        <v>179</v>
      </c>
      <c r="T66" s="5" t="s">
        <v>59</v>
      </c>
    </row>
    <row r="67" ht="15.75" customHeight="1">
      <c r="A67" s="3" t="s">
        <v>1005</v>
      </c>
      <c r="B67" s="3" t="s">
        <v>185</v>
      </c>
      <c r="C67" s="3" t="s">
        <v>41</v>
      </c>
      <c r="D67" s="9">
        <v>2026.0</v>
      </c>
      <c r="E67" s="9">
        <f t="shared" si="1"/>
        <v>2023</v>
      </c>
      <c r="F67" s="9">
        <f t="shared" si="2"/>
        <v>2025</v>
      </c>
      <c r="G67" s="31" t="str">
        <f>IF(COUNTIFS(HISTORICAL_DATA!$A$2:$A$441,$A67,HISTORICAL_DATA!$D$2:$D$441,"&gt;="&amp;$E67,HISTORICAL_DATA!$D$2:$D$441,"&lt;="&amp;$F67,HISTORICAL_DATA!$E$2:$E$441,"&lt;&gt;")&lt;3,"",SUMIFS(HISTORICAL_DATA!$E$2:$E$441,HISTORICAL_DATA!$A$2:$A$441,$A67,HISTORICAL_DATA!$D$2:$D$441,"&gt;="&amp;$E67,HISTORICAL_DATA!$D$2:$D$441,"&lt;="&amp;$F67)/3)</f>
        <v/>
      </c>
      <c r="H67" s="31" t="str">
        <f>IF(COUNTIFS(HISTORICAL_DATA!$A$2:$A$441,$A67,HISTORICAL_DATA!$D$2:$D$441,"&gt;="&amp;$E67,HISTORICAL_DATA!$D$2:$D$441,"&lt;="&amp;$F67,HISTORICAL_DATA!$G$2:$G$441,"&lt;&gt;")&lt;3,"",SUMIFS(HISTORICAL_DATA!$G$2:$G$441,HISTORICAL_DATA!$A$2:$A$441,$A67,HISTORICAL_DATA!$D$2:$D$441,"&gt;="&amp;$E67,HISTORICAL_DATA!$D$2:$D$441,"&lt;="&amp;$F67)/3)</f>
        <v/>
      </c>
      <c r="I67" s="31" t="str">
        <f>IF(OR(G67="",H67=""),"FACILITY DATA MISSING",IF(AND(COUNTIFS($C$2:$C$221,C67,$D$2:$D$221,D67,$G$2:$G$221,"&lt;&gt;")=COUNTIF(OFFICIAL_ALLOCATIONS!$C$2:$C$111,C67),COUNTIFS($C$2:$C$221,C67,$D$2:$D$221,D67,$H$2:$H$221,"&lt;&gt;")=COUNTIF(OFFICIAL_ALLOCATIONS!$C$2:$C$111,C67)),"COMPLETE","SECTOR DATA INCOMPLETE"))</f>
        <v>FACILITY DATA MISSING</v>
      </c>
      <c r="J67" s="9" t="str">
        <f t="shared" si="3"/>
        <v/>
      </c>
      <c r="K67" s="23" t="str">
        <f>IF(COUNTIFS(POLICY_PARAMETERS!$B$2:$B$13,"g",POLICY_PARAMETERS!$E$2:$E$13,C67,POLICY_PARAMETERS!$F$2:$F$13,D67,POLICY_PARAMETERS!$G$2:$G$13,"&lt;&gt;")=0,"",SUMIFS(POLICY_PARAMETERS!$G$2:$G$13,POLICY_PARAMETERS!$B$2:$B$13,"g",POLICY_PARAMETERS!$E$2:$E$13,C67,POLICY_PARAMETERS!$F$2:$F$13,D67))</f>
        <v/>
      </c>
      <c r="L67" s="23" t="str">
        <f>IF(COUNTIFS(POLICY_PARAMETERS!$B$2:$B$13,"r",POLICY_PARAMETERS!$E$2:$E$13,C67,POLICY_PARAMETERS!$F$2:$F$13,D67,POLICY_PARAMETERS!$G$2:$G$13,"&lt;&gt;")=0,"",SUMIFS(POLICY_PARAMETERS!$G$2:$G$13,POLICY_PARAMETERS!$B$2:$B$13,"r",POLICY_PARAMETERS!$E$2:$E$13,C67,POLICY_PARAMETERS!$F$2:$F$13,D67))</f>
        <v/>
      </c>
      <c r="M67" s="24" t="str">
        <f t="shared" si="4"/>
        <v/>
      </c>
      <c r="N67" s="25" t="str">
        <f t="shared" si="5"/>
        <v/>
      </c>
      <c r="O67" s="26">
        <f>IF(D67=2025,IFERROR(VLOOKUP(A67,OFFICIAL_ALLOCATIONS!$A$2:$F$111,5,FALSE),""),IFERROR(VLOOKUP(A67,OFFICIAL_ALLOCATIONS!$A$2:$F$111,6,FALSE),""))</f>
        <v>1358791</v>
      </c>
      <c r="P67" s="42" t="str">
        <f t="shared" si="6"/>
        <v/>
      </c>
      <c r="Q67" s="28" t="str">
        <f t="shared" si="7"/>
        <v/>
      </c>
      <c r="R67" s="5" t="str">
        <f t="shared" si="8"/>
        <v>MISSING HISTORICAL DATA</v>
      </c>
      <c r="S67" s="5" t="s">
        <v>179</v>
      </c>
      <c r="T67" s="5" t="s">
        <v>59</v>
      </c>
    </row>
    <row r="68" ht="15.75" customHeight="1">
      <c r="A68" s="3" t="s">
        <v>1006</v>
      </c>
      <c r="B68" s="3" t="s">
        <v>187</v>
      </c>
      <c r="C68" s="3" t="s">
        <v>41</v>
      </c>
      <c r="D68" s="9">
        <v>2025.0</v>
      </c>
      <c r="E68" s="9">
        <f t="shared" si="1"/>
        <v>2022</v>
      </c>
      <c r="F68" s="9">
        <f t="shared" si="2"/>
        <v>2024</v>
      </c>
      <c r="G68" s="31" t="str">
        <f>IF(COUNTIFS(HISTORICAL_DATA!$A$2:$A$441,$A68,HISTORICAL_DATA!$D$2:$D$441,"&gt;="&amp;$E68,HISTORICAL_DATA!$D$2:$D$441,"&lt;="&amp;$F68,HISTORICAL_DATA!$E$2:$E$441,"&lt;&gt;")&lt;3,"",SUMIFS(HISTORICAL_DATA!$E$2:$E$441,HISTORICAL_DATA!$A$2:$A$441,$A68,HISTORICAL_DATA!$D$2:$D$441,"&gt;="&amp;$E68,HISTORICAL_DATA!$D$2:$D$441,"&lt;="&amp;$F68)/3)</f>
        <v/>
      </c>
      <c r="H68" s="31" t="str">
        <f>IF(COUNTIFS(HISTORICAL_DATA!$A$2:$A$441,$A68,HISTORICAL_DATA!$D$2:$D$441,"&gt;="&amp;$E68,HISTORICAL_DATA!$D$2:$D$441,"&lt;="&amp;$F68,HISTORICAL_DATA!$G$2:$G$441,"&lt;&gt;")&lt;3,"",SUMIFS(HISTORICAL_DATA!$G$2:$G$441,HISTORICAL_DATA!$A$2:$A$441,$A68,HISTORICAL_DATA!$D$2:$D$441,"&gt;="&amp;$E68,HISTORICAL_DATA!$D$2:$D$441,"&lt;="&amp;$F68)/3)</f>
        <v/>
      </c>
      <c r="I68" s="31" t="str">
        <f>IF(OR(G68="",H68=""),"FACILITY DATA MISSING",IF(AND(COUNTIFS($C$2:$C$221,C68,$D$2:$D$221,D68,$G$2:$G$221,"&lt;&gt;")=COUNTIF(OFFICIAL_ALLOCATIONS!$C$2:$C$111,C68),COUNTIFS($C$2:$C$221,C68,$D$2:$D$221,D68,$H$2:$H$221,"&lt;&gt;")=COUNTIF(OFFICIAL_ALLOCATIONS!$C$2:$C$111,C68)),"COMPLETE","SECTOR DATA INCOMPLETE"))</f>
        <v>FACILITY DATA MISSING</v>
      </c>
      <c r="J68" s="9" t="str">
        <f t="shared" si="3"/>
        <v/>
      </c>
      <c r="K68" s="23" t="str">
        <f>IF(COUNTIFS(POLICY_PARAMETERS!$B$2:$B$13,"g",POLICY_PARAMETERS!$E$2:$E$13,C68,POLICY_PARAMETERS!$F$2:$F$13,D68,POLICY_PARAMETERS!$G$2:$G$13,"&lt;&gt;")=0,"",SUMIFS(POLICY_PARAMETERS!$G$2:$G$13,POLICY_PARAMETERS!$B$2:$B$13,"g",POLICY_PARAMETERS!$E$2:$E$13,C68,POLICY_PARAMETERS!$F$2:$F$13,D68))</f>
        <v/>
      </c>
      <c r="L68" s="23" t="str">
        <f>IF(COUNTIFS(POLICY_PARAMETERS!$B$2:$B$13,"r",POLICY_PARAMETERS!$E$2:$E$13,C68,POLICY_PARAMETERS!$F$2:$F$13,D68,POLICY_PARAMETERS!$G$2:$G$13,"&lt;&gt;")=0,"",SUMIFS(POLICY_PARAMETERS!$G$2:$G$13,POLICY_PARAMETERS!$B$2:$B$13,"r",POLICY_PARAMETERS!$E$2:$E$13,C68,POLICY_PARAMETERS!$F$2:$F$13,D68))</f>
        <v/>
      </c>
      <c r="M68" s="24" t="str">
        <f t="shared" si="4"/>
        <v/>
      </c>
      <c r="N68" s="25" t="str">
        <f t="shared" si="5"/>
        <v/>
      </c>
      <c r="O68" s="26">
        <f>IF(D68=2025,IFERROR(VLOOKUP(A68,OFFICIAL_ALLOCATIONS!$A$2:$F$111,5,FALSE),""),IFERROR(VLOOKUP(A68,OFFICIAL_ALLOCATIONS!$A$2:$F$111,6,FALSE),""))</f>
        <v>5539</v>
      </c>
      <c r="P68" s="42" t="str">
        <f t="shared" si="6"/>
        <v/>
      </c>
      <c r="Q68" s="28" t="str">
        <f t="shared" si="7"/>
        <v/>
      </c>
      <c r="R68" s="5" t="str">
        <f t="shared" si="8"/>
        <v>MISSING HISTORICAL DATA</v>
      </c>
      <c r="S68" s="5" t="s">
        <v>179</v>
      </c>
      <c r="T68" s="5" t="s">
        <v>59</v>
      </c>
    </row>
    <row r="69" ht="15.75" customHeight="1">
      <c r="A69" s="3" t="s">
        <v>1006</v>
      </c>
      <c r="B69" s="3" t="s">
        <v>187</v>
      </c>
      <c r="C69" s="3" t="s">
        <v>41</v>
      </c>
      <c r="D69" s="9">
        <v>2026.0</v>
      </c>
      <c r="E69" s="9">
        <f t="shared" si="1"/>
        <v>2023</v>
      </c>
      <c r="F69" s="9">
        <f t="shared" si="2"/>
        <v>2025</v>
      </c>
      <c r="G69" s="31" t="str">
        <f>IF(COUNTIFS(HISTORICAL_DATA!$A$2:$A$441,$A69,HISTORICAL_DATA!$D$2:$D$441,"&gt;="&amp;$E69,HISTORICAL_DATA!$D$2:$D$441,"&lt;="&amp;$F69,HISTORICAL_DATA!$E$2:$E$441,"&lt;&gt;")&lt;3,"",SUMIFS(HISTORICAL_DATA!$E$2:$E$441,HISTORICAL_DATA!$A$2:$A$441,$A69,HISTORICAL_DATA!$D$2:$D$441,"&gt;="&amp;$E69,HISTORICAL_DATA!$D$2:$D$441,"&lt;="&amp;$F69)/3)</f>
        <v/>
      </c>
      <c r="H69" s="31" t="str">
        <f>IF(COUNTIFS(HISTORICAL_DATA!$A$2:$A$441,$A69,HISTORICAL_DATA!$D$2:$D$441,"&gt;="&amp;$E69,HISTORICAL_DATA!$D$2:$D$441,"&lt;="&amp;$F69,HISTORICAL_DATA!$G$2:$G$441,"&lt;&gt;")&lt;3,"",SUMIFS(HISTORICAL_DATA!$G$2:$G$441,HISTORICAL_DATA!$A$2:$A$441,$A69,HISTORICAL_DATA!$D$2:$D$441,"&gt;="&amp;$E69,HISTORICAL_DATA!$D$2:$D$441,"&lt;="&amp;$F69)/3)</f>
        <v/>
      </c>
      <c r="I69" s="31" t="str">
        <f>IF(OR(G69="",H69=""),"FACILITY DATA MISSING",IF(AND(COUNTIFS($C$2:$C$221,C69,$D$2:$D$221,D69,$G$2:$G$221,"&lt;&gt;")=COUNTIF(OFFICIAL_ALLOCATIONS!$C$2:$C$111,C69),COUNTIFS($C$2:$C$221,C69,$D$2:$D$221,D69,$H$2:$H$221,"&lt;&gt;")=COUNTIF(OFFICIAL_ALLOCATIONS!$C$2:$C$111,C69)),"COMPLETE","SECTOR DATA INCOMPLETE"))</f>
        <v>FACILITY DATA MISSING</v>
      </c>
      <c r="J69" s="9" t="str">
        <f t="shared" si="3"/>
        <v/>
      </c>
      <c r="K69" s="23" t="str">
        <f>IF(COUNTIFS(POLICY_PARAMETERS!$B$2:$B$13,"g",POLICY_PARAMETERS!$E$2:$E$13,C69,POLICY_PARAMETERS!$F$2:$F$13,D69,POLICY_PARAMETERS!$G$2:$G$13,"&lt;&gt;")=0,"",SUMIFS(POLICY_PARAMETERS!$G$2:$G$13,POLICY_PARAMETERS!$B$2:$B$13,"g",POLICY_PARAMETERS!$E$2:$E$13,C69,POLICY_PARAMETERS!$F$2:$F$13,D69))</f>
        <v/>
      </c>
      <c r="L69" s="23" t="str">
        <f>IF(COUNTIFS(POLICY_PARAMETERS!$B$2:$B$13,"r",POLICY_PARAMETERS!$E$2:$E$13,C69,POLICY_PARAMETERS!$F$2:$F$13,D69,POLICY_PARAMETERS!$G$2:$G$13,"&lt;&gt;")=0,"",SUMIFS(POLICY_PARAMETERS!$G$2:$G$13,POLICY_PARAMETERS!$B$2:$B$13,"r",POLICY_PARAMETERS!$E$2:$E$13,C69,POLICY_PARAMETERS!$F$2:$F$13,D69))</f>
        <v/>
      </c>
      <c r="M69" s="24" t="str">
        <f t="shared" si="4"/>
        <v/>
      </c>
      <c r="N69" s="25" t="str">
        <f t="shared" si="5"/>
        <v/>
      </c>
      <c r="O69" s="26">
        <f>IF(D69=2025,IFERROR(VLOOKUP(A69,OFFICIAL_ALLOCATIONS!$A$2:$F$111,5,FALSE),""),IFERROR(VLOOKUP(A69,OFFICIAL_ALLOCATIONS!$A$2:$F$111,6,FALSE),""))</f>
        <v>6068</v>
      </c>
      <c r="P69" s="42" t="str">
        <f t="shared" si="6"/>
        <v/>
      </c>
      <c r="Q69" s="28" t="str">
        <f t="shared" si="7"/>
        <v/>
      </c>
      <c r="R69" s="5" t="str">
        <f t="shared" si="8"/>
        <v>MISSING HISTORICAL DATA</v>
      </c>
      <c r="S69" s="5" t="s">
        <v>179</v>
      </c>
      <c r="T69" s="5" t="s">
        <v>59</v>
      </c>
    </row>
    <row r="70" ht="15.75" customHeight="1">
      <c r="A70" s="3" t="s">
        <v>1007</v>
      </c>
      <c r="B70" s="3" t="s">
        <v>189</v>
      </c>
      <c r="C70" s="3" t="s">
        <v>108</v>
      </c>
      <c r="D70" s="9">
        <v>2025.0</v>
      </c>
      <c r="E70" s="9">
        <f t="shared" si="1"/>
        <v>2022</v>
      </c>
      <c r="F70" s="9">
        <f t="shared" si="2"/>
        <v>2024</v>
      </c>
      <c r="G70" s="31" t="str">
        <f>IF(COUNTIFS(HISTORICAL_DATA!$A$2:$A$441,$A70,HISTORICAL_DATA!$D$2:$D$441,"&gt;="&amp;$E70,HISTORICAL_DATA!$D$2:$D$441,"&lt;="&amp;$F70,HISTORICAL_DATA!$E$2:$E$441,"&lt;&gt;")&lt;3,"",SUMIFS(HISTORICAL_DATA!$E$2:$E$441,HISTORICAL_DATA!$A$2:$A$441,$A70,HISTORICAL_DATA!$D$2:$D$441,"&gt;="&amp;$E70,HISTORICAL_DATA!$D$2:$D$441,"&lt;="&amp;$F70)/3)</f>
        <v/>
      </c>
      <c r="H70" s="31" t="str">
        <f>IF(COUNTIFS(HISTORICAL_DATA!$A$2:$A$441,$A70,HISTORICAL_DATA!$D$2:$D$441,"&gt;="&amp;$E70,HISTORICAL_DATA!$D$2:$D$441,"&lt;="&amp;$F70,HISTORICAL_DATA!$G$2:$G$441,"&lt;&gt;")&lt;3,"",SUMIFS(HISTORICAL_DATA!$G$2:$G$441,HISTORICAL_DATA!$A$2:$A$441,$A70,HISTORICAL_DATA!$D$2:$D$441,"&gt;="&amp;$E70,HISTORICAL_DATA!$D$2:$D$441,"&lt;="&amp;$F70)/3)</f>
        <v/>
      </c>
      <c r="I70" s="31" t="str">
        <f>IF(OR(G70="",H70=""),"FACILITY DATA MISSING",IF(AND(COUNTIFS($C$2:$C$221,C70,$D$2:$D$221,D70,$G$2:$G$221,"&lt;&gt;")=COUNTIF(OFFICIAL_ALLOCATIONS!$C$2:$C$111,C70),COUNTIFS($C$2:$C$221,C70,$D$2:$D$221,D70,$H$2:$H$221,"&lt;&gt;")=COUNTIF(OFFICIAL_ALLOCATIONS!$C$2:$C$111,C70)),"COMPLETE","SECTOR DATA INCOMPLETE"))</f>
        <v>FACILITY DATA MISSING</v>
      </c>
      <c r="J70" s="9" t="str">
        <f t="shared" si="3"/>
        <v/>
      </c>
      <c r="K70" s="23" t="str">
        <f>IF(COUNTIFS(POLICY_PARAMETERS!$B$2:$B$13,"g",POLICY_PARAMETERS!$E$2:$E$13,C70,POLICY_PARAMETERS!$F$2:$F$13,D70,POLICY_PARAMETERS!$G$2:$G$13,"&lt;&gt;")=0,"",SUMIFS(POLICY_PARAMETERS!$G$2:$G$13,POLICY_PARAMETERS!$B$2:$B$13,"g",POLICY_PARAMETERS!$E$2:$E$13,C70,POLICY_PARAMETERS!$F$2:$F$13,D70))</f>
        <v/>
      </c>
      <c r="L70" s="23" t="str">
        <f>IF(COUNTIFS(POLICY_PARAMETERS!$B$2:$B$13,"r",POLICY_PARAMETERS!$E$2:$E$13,C70,POLICY_PARAMETERS!$F$2:$F$13,D70,POLICY_PARAMETERS!$G$2:$G$13,"&lt;&gt;")=0,"",SUMIFS(POLICY_PARAMETERS!$G$2:$G$13,POLICY_PARAMETERS!$B$2:$B$13,"r",POLICY_PARAMETERS!$E$2:$E$13,C70,POLICY_PARAMETERS!$F$2:$F$13,D70))</f>
        <v/>
      </c>
      <c r="M70" s="24" t="str">
        <f t="shared" si="4"/>
        <v/>
      </c>
      <c r="N70" s="25" t="str">
        <f t="shared" si="5"/>
        <v/>
      </c>
      <c r="O70" s="26">
        <f>IF(D70=2025,IFERROR(VLOOKUP(A70,OFFICIAL_ALLOCATIONS!$A$2:$F$111,5,FALSE),""),IFERROR(VLOOKUP(A70,OFFICIAL_ALLOCATIONS!$A$2:$F$111,6,FALSE),""))</f>
        <v>255476</v>
      </c>
      <c r="P70" s="42" t="str">
        <f t="shared" si="6"/>
        <v/>
      </c>
      <c r="Q70" s="28" t="str">
        <f t="shared" si="7"/>
        <v/>
      </c>
      <c r="R70" s="5" t="str">
        <f t="shared" si="8"/>
        <v>MISSING HISTORICAL DATA</v>
      </c>
      <c r="S70" s="5" t="s">
        <v>179</v>
      </c>
      <c r="T70" s="5" t="s">
        <v>59</v>
      </c>
    </row>
    <row r="71" ht="15.75" customHeight="1">
      <c r="A71" s="3" t="s">
        <v>1007</v>
      </c>
      <c r="B71" s="3" t="s">
        <v>189</v>
      </c>
      <c r="C71" s="3" t="s">
        <v>108</v>
      </c>
      <c r="D71" s="9">
        <v>2026.0</v>
      </c>
      <c r="E71" s="9">
        <f t="shared" si="1"/>
        <v>2023</v>
      </c>
      <c r="F71" s="9">
        <f t="shared" si="2"/>
        <v>2025</v>
      </c>
      <c r="G71" s="31" t="str">
        <f>IF(COUNTIFS(HISTORICAL_DATA!$A$2:$A$441,$A71,HISTORICAL_DATA!$D$2:$D$441,"&gt;="&amp;$E71,HISTORICAL_DATA!$D$2:$D$441,"&lt;="&amp;$F71,HISTORICAL_DATA!$E$2:$E$441,"&lt;&gt;")&lt;3,"",SUMIFS(HISTORICAL_DATA!$E$2:$E$441,HISTORICAL_DATA!$A$2:$A$441,$A71,HISTORICAL_DATA!$D$2:$D$441,"&gt;="&amp;$E71,HISTORICAL_DATA!$D$2:$D$441,"&lt;="&amp;$F71)/3)</f>
        <v/>
      </c>
      <c r="H71" s="31" t="str">
        <f>IF(COUNTIFS(HISTORICAL_DATA!$A$2:$A$441,$A71,HISTORICAL_DATA!$D$2:$D$441,"&gt;="&amp;$E71,HISTORICAL_DATA!$D$2:$D$441,"&lt;="&amp;$F71,HISTORICAL_DATA!$G$2:$G$441,"&lt;&gt;")&lt;3,"",SUMIFS(HISTORICAL_DATA!$G$2:$G$441,HISTORICAL_DATA!$A$2:$A$441,$A71,HISTORICAL_DATA!$D$2:$D$441,"&gt;="&amp;$E71,HISTORICAL_DATA!$D$2:$D$441,"&lt;="&amp;$F71)/3)</f>
        <v/>
      </c>
      <c r="I71" s="31" t="str">
        <f>IF(OR(G71="",H71=""),"FACILITY DATA MISSING",IF(AND(COUNTIFS($C$2:$C$221,C71,$D$2:$D$221,D71,$G$2:$G$221,"&lt;&gt;")=COUNTIF(OFFICIAL_ALLOCATIONS!$C$2:$C$111,C71),COUNTIFS($C$2:$C$221,C71,$D$2:$D$221,D71,$H$2:$H$221,"&lt;&gt;")=COUNTIF(OFFICIAL_ALLOCATIONS!$C$2:$C$111,C71)),"COMPLETE","SECTOR DATA INCOMPLETE"))</f>
        <v>FACILITY DATA MISSING</v>
      </c>
      <c r="J71" s="9" t="str">
        <f t="shared" si="3"/>
        <v/>
      </c>
      <c r="K71" s="23" t="str">
        <f>IF(COUNTIFS(POLICY_PARAMETERS!$B$2:$B$13,"g",POLICY_PARAMETERS!$E$2:$E$13,C71,POLICY_PARAMETERS!$F$2:$F$13,D71,POLICY_PARAMETERS!$G$2:$G$13,"&lt;&gt;")=0,"",SUMIFS(POLICY_PARAMETERS!$G$2:$G$13,POLICY_PARAMETERS!$B$2:$B$13,"g",POLICY_PARAMETERS!$E$2:$E$13,C71,POLICY_PARAMETERS!$F$2:$F$13,D71))</f>
        <v/>
      </c>
      <c r="L71" s="23" t="str">
        <f>IF(COUNTIFS(POLICY_PARAMETERS!$B$2:$B$13,"r",POLICY_PARAMETERS!$E$2:$E$13,C71,POLICY_PARAMETERS!$F$2:$F$13,D71,POLICY_PARAMETERS!$G$2:$G$13,"&lt;&gt;")=0,"",SUMIFS(POLICY_PARAMETERS!$G$2:$G$13,POLICY_PARAMETERS!$B$2:$B$13,"r",POLICY_PARAMETERS!$E$2:$E$13,C71,POLICY_PARAMETERS!$F$2:$F$13,D71))</f>
        <v/>
      </c>
      <c r="M71" s="24" t="str">
        <f t="shared" si="4"/>
        <v/>
      </c>
      <c r="N71" s="25" t="str">
        <f t="shared" si="5"/>
        <v/>
      </c>
      <c r="O71" s="26">
        <f>IF(D71=2025,IFERROR(VLOOKUP(A71,OFFICIAL_ALLOCATIONS!$A$2:$F$111,5,FALSE),""),IFERROR(VLOOKUP(A71,OFFICIAL_ALLOCATIONS!$A$2:$F$111,6,FALSE),""))</f>
        <v>297830</v>
      </c>
      <c r="P71" s="42" t="str">
        <f t="shared" si="6"/>
        <v/>
      </c>
      <c r="Q71" s="28" t="str">
        <f t="shared" si="7"/>
        <v/>
      </c>
      <c r="R71" s="5" t="str">
        <f t="shared" si="8"/>
        <v>MISSING HISTORICAL DATA</v>
      </c>
      <c r="S71" s="5" t="s">
        <v>179</v>
      </c>
      <c r="T71" s="5" t="s">
        <v>59</v>
      </c>
    </row>
    <row r="72" ht="15.75" customHeight="1">
      <c r="A72" s="3" t="s">
        <v>1008</v>
      </c>
      <c r="B72" s="3" t="s">
        <v>193</v>
      </c>
      <c r="C72" s="3" t="s">
        <v>108</v>
      </c>
      <c r="D72" s="9">
        <v>2025.0</v>
      </c>
      <c r="E72" s="9">
        <f t="shared" si="1"/>
        <v>2022</v>
      </c>
      <c r="F72" s="9">
        <f t="shared" si="2"/>
        <v>2024</v>
      </c>
      <c r="G72" s="31" t="str">
        <f>IF(COUNTIFS(HISTORICAL_DATA!$A$2:$A$441,$A72,HISTORICAL_DATA!$D$2:$D$441,"&gt;="&amp;$E72,HISTORICAL_DATA!$D$2:$D$441,"&lt;="&amp;$F72,HISTORICAL_DATA!$E$2:$E$441,"&lt;&gt;")&lt;3,"",SUMIFS(HISTORICAL_DATA!$E$2:$E$441,HISTORICAL_DATA!$A$2:$A$441,$A72,HISTORICAL_DATA!$D$2:$D$441,"&gt;="&amp;$E72,HISTORICAL_DATA!$D$2:$D$441,"&lt;="&amp;$F72)/3)</f>
        <v/>
      </c>
      <c r="H72" s="31" t="str">
        <f>IF(COUNTIFS(HISTORICAL_DATA!$A$2:$A$441,$A72,HISTORICAL_DATA!$D$2:$D$441,"&gt;="&amp;$E72,HISTORICAL_DATA!$D$2:$D$441,"&lt;="&amp;$F72,HISTORICAL_DATA!$G$2:$G$441,"&lt;&gt;")&lt;3,"",SUMIFS(HISTORICAL_DATA!$G$2:$G$441,HISTORICAL_DATA!$A$2:$A$441,$A72,HISTORICAL_DATA!$D$2:$D$441,"&gt;="&amp;$E72,HISTORICAL_DATA!$D$2:$D$441,"&lt;="&amp;$F72)/3)</f>
        <v/>
      </c>
      <c r="I72" s="31" t="str">
        <f>IF(OR(G72="",H72=""),"FACILITY DATA MISSING",IF(AND(COUNTIFS($C$2:$C$221,C72,$D$2:$D$221,D72,$G$2:$G$221,"&lt;&gt;")=COUNTIF(OFFICIAL_ALLOCATIONS!$C$2:$C$111,C72),COUNTIFS($C$2:$C$221,C72,$D$2:$D$221,D72,$H$2:$H$221,"&lt;&gt;")=COUNTIF(OFFICIAL_ALLOCATIONS!$C$2:$C$111,C72)),"COMPLETE","SECTOR DATA INCOMPLETE"))</f>
        <v>FACILITY DATA MISSING</v>
      </c>
      <c r="J72" s="9" t="str">
        <f t="shared" si="3"/>
        <v/>
      </c>
      <c r="K72" s="23" t="str">
        <f>IF(COUNTIFS(POLICY_PARAMETERS!$B$2:$B$13,"g",POLICY_PARAMETERS!$E$2:$E$13,C72,POLICY_PARAMETERS!$F$2:$F$13,D72,POLICY_PARAMETERS!$G$2:$G$13,"&lt;&gt;")=0,"",SUMIFS(POLICY_PARAMETERS!$G$2:$G$13,POLICY_PARAMETERS!$B$2:$B$13,"g",POLICY_PARAMETERS!$E$2:$E$13,C72,POLICY_PARAMETERS!$F$2:$F$13,D72))</f>
        <v/>
      </c>
      <c r="L72" s="23" t="str">
        <f>IF(COUNTIFS(POLICY_PARAMETERS!$B$2:$B$13,"r",POLICY_PARAMETERS!$E$2:$E$13,C72,POLICY_PARAMETERS!$F$2:$F$13,D72,POLICY_PARAMETERS!$G$2:$G$13,"&lt;&gt;")=0,"",SUMIFS(POLICY_PARAMETERS!$G$2:$G$13,POLICY_PARAMETERS!$B$2:$B$13,"r",POLICY_PARAMETERS!$E$2:$E$13,C72,POLICY_PARAMETERS!$F$2:$F$13,D72))</f>
        <v/>
      </c>
      <c r="M72" s="24" t="str">
        <f t="shared" si="4"/>
        <v/>
      </c>
      <c r="N72" s="25" t="str">
        <f t="shared" si="5"/>
        <v/>
      </c>
      <c r="O72" s="26">
        <f>IF(D72=2025,IFERROR(VLOOKUP(A72,OFFICIAL_ALLOCATIONS!$A$2:$F$111,5,FALSE),""),IFERROR(VLOOKUP(A72,OFFICIAL_ALLOCATIONS!$A$2:$F$111,6,FALSE),""))</f>
        <v>391158</v>
      </c>
      <c r="P72" s="42" t="str">
        <f t="shared" si="6"/>
        <v/>
      </c>
      <c r="Q72" s="28" t="str">
        <f t="shared" si="7"/>
        <v/>
      </c>
      <c r="R72" s="5" t="str">
        <f t="shared" si="8"/>
        <v>MISSING HISTORICAL DATA</v>
      </c>
      <c r="S72" s="5" t="s">
        <v>179</v>
      </c>
      <c r="T72" s="5" t="s">
        <v>59</v>
      </c>
    </row>
    <row r="73" ht="15.75" customHeight="1">
      <c r="A73" s="3" t="s">
        <v>1008</v>
      </c>
      <c r="B73" s="3" t="s">
        <v>193</v>
      </c>
      <c r="C73" s="3" t="s">
        <v>108</v>
      </c>
      <c r="D73" s="9">
        <v>2026.0</v>
      </c>
      <c r="E73" s="9">
        <f t="shared" si="1"/>
        <v>2023</v>
      </c>
      <c r="F73" s="9">
        <f t="shared" si="2"/>
        <v>2025</v>
      </c>
      <c r="G73" s="31" t="str">
        <f>IF(COUNTIFS(HISTORICAL_DATA!$A$2:$A$441,$A73,HISTORICAL_DATA!$D$2:$D$441,"&gt;="&amp;$E73,HISTORICAL_DATA!$D$2:$D$441,"&lt;="&amp;$F73,HISTORICAL_DATA!$E$2:$E$441,"&lt;&gt;")&lt;3,"",SUMIFS(HISTORICAL_DATA!$E$2:$E$441,HISTORICAL_DATA!$A$2:$A$441,$A73,HISTORICAL_DATA!$D$2:$D$441,"&gt;="&amp;$E73,HISTORICAL_DATA!$D$2:$D$441,"&lt;="&amp;$F73)/3)</f>
        <v/>
      </c>
      <c r="H73" s="31" t="str">
        <f>IF(COUNTIFS(HISTORICAL_DATA!$A$2:$A$441,$A73,HISTORICAL_DATA!$D$2:$D$441,"&gt;="&amp;$E73,HISTORICAL_DATA!$D$2:$D$441,"&lt;="&amp;$F73,HISTORICAL_DATA!$G$2:$G$441,"&lt;&gt;")&lt;3,"",SUMIFS(HISTORICAL_DATA!$G$2:$G$441,HISTORICAL_DATA!$A$2:$A$441,$A73,HISTORICAL_DATA!$D$2:$D$441,"&gt;="&amp;$E73,HISTORICAL_DATA!$D$2:$D$441,"&lt;="&amp;$F73)/3)</f>
        <v/>
      </c>
      <c r="I73" s="31" t="str">
        <f>IF(OR(G73="",H73=""),"FACILITY DATA MISSING",IF(AND(COUNTIFS($C$2:$C$221,C73,$D$2:$D$221,D73,$G$2:$G$221,"&lt;&gt;")=COUNTIF(OFFICIAL_ALLOCATIONS!$C$2:$C$111,C73),COUNTIFS($C$2:$C$221,C73,$D$2:$D$221,D73,$H$2:$H$221,"&lt;&gt;")=COUNTIF(OFFICIAL_ALLOCATIONS!$C$2:$C$111,C73)),"COMPLETE","SECTOR DATA INCOMPLETE"))</f>
        <v>FACILITY DATA MISSING</v>
      </c>
      <c r="J73" s="9" t="str">
        <f t="shared" si="3"/>
        <v/>
      </c>
      <c r="K73" s="23" t="str">
        <f>IF(COUNTIFS(POLICY_PARAMETERS!$B$2:$B$13,"g",POLICY_PARAMETERS!$E$2:$E$13,C73,POLICY_PARAMETERS!$F$2:$F$13,D73,POLICY_PARAMETERS!$G$2:$G$13,"&lt;&gt;")=0,"",SUMIFS(POLICY_PARAMETERS!$G$2:$G$13,POLICY_PARAMETERS!$B$2:$B$13,"g",POLICY_PARAMETERS!$E$2:$E$13,C73,POLICY_PARAMETERS!$F$2:$F$13,D73))</f>
        <v/>
      </c>
      <c r="L73" s="23" t="str">
        <f>IF(COUNTIFS(POLICY_PARAMETERS!$B$2:$B$13,"r",POLICY_PARAMETERS!$E$2:$E$13,C73,POLICY_PARAMETERS!$F$2:$F$13,D73,POLICY_PARAMETERS!$G$2:$G$13,"&lt;&gt;")=0,"",SUMIFS(POLICY_PARAMETERS!$G$2:$G$13,POLICY_PARAMETERS!$B$2:$B$13,"r",POLICY_PARAMETERS!$E$2:$E$13,C73,POLICY_PARAMETERS!$F$2:$F$13,D73))</f>
        <v/>
      </c>
      <c r="M73" s="24" t="str">
        <f t="shared" si="4"/>
        <v/>
      </c>
      <c r="N73" s="25" t="str">
        <f t="shared" si="5"/>
        <v/>
      </c>
      <c r="O73" s="26">
        <f>IF(D73=2025,IFERROR(VLOOKUP(A73,OFFICIAL_ALLOCATIONS!$A$2:$F$111,5,FALSE),""),IFERROR(VLOOKUP(A73,OFFICIAL_ALLOCATIONS!$A$2:$F$111,6,FALSE),""))</f>
        <v>456006</v>
      </c>
      <c r="P73" s="42" t="str">
        <f t="shared" si="6"/>
        <v/>
      </c>
      <c r="Q73" s="28" t="str">
        <f t="shared" si="7"/>
        <v/>
      </c>
      <c r="R73" s="5" t="str">
        <f t="shared" si="8"/>
        <v>MISSING HISTORICAL DATA</v>
      </c>
      <c r="S73" s="5" t="s">
        <v>179</v>
      </c>
      <c r="T73" s="5" t="s">
        <v>59</v>
      </c>
    </row>
    <row r="74" ht="15.75" customHeight="1">
      <c r="A74" s="3" t="s">
        <v>1009</v>
      </c>
      <c r="B74" s="3" t="s">
        <v>195</v>
      </c>
      <c r="C74" s="3" t="s">
        <v>108</v>
      </c>
      <c r="D74" s="9">
        <v>2025.0</v>
      </c>
      <c r="E74" s="9">
        <f t="shared" si="1"/>
        <v>2022</v>
      </c>
      <c r="F74" s="9">
        <f t="shared" si="2"/>
        <v>2024</v>
      </c>
      <c r="G74" s="31" t="str">
        <f>IF(COUNTIFS(HISTORICAL_DATA!$A$2:$A$441,$A74,HISTORICAL_DATA!$D$2:$D$441,"&gt;="&amp;$E74,HISTORICAL_DATA!$D$2:$D$441,"&lt;="&amp;$F74,HISTORICAL_DATA!$E$2:$E$441,"&lt;&gt;")&lt;3,"",SUMIFS(HISTORICAL_DATA!$E$2:$E$441,HISTORICAL_DATA!$A$2:$A$441,$A74,HISTORICAL_DATA!$D$2:$D$441,"&gt;="&amp;$E74,HISTORICAL_DATA!$D$2:$D$441,"&lt;="&amp;$F74)/3)</f>
        <v/>
      </c>
      <c r="H74" s="31" t="str">
        <f>IF(COUNTIFS(HISTORICAL_DATA!$A$2:$A$441,$A74,HISTORICAL_DATA!$D$2:$D$441,"&gt;="&amp;$E74,HISTORICAL_DATA!$D$2:$D$441,"&lt;="&amp;$F74,HISTORICAL_DATA!$G$2:$G$441,"&lt;&gt;")&lt;3,"",SUMIFS(HISTORICAL_DATA!$G$2:$G$441,HISTORICAL_DATA!$A$2:$A$441,$A74,HISTORICAL_DATA!$D$2:$D$441,"&gt;="&amp;$E74,HISTORICAL_DATA!$D$2:$D$441,"&lt;="&amp;$F74)/3)</f>
        <v/>
      </c>
      <c r="I74" s="31" t="str">
        <f>IF(OR(G74="",H74=""),"FACILITY DATA MISSING",IF(AND(COUNTIFS($C$2:$C$221,C74,$D$2:$D$221,D74,$G$2:$G$221,"&lt;&gt;")=COUNTIF(OFFICIAL_ALLOCATIONS!$C$2:$C$111,C74),COUNTIFS($C$2:$C$221,C74,$D$2:$D$221,D74,$H$2:$H$221,"&lt;&gt;")=COUNTIF(OFFICIAL_ALLOCATIONS!$C$2:$C$111,C74)),"COMPLETE","SECTOR DATA INCOMPLETE"))</f>
        <v>FACILITY DATA MISSING</v>
      </c>
      <c r="J74" s="9" t="str">
        <f t="shared" si="3"/>
        <v/>
      </c>
      <c r="K74" s="23" t="str">
        <f>IF(COUNTIFS(POLICY_PARAMETERS!$B$2:$B$13,"g",POLICY_PARAMETERS!$E$2:$E$13,C74,POLICY_PARAMETERS!$F$2:$F$13,D74,POLICY_PARAMETERS!$G$2:$G$13,"&lt;&gt;")=0,"",SUMIFS(POLICY_PARAMETERS!$G$2:$G$13,POLICY_PARAMETERS!$B$2:$B$13,"g",POLICY_PARAMETERS!$E$2:$E$13,C74,POLICY_PARAMETERS!$F$2:$F$13,D74))</f>
        <v/>
      </c>
      <c r="L74" s="23" t="str">
        <f>IF(COUNTIFS(POLICY_PARAMETERS!$B$2:$B$13,"r",POLICY_PARAMETERS!$E$2:$E$13,C74,POLICY_PARAMETERS!$F$2:$F$13,D74,POLICY_PARAMETERS!$G$2:$G$13,"&lt;&gt;")=0,"",SUMIFS(POLICY_PARAMETERS!$G$2:$G$13,POLICY_PARAMETERS!$B$2:$B$13,"r",POLICY_PARAMETERS!$E$2:$E$13,C74,POLICY_PARAMETERS!$F$2:$F$13,D74))</f>
        <v/>
      </c>
      <c r="M74" s="24" t="str">
        <f t="shared" si="4"/>
        <v/>
      </c>
      <c r="N74" s="25" t="str">
        <f t="shared" si="5"/>
        <v/>
      </c>
      <c r="O74" s="26">
        <f>IF(D74=2025,IFERROR(VLOOKUP(A74,OFFICIAL_ALLOCATIONS!$A$2:$F$111,5,FALSE),""),IFERROR(VLOOKUP(A74,OFFICIAL_ALLOCATIONS!$A$2:$F$111,6,FALSE),""))</f>
        <v>33053</v>
      </c>
      <c r="P74" s="42" t="str">
        <f t="shared" si="6"/>
        <v/>
      </c>
      <c r="Q74" s="28" t="str">
        <f t="shared" si="7"/>
        <v/>
      </c>
      <c r="R74" s="5" t="str">
        <f t="shared" si="8"/>
        <v>MISSING HISTORICAL DATA</v>
      </c>
      <c r="S74" s="5" t="s">
        <v>179</v>
      </c>
      <c r="T74" s="5" t="s">
        <v>59</v>
      </c>
    </row>
    <row r="75" ht="15.75" customHeight="1">
      <c r="A75" s="3" t="s">
        <v>1009</v>
      </c>
      <c r="B75" s="3" t="s">
        <v>195</v>
      </c>
      <c r="C75" s="3" t="s">
        <v>108</v>
      </c>
      <c r="D75" s="9">
        <v>2026.0</v>
      </c>
      <c r="E75" s="9">
        <f t="shared" si="1"/>
        <v>2023</v>
      </c>
      <c r="F75" s="9">
        <f t="shared" si="2"/>
        <v>2025</v>
      </c>
      <c r="G75" s="31" t="str">
        <f>IF(COUNTIFS(HISTORICAL_DATA!$A$2:$A$441,$A75,HISTORICAL_DATA!$D$2:$D$441,"&gt;="&amp;$E75,HISTORICAL_DATA!$D$2:$D$441,"&lt;="&amp;$F75,HISTORICAL_DATA!$E$2:$E$441,"&lt;&gt;")&lt;3,"",SUMIFS(HISTORICAL_DATA!$E$2:$E$441,HISTORICAL_DATA!$A$2:$A$441,$A75,HISTORICAL_DATA!$D$2:$D$441,"&gt;="&amp;$E75,HISTORICAL_DATA!$D$2:$D$441,"&lt;="&amp;$F75)/3)</f>
        <v/>
      </c>
      <c r="H75" s="31" t="str">
        <f>IF(COUNTIFS(HISTORICAL_DATA!$A$2:$A$441,$A75,HISTORICAL_DATA!$D$2:$D$441,"&gt;="&amp;$E75,HISTORICAL_DATA!$D$2:$D$441,"&lt;="&amp;$F75,HISTORICAL_DATA!$G$2:$G$441,"&lt;&gt;")&lt;3,"",SUMIFS(HISTORICAL_DATA!$G$2:$G$441,HISTORICAL_DATA!$A$2:$A$441,$A75,HISTORICAL_DATA!$D$2:$D$441,"&gt;="&amp;$E75,HISTORICAL_DATA!$D$2:$D$441,"&lt;="&amp;$F75)/3)</f>
        <v/>
      </c>
      <c r="I75" s="31" t="str">
        <f>IF(OR(G75="",H75=""),"FACILITY DATA MISSING",IF(AND(COUNTIFS($C$2:$C$221,C75,$D$2:$D$221,D75,$G$2:$G$221,"&lt;&gt;")=COUNTIF(OFFICIAL_ALLOCATIONS!$C$2:$C$111,C75),COUNTIFS($C$2:$C$221,C75,$D$2:$D$221,D75,$H$2:$H$221,"&lt;&gt;")=COUNTIF(OFFICIAL_ALLOCATIONS!$C$2:$C$111,C75)),"COMPLETE","SECTOR DATA INCOMPLETE"))</f>
        <v>FACILITY DATA MISSING</v>
      </c>
      <c r="J75" s="9" t="str">
        <f t="shared" si="3"/>
        <v/>
      </c>
      <c r="K75" s="23" t="str">
        <f>IF(COUNTIFS(POLICY_PARAMETERS!$B$2:$B$13,"g",POLICY_PARAMETERS!$E$2:$E$13,C75,POLICY_PARAMETERS!$F$2:$F$13,D75,POLICY_PARAMETERS!$G$2:$G$13,"&lt;&gt;")=0,"",SUMIFS(POLICY_PARAMETERS!$G$2:$G$13,POLICY_PARAMETERS!$B$2:$B$13,"g",POLICY_PARAMETERS!$E$2:$E$13,C75,POLICY_PARAMETERS!$F$2:$F$13,D75))</f>
        <v/>
      </c>
      <c r="L75" s="23" t="str">
        <f>IF(COUNTIFS(POLICY_PARAMETERS!$B$2:$B$13,"r",POLICY_PARAMETERS!$E$2:$E$13,C75,POLICY_PARAMETERS!$F$2:$F$13,D75,POLICY_PARAMETERS!$G$2:$G$13,"&lt;&gt;")=0,"",SUMIFS(POLICY_PARAMETERS!$G$2:$G$13,POLICY_PARAMETERS!$B$2:$B$13,"r",POLICY_PARAMETERS!$E$2:$E$13,C75,POLICY_PARAMETERS!$F$2:$F$13,D75))</f>
        <v/>
      </c>
      <c r="M75" s="24" t="str">
        <f t="shared" si="4"/>
        <v/>
      </c>
      <c r="N75" s="25" t="str">
        <f t="shared" si="5"/>
        <v/>
      </c>
      <c r="O75" s="26">
        <f>IF(D75=2025,IFERROR(VLOOKUP(A75,OFFICIAL_ALLOCATIONS!$A$2:$F$111,5,FALSE),""),IFERROR(VLOOKUP(A75,OFFICIAL_ALLOCATIONS!$A$2:$F$111,6,FALSE),""))</f>
        <v>38533</v>
      </c>
      <c r="P75" s="42" t="str">
        <f t="shared" si="6"/>
        <v/>
      </c>
      <c r="Q75" s="28" t="str">
        <f t="shared" si="7"/>
        <v/>
      </c>
      <c r="R75" s="5" t="str">
        <f t="shared" si="8"/>
        <v>MISSING HISTORICAL DATA</v>
      </c>
      <c r="S75" s="5" t="s">
        <v>179</v>
      </c>
      <c r="T75" s="5" t="s">
        <v>59</v>
      </c>
    </row>
    <row r="76" ht="15.75" customHeight="1">
      <c r="A76" s="3" t="s">
        <v>1010</v>
      </c>
      <c r="B76" s="3" t="s">
        <v>197</v>
      </c>
      <c r="C76" s="3" t="s">
        <v>108</v>
      </c>
      <c r="D76" s="9">
        <v>2025.0</v>
      </c>
      <c r="E76" s="9">
        <f t="shared" si="1"/>
        <v>2022</v>
      </c>
      <c r="F76" s="9">
        <f t="shared" si="2"/>
        <v>2024</v>
      </c>
      <c r="G76" s="31" t="str">
        <f>IF(COUNTIFS(HISTORICAL_DATA!$A$2:$A$441,$A76,HISTORICAL_DATA!$D$2:$D$441,"&gt;="&amp;$E76,HISTORICAL_DATA!$D$2:$D$441,"&lt;="&amp;$F76,HISTORICAL_DATA!$E$2:$E$441,"&lt;&gt;")&lt;3,"",SUMIFS(HISTORICAL_DATA!$E$2:$E$441,HISTORICAL_DATA!$A$2:$A$441,$A76,HISTORICAL_DATA!$D$2:$D$441,"&gt;="&amp;$E76,HISTORICAL_DATA!$D$2:$D$441,"&lt;="&amp;$F76)/3)</f>
        <v/>
      </c>
      <c r="H76" s="31" t="str">
        <f>IF(COUNTIFS(HISTORICAL_DATA!$A$2:$A$441,$A76,HISTORICAL_DATA!$D$2:$D$441,"&gt;="&amp;$E76,HISTORICAL_DATA!$D$2:$D$441,"&lt;="&amp;$F76,HISTORICAL_DATA!$G$2:$G$441,"&lt;&gt;")&lt;3,"",SUMIFS(HISTORICAL_DATA!$G$2:$G$441,HISTORICAL_DATA!$A$2:$A$441,$A76,HISTORICAL_DATA!$D$2:$D$441,"&gt;="&amp;$E76,HISTORICAL_DATA!$D$2:$D$441,"&lt;="&amp;$F76)/3)</f>
        <v/>
      </c>
      <c r="I76" s="31" t="str">
        <f>IF(OR(G76="",H76=""),"FACILITY DATA MISSING",IF(AND(COUNTIFS($C$2:$C$221,C76,$D$2:$D$221,D76,$G$2:$G$221,"&lt;&gt;")=COUNTIF(OFFICIAL_ALLOCATIONS!$C$2:$C$111,C76),COUNTIFS($C$2:$C$221,C76,$D$2:$D$221,D76,$H$2:$H$221,"&lt;&gt;")=COUNTIF(OFFICIAL_ALLOCATIONS!$C$2:$C$111,C76)),"COMPLETE","SECTOR DATA INCOMPLETE"))</f>
        <v>FACILITY DATA MISSING</v>
      </c>
      <c r="J76" s="9" t="str">
        <f t="shared" si="3"/>
        <v/>
      </c>
      <c r="K76" s="23" t="str">
        <f>IF(COUNTIFS(POLICY_PARAMETERS!$B$2:$B$13,"g",POLICY_PARAMETERS!$E$2:$E$13,C76,POLICY_PARAMETERS!$F$2:$F$13,D76,POLICY_PARAMETERS!$G$2:$G$13,"&lt;&gt;")=0,"",SUMIFS(POLICY_PARAMETERS!$G$2:$G$13,POLICY_PARAMETERS!$B$2:$B$13,"g",POLICY_PARAMETERS!$E$2:$E$13,C76,POLICY_PARAMETERS!$F$2:$F$13,D76))</f>
        <v/>
      </c>
      <c r="L76" s="23" t="str">
        <f>IF(COUNTIFS(POLICY_PARAMETERS!$B$2:$B$13,"r",POLICY_PARAMETERS!$E$2:$E$13,C76,POLICY_PARAMETERS!$F$2:$F$13,D76,POLICY_PARAMETERS!$G$2:$G$13,"&lt;&gt;")=0,"",SUMIFS(POLICY_PARAMETERS!$G$2:$G$13,POLICY_PARAMETERS!$B$2:$B$13,"r",POLICY_PARAMETERS!$E$2:$E$13,C76,POLICY_PARAMETERS!$F$2:$F$13,D76))</f>
        <v/>
      </c>
      <c r="M76" s="24" t="str">
        <f t="shared" si="4"/>
        <v/>
      </c>
      <c r="N76" s="25" t="str">
        <f t="shared" si="5"/>
        <v/>
      </c>
      <c r="O76" s="26">
        <f>IF(D76=2025,IFERROR(VLOOKUP(A76,OFFICIAL_ALLOCATIONS!$A$2:$F$111,5,FALSE),""),IFERROR(VLOOKUP(A76,OFFICIAL_ALLOCATIONS!$A$2:$F$111,6,FALSE),""))</f>
        <v>902</v>
      </c>
      <c r="P76" s="42" t="str">
        <f t="shared" si="6"/>
        <v/>
      </c>
      <c r="Q76" s="28" t="str">
        <f t="shared" si="7"/>
        <v/>
      </c>
      <c r="R76" s="5" t="str">
        <f t="shared" si="8"/>
        <v>MISSING HISTORICAL DATA</v>
      </c>
      <c r="S76" s="5" t="s">
        <v>179</v>
      </c>
      <c r="T76" s="5" t="s">
        <v>59</v>
      </c>
    </row>
    <row r="77" ht="15.75" customHeight="1">
      <c r="A77" s="3" t="s">
        <v>1010</v>
      </c>
      <c r="B77" s="3" t="s">
        <v>197</v>
      </c>
      <c r="C77" s="3" t="s">
        <v>108</v>
      </c>
      <c r="D77" s="9">
        <v>2026.0</v>
      </c>
      <c r="E77" s="9">
        <f t="shared" si="1"/>
        <v>2023</v>
      </c>
      <c r="F77" s="9">
        <f t="shared" si="2"/>
        <v>2025</v>
      </c>
      <c r="G77" s="31" t="str">
        <f>IF(COUNTIFS(HISTORICAL_DATA!$A$2:$A$441,$A77,HISTORICAL_DATA!$D$2:$D$441,"&gt;="&amp;$E77,HISTORICAL_DATA!$D$2:$D$441,"&lt;="&amp;$F77,HISTORICAL_DATA!$E$2:$E$441,"&lt;&gt;")&lt;3,"",SUMIFS(HISTORICAL_DATA!$E$2:$E$441,HISTORICAL_DATA!$A$2:$A$441,$A77,HISTORICAL_DATA!$D$2:$D$441,"&gt;="&amp;$E77,HISTORICAL_DATA!$D$2:$D$441,"&lt;="&amp;$F77)/3)</f>
        <v/>
      </c>
      <c r="H77" s="31" t="str">
        <f>IF(COUNTIFS(HISTORICAL_DATA!$A$2:$A$441,$A77,HISTORICAL_DATA!$D$2:$D$441,"&gt;="&amp;$E77,HISTORICAL_DATA!$D$2:$D$441,"&lt;="&amp;$F77,HISTORICAL_DATA!$G$2:$G$441,"&lt;&gt;")&lt;3,"",SUMIFS(HISTORICAL_DATA!$G$2:$G$441,HISTORICAL_DATA!$A$2:$A$441,$A77,HISTORICAL_DATA!$D$2:$D$441,"&gt;="&amp;$E77,HISTORICAL_DATA!$D$2:$D$441,"&lt;="&amp;$F77)/3)</f>
        <v/>
      </c>
      <c r="I77" s="31" t="str">
        <f>IF(OR(G77="",H77=""),"FACILITY DATA MISSING",IF(AND(COUNTIFS($C$2:$C$221,C77,$D$2:$D$221,D77,$G$2:$G$221,"&lt;&gt;")=COUNTIF(OFFICIAL_ALLOCATIONS!$C$2:$C$111,C77),COUNTIFS($C$2:$C$221,C77,$D$2:$D$221,D77,$H$2:$H$221,"&lt;&gt;")=COUNTIF(OFFICIAL_ALLOCATIONS!$C$2:$C$111,C77)),"COMPLETE","SECTOR DATA INCOMPLETE"))</f>
        <v>FACILITY DATA MISSING</v>
      </c>
      <c r="J77" s="9" t="str">
        <f t="shared" si="3"/>
        <v/>
      </c>
      <c r="K77" s="23" t="str">
        <f>IF(COUNTIFS(POLICY_PARAMETERS!$B$2:$B$13,"g",POLICY_PARAMETERS!$E$2:$E$13,C77,POLICY_PARAMETERS!$F$2:$F$13,D77,POLICY_PARAMETERS!$G$2:$G$13,"&lt;&gt;")=0,"",SUMIFS(POLICY_PARAMETERS!$G$2:$G$13,POLICY_PARAMETERS!$B$2:$B$13,"g",POLICY_PARAMETERS!$E$2:$E$13,C77,POLICY_PARAMETERS!$F$2:$F$13,D77))</f>
        <v/>
      </c>
      <c r="L77" s="23" t="str">
        <f>IF(COUNTIFS(POLICY_PARAMETERS!$B$2:$B$13,"r",POLICY_PARAMETERS!$E$2:$E$13,C77,POLICY_PARAMETERS!$F$2:$F$13,D77,POLICY_PARAMETERS!$G$2:$G$13,"&lt;&gt;")=0,"",SUMIFS(POLICY_PARAMETERS!$G$2:$G$13,POLICY_PARAMETERS!$B$2:$B$13,"r",POLICY_PARAMETERS!$E$2:$E$13,C77,POLICY_PARAMETERS!$F$2:$F$13,D77))</f>
        <v/>
      </c>
      <c r="M77" s="24" t="str">
        <f t="shared" si="4"/>
        <v/>
      </c>
      <c r="N77" s="25" t="str">
        <f t="shared" si="5"/>
        <v/>
      </c>
      <c r="O77" s="26">
        <f>IF(D77=2025,IFERROR(VLOOKUP(A77,OFFICIAL_ALLOCATIONS!$A$2:$F$111,5,FALSE),""),IFERROR(VLOOKUP(A77,OFFICIAL_ALLOCATIONS!$A$2:$F$111,6,FALSE),""))</f>
        <v>1052</v>
      </c>
      <c r="P77" s="42" t="str">
        <f t="shared" si="6"/>
        <v/>
      </c>
      <c r="Q77" s="28" t="str">
        <f t="shared" si="7"/>
        <v/>
      </c>
      <c r="R77" s="5" t="str">
        <f t="shared" si="8"/>
        <v>MISSING HISTORICAL DATA</v>
      </c>
      <c r="S77" s="5" t="s">
        <v>179</v>
      </c>
      <c r="T77" s="5" t="s">
        <v>59</v>
      </c>
    </row>
    <row r="78" ht="15.75" customHeight="1">
      <c r="A78" s="3" t="s">
        <v>1011</v>
      </c>
      <c r="B78" s="3" t="s">
        <v>199</v>
      </c>
      <c r="C78" s="3" t="s">
        <v>108</v>
      </c>
      <c r="D78" s="9">
        <v>2025.0</v>
      </c>
      <c r="E78" s="9">
        <f t="shared" si="1"/>
        <v>2022</v>
      </c>
      <c r="F78" s="9">
        <f t="shared" si="2"/>
        <v>2024</v>
      </c>
      <c r="G78" s="31" t="str">
        <f>IF(COUNTIFS(HISTORICAL_DATA!$A$2:$A$441,$A78,HISTORICAL_DATA!$D$2:$D$441,"&gt;="&amp;$E78,HISTORICAL_DATA!$D$2:$D$441,"&lt;="&amp;$F78,HISTORICAL_DATA!$E$2:$E$441,"&lt;&gt;")&lt;3,"",SUMIFS(HISTORICAL_DATA!$E$2:$E$441,HISTORICAL_DATA!$A$2:$A$441,$A78,HISTORICAL_DATA!$D$2:$D$441,"&gt;="&amp;$E78,HISTORICAL_DATA!$D$2:$D$441,"&lt;="&amp;$F78)/3)</f>
        <v/>
      </c>
      <c r="H78" s="31" t="str">
        <f>IF(COUNTIFS(HISTORICAL_DATA!$A$2:$A$441,$A78,HISTORICAL_DATA!$D$2:$D$441,"&gt;="&amp;$E78,HISTORICAL_DATA!$D$2:$D$441,"&lt;="&amp;$F78,HISTORICAL_DATA!$G$2:$G$441,"&lt;&gt;")&lt;3,"",SUMIFS(HISTORICAL_DATA!$G$2:$G$441,HISTORICAL_DATA!$A$2:$A$441,$A78,HISTORICAL_DATA!$D$2:$D$441,"&gt;="&amp;$E78,HISTORICAL_DATA!$D$2:$D$441,"&lt;="&amp;$F78)/3)</f>
        <v/>
      </c>
      <c r="I78" s="31" t="str">
        <f>IF(OR(G78="",H78=""),"FACILITY DATA MISSING",IF(AND(COUNTIFS($C$2:$C$221,C78,$D$2:$D$221,D78,$G$2:$G$221,"&lt;&gt;")=COUNTIF(OFFICIAL_ALLOCATIONS!$C$2:$C$111,C78),COUNTIFS($C$2:$C$221,C78,$D$2:$D$221,D78,$H$2:$H$221,"&lt;&gt;")=COUNTIF(OFFICIAL_ALLOCATIONS!$C$2:$C$111,C78)),"COMPLETE","SECTOR DATA INCOMPLETE"))</f>
        <v>FACILITY DATA MISSING</v>
      </c>
      <c r="J78" s="9" t="str">
        <f t="shared" si="3"/>
        <v/>
      </c>
      <c r="K78" s="23" t="str">
        <f>IF(COUNTIFS(POLICY_PARAMETERS!$B$2:$B$13,"g",POLICY_PARAMETERS!$E$2:$E$13,C78,POLICY_PARAMETERS!$F$2:$F$13,D78,POLICY_PARAMETERS!$G$2:$G$13,"&lt;&gt;")=0,"",SUMIFS(POLICY_PARAMETERS!$G$2:$G$13,POLICY_PARAMETERS!$B$2:$B$13,"g",POLICY_PARAMETERS!$E$2:$E$13,C78,POLICY_PARAMETERS!$F$2:$F$13,D78))</f>
        <v/>
      </c>
      <c r="L78" s="23" t="str">
        <f>IF(COUNTIFS(POLICY_PARAMETERS!$B$2:$B$13,"r",POLICY_PARAMETERS!$E$2:$E$13,C78,POLICY_PARAMETERS!$F$2:$F$13,D78,POLICY_PARAMETERS!$G$2:$G$13,"&lt;&gt;")=0,"",SUMIFS(POLICY_PARAMETERS!$G$2:$G$13,POLICY_PARAMETERS!$B$2:$B$13,"r",POLICY_PARAMETERS!$E$2:$E$13,C78,POLICY_PARAMETERS!$F$2:$F$13,D78))</f>
        <v/>
      </c>
      <c r="M78" s="24" t="str">
        <f t="shared" si="4"/>
        <v/>
      </c>
      <c r="N78" s="25" t="str">
        <f t="shared" si="5"/>
        <v/>
      </c>
      <c r="O78" s="26">
        <f>IF(D78=2025,IFERROR(VLOOKUP(A78,OFFICIAL_ALLOCATIONS!$A$2:$F$111,5,FALSE),""),IFERROR(VLOOKUP(A78,OFFICIAL_ALLOCATIONS!$A$2:$F$111,6,FALSE),""))</f>
        <v>2406</v>
      </c>
      <c r="P78" s="42" t="str">
        <f t="shared" si="6"/>
        <v/>
      </c>
      <c r="Q78" s="28" t="str">
        <f t="shared" si="7"/>
        <v/>
      </c>
      <c r="R78" s="5" t="str">
        <f t="shared" si="8"/>
        <v>MISSING HISTORICAL DATA</v>
      </c>
      <c r="S78" s="5" t="s">
        <v>179</v>
      </c>
      <c r="T78" s="5" t="s">
        <v>59</v>
      </c>
    </row>
    <row r="79" ht="15.75" customHeight="1">
      <c r="A79" s="3" t="s">
        <v>1011</v>
      </c>
      <c r="B79" s="3" t="s">
        <v>199</v>
      </c>
      <c r="C79" s="3" t="s">
        <v>108</v>
      </c>
      <c r="D79" s="9">
        <v>2026.0</v>
      </c>
      <c r="E79" s="9">
        <f t="shared" si="1"/>
        <v>2023</v>
      </c>
      <c r="F79" s="9">
        <f t="shared" si="2"/>
        <v>2025</v>
      </c>
      <c r="G79" s="31" t="str">
        <f>IF(COUNTIFS(HISTORICAL_DATA!$A$2:$A$441,$A79,HISTORICAL_DATA!$D$2:$D$441,"&gt;="&amp;$E79,HISTORICAL_DATA!$D$2:$D$441,"&lt;="&amp;$F79,HISTORICAL_DATA!$E$2:$E$441,"&lt;&gt;")&lt;3,"",SUMIFS(HISTORICAL_DATA!$E$2:$E$441,HISTORICAL_DATA!$A$2:$A$441,$A79,HISTORICAL_DATA!$D$2:$D$441,"&gt;="&amp;$E79,HISTORICAL_DATA!$D$2:$D$441,"&lt;="&amp;$F79)/3)</f>
        <v/>
      </c>
      <c r="H79" s="31" t="str">
        <f>IF(COUNTIFS(HISTORICAL_DATA!$A$2:$A$441,$A79,HISTORICAL_DATA!$D$2:$D$441,"&gt;="&amp;$E79,HISTORICAL_DATA!$D$2:$D$441,"&lt;="&amp;$F79,HISTORICAL_DATA!$G$2:$G$441,"&lt;&gt;")&lt;3,"",SUMIFS(HISTORICAL_DATA!$G$2:$G$441,HISTORICAL_DATA!$A$2:$A$441,$A79,HISTORICAL_DATA!$D$2:$D$441,"&gt;="&amp;$E79,HISTORICAL_DATA!$D$2:$D$441,"&lt;="&amp;$F79)/3)</f>
        <v/>
      </c>
      <c r="I79" s="31" t="str">
        <f>IF(OR(G79="",H79=""),"FACILITY DATA MISSING",IF(AND(COUNTIFS($C$2:$C$221,C79,$D$2:$D$221,D79,$G$2:$G$221,"&lt;&gt;")=COUNTIF(OFFICIAL_ALLOCATIONS!$C$2:$C$111,C79),COUNTIFS($C$2:$C$221,C79,$D$2:$D$221,D79,$H$2:$H$221,"&lt;&gt;")=COUNTIF(OFFICIAL_ALLOCATIONS!$C$2:$C$111,C79)),"COMPLETE","SECTOR DATA INCOMPLETE"))</f>
        <v>FACILITY DATA MISSING</v>
      </c>
      <c r="J79" s="9" t="str">
        <f t="shared" si="3"/>
        <v/>
      </c>
      <c r="K79" s="23" t="str">
        <f>IF(COUNTIFS(POLICY_PARAMETERS!$B$2:$B$13,"g",POLICY_PARAMETERS!$E$2:$E$13,C79,POLICY_PARAMETERS!$F$2:$F$13,D79,POLICY_PARAMETERS!$G$2:$G$13,"&lt;&gt;")=0,"",SUMIFS(POLICY_PARAMETERS!$G$2:$G$13,POLICY_PARAMETERS!$B$2:$B$13,"g",POLICY_PARAMETERS!$E$2:$E$13,C79,POLICY_PARAMETERS!$F$2:$F$13,D79))</f>
        <v/>
      </c>
      <c r="L79" s="23" t="str">
        <f>IF(COUNTIFS(POLICY_PARAMETERS!$B$2:$B$13,"r",POLICY_PARAMETERS!$E$2:$E$13,C79,POLICY_PARAMETERS!$F$2:$F$13,D79,POLICY_PARAMETERS!$G$2:$G$13,"&lt;&gt;")=0,"",SUMIFS(POLICY_PARAMETERS!$G$2:$G$13,POLICY_PARAMETERS!$B$2:$B$13,"r",POLICY_PARAMETERS!$E$2:$E$13,C79,POLICY_PARAMETERS!$F$2:$F$13,D79))</f>
        <v/>
      </c>
      <c r="M79" s="24" t="str">
        <f t="shared" si="4"/>
        <v/>
      </c>
      <c r="N79" s="25" t="str">
        <f t="shared" si="5"/>
        <v/>
      </c>
      <c r="O79" s="26">
        <f>IF(D79=2025,IFERROR(VLOOKUP(A79,OFFICIAL_ALLOCATIONS!$A$2:$F$111,5,FALSE),""),IFERROR(VLOOKUP(A79,OFFICIAL_ALLOCATIONS!$A$2:$F$111,6,FALSE),""))</f>
        <v>2804</v>
      </c>
      <c r="P79" s="42" t="str">
        <f t="shared" si="6"/>
        <v/>
      </c>
      <c r="Q79" s="28" t="str">
        <f t="shared" si="7"/>
        <v/>
      </c>
      <c r="R79" s="5" t="str">
        <f t="shared" si="8"/>
        <v>MISSING HISTORICAL DATA</v>
      </c>
      <c r="S79" s="5" t="s">
        <v>179</v>
      </c>
      <c r="T79" s="5" t="s">
        <v>59</v>
      </c>
    </row>
    <row r="80" ht="15.75" customHeight="1">
      <c r="A80" s="3" t="s">
        <v>1012</v>
      </c>
      <c r="B80" s="3" t="s">
        <v>201</v>
      </c>
      <c r="C80" s="3" t="s">
        <v>108</v>
      </c>
      <c r="D80" s="9">
        <v>2025.0</v>
      </c>
      <c r="E80" s="9">
        <f t="shared" si="1"/>
        <v>2022</v>
      </c>
      <c r="F80" s="9">
        <f t="shared" si="2"/>
        <v>2024</v>
      </c>
      <c r="G80" s="31" t="str">
        <f>IF(COUNTIFS(HISTORICAL_DATA!$A$2:$A$441,$A80,HISTORICAL_DATA!$D$2:$D$441,"&gt;="&amp;$E80,HISTORICAL_DATA!$D$2:$D$441,"&lt;="&amp;$F80,HISTORICAL_DATA!$E$2:$E$441,"&lt;&gt;")&lt;3,"",SUMIFS(HISTORICAL_DATA!$E$2:$E$441,HISTORICAL_DATA!$A$2:$A$441,$A80,HISTORICAL_DATA!$D$2:$D$441,"&gt;="&amp;$E80,HISTORICAL_DATA!$D$2:$D$441,"&lt;="&amp;$F80)/3)</f>
        <v/>
      </c>
      <c r="H80" s="31" t="str">
        <f>IF(COUNTIFS(HISTORICAL_DATA!$A$2:$A$441,$A80,HISTORICAL_DATA!$D$2:$D$441,"&gt;="&amp;$E80,HISTORICAL_DATA!$D$2:$D$441,"&lt;="&amp;$F80,HISTORICAL_DATA!$G$2:$G$441,"&lt;&gt;")&lt;3,"",SUMIFS(HISTORICAL_DATA!$G$2:$G$441,HISTORICAL_DATA!$A$2:$A$441,$A80,HISTORICAL_DATA!$D$2:$D$441,"&gt;="&amp;$E80,HISTORICAL_DATA!$D$2:$D$441,"&lt;="&amp;$F80)/3)</f>
        <v/>
      </c>
      <c r="I80" s="31" t="str">
        <f>IF(OR(G80="",H80=""),"FACILITY DATA MISSING",IF(AND(COUNTIFS($C$2:$C$221,C80,$D$2:$D$221,D80,$G$2:$G$221,"&lt;&gt;")=COUNTIF(OFFICIAL_ALLOCATIONS!$C$2:$C$111,C80),COUNTIFS($C$2:$C$221,C80,$D$2:$D$221,D80,$H$2:$H$221,"&lt;&gt;")=COUNTIF(OFFICIAL_ALLOCATIONS!$C$2:$C$111,C80)),"COMPLETE","SECTOR DATA INCOMPLETE"))</f>
        <v>FACILITY DATA MISSING</v>
      </c>
      <c r="J80" s="9" t="str">
        <f t="shared" si="3"/>
        <v/>
      </c>
      <c r="K80" s="23" t="str">
        <f>IF(COUNTIFS(POLICY_PARAMETERS!$B$2:$B$13,"g",POLICY_PARAMETERS!$E$2:$E$13,C80,POLICY_PARAMETERS!$F$2:$F$13,D80,POLICY_PARAMETERS!$G$2:$G$13,"&lt;&gt;")=0,"",SUMIFS(POLICY_PARAMETERS!$G$2:$G$13,POLICY_PARAMETERS!$B$2:$B$13,"g",POLICY_PARAMETERS!$E$2:$E$13,C80,POLICY_PARAMETERS!$F$2:$F$13,D80))</f>
        <v/>
      </c>
      <c r="L80" s="23" t="str">
        <f>IF(COUNTIFS(POLICY_PARAMETERS!$B$2:$B$13,"r",POLICY_PARAMETERS!$E$2:$E$13,C80,POLICY_PARAMETERS!$F$2:$F$13,D80,POLICY_PARAMETERS!$G$2:$G$13,"&lt;&gt;")=0,"",SUMIFS(POLICY_PARAMETERS!$G$2:$G$13,POLICY_PARAMETERS!$B$2:$B$13,"r",POLICY_PARAMETERS!$E$2:$E$13,C80,POLICY_PARAMETERS!$F$2:$F$13,D80))</f>
        <v/>
      </c>
      <c r="M80" s="24" t="str">
        <f t="shared" si="4"/>
        <v/>
      </c>
      <c r="N80" s="25" t="str">
        <f t="shared" si="5"/>
        <v/>
      </c>
      <c r="O80" s="26">
        <f>IF(D80=2025,IFERROR(VLOOKUP(A80,OFFICIAL_ALLOCATIONS!$A$2:$F$111,5,FALSE),""),IFERROR(VLOOKUP(A80,OFFICIAL_ALLOCATIONS!$A$2:$F$111,6,FALSE),""))</f>
        <v>13666930</v>
      </c>
      <c r="P80" s="42" t="str">
        <f t="shared" si="6"/>
        <v/>
      </c>
      <c r="Q80" s="28" t="str">
        <f t="shared" si="7"/>
        <v/>
      </c>
      <c r="R80" s="5" t="str">
        <f t="shared" si="8"/>
        <v>MISSING HISTORICAL DATA</v>
      </c>
      <c r="S80" s="5" t="s">
        <v>179</v>
      </c>
      <c r="T80" s="5" t="s">
        <v>59</v>
      </c>
    </row>
    <row r="81" ht="15.75" customHeight="1">
      <c r="A81" s="3" t="s">
        <v>1012</v>
      </c>
      <c r="B81" s="3" t="s">
        <v>201</v>
      </c>
      <c r="C81" s="3" t="s">
        <v>108</v>
      </c>
      <c r="D81" s="9">
        <v>2026.0</v>
      </c>
      <c r="E81" s="9">
        <f t="shared" si="1"/>
        <v>2023</v>
      </c>
      <c r="F81" s="9">
        <f t="shared" si="2"/>
        <v>2025</v>
      </c>
      <c r="G81" s="31" t="str">
        <f>IF(COUNTIFS(HISTORICAL_DATA!$A$2:$A$441,$A81,HISTORICAL_DATA!$D$2:$D$441,"&gt;="&amp;$E81,HISTORICAL_DATA!$D$2:$D$441,"&lt;="&amp;$F81,HISTORICAL_DATA!$E$2:$E$441,"&lt;&gt;")&lt;3,"",SUMIFS(HISTORICAL_DATA!$E$2:$E$441,HISTORICAL_DATA!$A$2:$A$441,$A81,HISTORICAL_DATA!$D$2:$D$441,"&gt;="&amp;$E81,HISTORICAL_DATA!$D$2:$D$441,"&lt;="&amp;$F81)/3)</f>
        <v/>
      </c>
      <c r="H81" s="31" t="str">
        <f>IF(COUNTIFS(HISTORICAL_DATA!$A$2:$A$441,$A81,HISTORICAL_DATA!$D$2:$D$441,"&gt;="&amp;$E81,HISTORICAL_DATA!$D$2:$D$441,"&lt;="&amp;$F81,HISTORICAL_DATA!$G$2:$G$441,"&lt;&gt;")&lt;3,"",SUMIFS(HISTORICAL_DATA!$G$2:$G$441,HISTORICAL_DATA!$A$2:$A$441,$A81,HISTORICAL_DATA!$D$2:$D$441,"&gt;="&amp;$E81,HISTORICAL_DATA!$D$2:$D$441,"&lt;="&amp;$F81)/3)</f>
        <v/>
      </c>
      <c r="I81" s="31" t="str">
        <f>IF(OR(G81="",H81=""),"FACILITY DATA MISSING",IF(AND(COUNTIFS($C$2:$C$221,C81,$D$2:$D$221,D81,$G$2:$G$221,"&lt;&gt;")=COUNTIF(OFFICIAL_ALLOCATIONS!$C$2:$C$111,C81),COUNTIFS($C$2:$C$221,C81,$D$2:$D$221,D81,$H$2:$H$221,"&lt;&gt;")=COUNTIF(OFFICIAL_ALLOCATIONS!$C$2:$C$111,C81)),"COMPLETE","SECTOR DATA INCOMPLETE"))</f>
        <v>FACILITY DATA MISSING</v>
      </c>
      <c r="J81" s="9" t="str">
        <f t="shared" si="3"/>
        <v/>
      </c>
      <c r="K81" s="23" t="str">
        <f>IF(COUNTIFS(POLICY_PARAMETERS!$B$2:$B$13,"g",POLICY_PARAMETERS!$E$2:$E$13,C81,POLICY_PARAMETERS!$F$2:$F$13,D81,POLICY_PARAMETERS!$G$2:$G$13,"&lt;&gt;")=0,"",SUMIFS(POLICY_PARAMETERS!$G$2:$G$13,POLICY_PARAMETERS!$B$2:$B$13,"g",POLICY_PARAMETERS!$E$2:$E$13,C81,POLICY_PARAMETERS!$F$2:$F$13,D81))</f>
        <v/>
      </c>
      <c r="L81" s="23" t="str">
        <f>IF(COUNTIFS(POLICY_PARAMETERS!$B$2:$B$13,"r",POLICY_PARAMETERS!$E$2:$E$13,C81,POLICY_PARAMETERS!$F$2:$F$13,D81,POLICY_PARAMETERS!$G$2:$G$13,"&lt;&gt;")=0,"",SUMIFS(POLICY_PARAMETERS!$G$2:$G$13,POLICY_PARAMETERS!$B$2:$B$13,"r",POLICY_PARAMETERS!$E$2:$E$13,C81,POLICY_PARAMETERS!$F$2:$F$13,D81))</f>
        <v/>
      </c>
      <c r="M81" s="24" t="str">
        <f t="shared" si="4"/>
        <v/>
      </c>
      <c r="N81" s="25" t="str">
        <f t="shared" si="5"/>
        <v/>
      </c>
      <c r="O81" s="26">
        <f>IF(D81=2025,IFERROR(VLOOKUP(A81,OFFICIAL_ALLOCATIONS!$A$2:$F$111,5,FALSE),""),IFERROR(VLOOKUP(A81,OFFICIAL_ALLOCATIONS!$A$2:$F$111,6,FALSE),""))</f>
        <v>15932703</v>
      </c>
      <c r="P81" s="42" t="str">
        <f t="shared" si="6"/>
        <v/>
      </c>
      <c r="Q81" s="28" t="str">
        <f t="shared" si="7"/>
        <v/>
      </c>
      <c r="R81" s="5" t="str">
        <f t="shared" si="8"/>
        <v>MISSING HISTORICAL DATA</v>
      </c>
      <c r="S81" s="5" t="s">
        <v>179</v>
      </c>
      <c r="T81" s="5" t="s">
        <v>59</v>
      </c>
    </row>
    <row r="82" ht="15.75" customHeight="1">
      <c r="A82" s="3" t="s">
        <v>1013</v>
      </c>
      <c r="B82" s="3" t="s">
        <v>202</v>
      </c>
      <c r="C82" s="3" t="s">
        <v>108</v>
      </c>
      <c r="D82" s="9">
        <v>2025.0</v>
      </c>
      <c r="E82" s="9">
        <f t="shared" si="1"/>
        <v>2022</v>
      </c>
      <c r="F82" s="9">
        <f t="shared" si="2"/>
        <v>2024</v>
      </c>
      <c r="G82" s="31" t="str">
        <f>IF(COUNTIFS(HISTORICAL_DATA!$A$2:$A$441,$A82,HISTORICAL_DATA!$D$2:$D$441,"&gt;="&amp;$E82,HISTORICAL_DATA!$D$2:$D$441,"&lt;="&amp;$F82,HISTORICAL_DATA!$E$2:$E$441,"&lt;&gt;")&lt;3,"",SUMIFS(HISTORICAL_DATA!$E$2:$E$441,HISTORICAL_DATA!$A$2:$A$441,$A82,HISTORICAL_DATA!$D$2:$D$441,"&gt;="&amp;$E82,HISTORICAL_DATA!$D$2:$D$441,"&lt;="&amp;$F82)/3)</f>
        <v/>
      </c>
      <c r="H82" s="31" t="str">
        <f>IF(COUNTIFS(HISTORICAL_DATA!$A$2:$A$441,$A82,HISTORICAL_DATA!$D$2:$D$441,"&gt;="&amp;$E82,HISTORICAL_DATA!$D$2:$D$441,"&lt;="&amp;$F82,HISTORICAL_DATA!$G$2:$G$441,"&lt;&gt;")&lt;3,"",SUMIFS(HISTORICAL_DATA!$G$2:$G$441,HISTORICAL_DATA!$A$2:$A$441,$A82,HISTORICAL_DATA!$D$2:$D$441,"&gt;="&amp;$E82,HISTORICAL_DATA!$D$2:$D$441,"&lt;="&amp;$F82)/3)</f>
        <v/>
      </c>
      <c r="I82" s="31" t="str">
        <f>IF(OR(G82="",H82=""),"FACILITY DATA MISSING",IF(AND(COUNTIFS($C$2:$C$221,C82,$D$2:$D$221,D82,$G$2:$G$221,"&lt;&gt;")=COUNTIF(OFFICIAL_ALLOCATIONS!$C$2:$C$111,C82),COUNTIFS($C$2:$C$221,C82,$D$2:$D$221,D82,$H$2:$H$221,"&lt;&gt;")=COUNTIF(OFFICIAL_ALLOCATIONS!$C$2:$C$111,C82)),"COMPLETE","SECTOR DATA INCOMPLETE"))</f>
        <v>FACILITY DATA MISSING</v>
      </c>
      <c r="J82" s="9" t="str">
        <f t="shared" si="3"/>
        <v/>
      </c>
      <c r="K82" s="23" t="str">
        <f>IF(COUNTIFS(POLICY_PARAMETERS!$B$2:$B$13,"g",POLICY_PARAMETERS!$E$2:$E$13,C82,POLICY_PARAMETERS!$F$2:$F$13,D82,POLICY_PARAMETERS!$G$2:$G$13,"&lt;&gt;")=0,"",SUMIFS(POLICY_PARAMETERS!$G$2:$G$13,POLICY_PARAMETERS!$B$2:$B$13,"g",POLICY_PARAMETERS!$E$2:$E$13,C82,POLICY_PARAMETERS!$F$2:$F$13,D82))</f>
        <v/>
      </c>
      <c r="L82" s="23" t="str">
        <f>IF(COUNTIFS(POLICY_PARAMETERS!$B$2:$B$13,"r",POLICY_PARAMETERS!$E$2:$E$13,C82,POLICY_PARAMETERS!$F$2:$F$13,D82,POLICY_PARAMETERS!$G$2:$G$13,"&lt;&gt;")=0,"",SUMIFS(POLICY_PARAMETERS!$G$2:$G$13,POLICY_PARAMETERS!$B$2:$B$13,"r",POLICY_PARAMETERS!$E$2:$E$13,C82,POLICY_PARAMETERS!$F$2:$F$13,D82))</f>
        <v/>
      </c>
      <c r="M82" s="24" t="str">
        <f t="shared" si="4"/>
        <v/>
      </c>
      <c r="N82" s="25" t="str">
        <f t="shared" si="5"/>
        <v/>
      </c>
      <c r="O82" s="26">
        <f>IF(D82=2025,IFERROR(VLOOKUP(A82,OFFICIAL_ALLOCATIONS!$A$2:$F$111,5,FALSE),""),IFERROR(VLOOKUP(A82,OFFICIAL_ALLOCATIONS!$A$2:$F$111,6,FALSE),""))</f>
        <v>11218848</v>
      </c>
      <c r="P82" s="42" t="str">
        <f t="shared" si="6"/>
        <v/>
      </c>
      <c r="Q82" s="28" t="str">
        <f t="shared" si="7"/>
        <v/>
      </c>
      <c r="R82" s="5" t="str">
        <f t="shared" si="8"/>
        <v>MISSING HISTORICAL DATA</v>
      </c>
      <c r="S82" s="5" t="s">
        <v>179</v>
      </c>
      <c r="T82" s="5" t="s">
        <v>59</v>
      </c>
    </row>
    <row r="83" ht="15.75" customHeight="1">
      <c r="A83" s="3" t="s">
        <v>1013</v>
      </c>
      <c r="B83" s="3" t="s">
        <v>202</v>
      </c>
      <c r="C83" s="3" t="s">
        <v>108</v>
      </c>
      <c r="D83" s="9">
        <v>2026.0</v>
      </c>
      <c r="E83" s="9">
        <f t="shared" si="1"/>
        <v>2023</v>
      </c>
      <c r="F83" s="9">
        <f t="shared" si="2"/>
        <v>2025</v>
      </c>
      <c r="G83" s="31" t="str">
        <f>IF(COUNTIFS(HISTORICAL_DATA!$A$2:$A$441,$A83,HISTORICAL_DATA!$D$2:$D$441,"&gt;="&amp;$E83,HISTORICAL_DATA!$D$2:$D$441,"&lt;="&amp;$F83,HISTORICAL_DATA!$E$2:$E$441,"&lt;&gt;")&lt;3,"",SUMIFS(HISTORICAL_DATA!$E$2:$E$441,HISTORICAL_DATA!$A$2:$A$441,$A83,HISTORICAL_DATA!$D$2:$D$441,"&gt;="&amp;$E83,HISTORICAL_DATA!$D$2:$D$441,"&lt;="&amp;$F83)/3)</f>
        <v/>
      </c>
      <c r="H83" s="31" t="str">
        <f>IF(COUNTIFS(HISTORICAL_DATA!$A$2:$A$441,$A83,HISTORICAL_DATA!$D$2:$D$441,"&gt;="&amp;$E83,HISTORICAL_DATA!$D$2:$D$441,"&lt;="&amp;$F83,HISTORICAL_DATA!$G$2:$G$441,"&lt;&gt;")&lt;3,"",SUMIFS(HISTORICAL_DATA!$G$2:$G$441,HISTORICAL_DATA!$A$2:$A$441,$A83,HISTORICAL_DATA!$D$2:$D$441,"&gt;="&amp;$E83,HISTORICAL_DATA!$D$2:$D$441,"&lt;="&amp;$F83)/3)</f>
        <v/>
      </c>
      <c r="I83" s="31" t="str">
        <f>IF(OR(G83="",H83=""),"FACILITY DATA MISSING",IF(AND(COUNTIFS($C$2:$C$221,C83,$D$2:$D$221,D83,$G$2:$G$221,"&lt;&gt;")=COUNTIF(OFFICIAL_ALLOCATIONS!$C$2:$C$111,C83),COUNTIFS($C$2:$C$221,C83,$D$2:$D$221,D83,$H$2:$H$221,"&lt;&gt;")=COUNTIF(OFFICIAL_ALLOCATIONS!$C$2:$C$111,C83)),"COMPLETE","SECTOR DATA INCOMPLETE"))</f>
        <v>FACILITY DATA MISSING</v>
      </c>
      <c r="J83" s="9" t="str">
        <f t="shared" si="3"/>
        <v/>
      </c>
      <c r="K83" s="23" t="str">
        <f>IF(COUNTIFS(POLICY_PARAMETERS!$B$2:$B$13,"g",POLICY_PARAMETERS!$E$2:$E$13,C83,POLICY_PARAMETERS!$F$2:$F$13,D83,POLICY_PARAMETERS!$G$2:$G$13,"&lt;&gt;")=0,"",SUMIFS(POLICY_PARAMETERS!$G$2:$G$13,POLICY_PARAMETERS!$B$2:$B$13,"g",POLICY_PARAMETERS!$E$2:$E$13,C83,POLICY_PARAMETERS!$F$2:$F$13,D83))</f>
        <v/>
      </c>
      <c r="L83" s="23" t="str">
        <f>IF(COUNTIFS(POLICY_PARAMETERS!$B$2:$B$13,"r",POLICY_PARAMETERS!$E$2:$E$13,C83,POLICY_PARAMETERS!$F$2:$F$13,D83,POLICY_PARAMETERS!$G$2:$G$13,"&lt;&gt;")=0,"",SUMIFS(POLICY_PARAMETERS!$G$2:$G$13,POLICY_PARAMETERS!$B$2:$B$13,"r",POLICY_PARAMETERS!$E$2:$E$13,C83,POLICY_PARAMETERS!$F$2:$F$13,D83))</f>
        <v/>
      </c>
      <c r="M83" s="24" t="str">
        <f t="shared" si="4"/>
        <v/>
      </c>
      <c r="N83" s="25" t="str">
        <f t="shared" si="5"/>
        <v/>
      </c>
      <c r="O83" s="26">
        <f>IF(D83=2025,IFERROR(VLOOKUP(A83,OFFICIAL_ALLOCATIONS!$A$2:$F$111,5,FALSE),""),IFERROR(VLOOKUP(A83,OFFICIAL_ALLOCATIONS!$A$2:$F$111,6,FALSE),""))</f>
        <v>13078765</v>
      </c>
      <c r="P83" s="42" t="str">
        <f t="shared" si="6"/>
        <v/>
      </c>
      <c r="Q83" s="28" t="str">
        <f t="shared" si="7"/>
        <v/>
      </c>
      <c r="R83" s="5" t="str">
        <f t="shared" si="8"/>
        <v>MISSING HISTORICAL DATA</v>
      </c>
      <c r="S83" s="5" t="s">
        <v>179</v>
      </c>
      <c r="T83" s="5" t="s">
        <v>59</v>
      </c>
    </row>
    <row r="84" ht="15.75" customHeight="1">
      <c r="A84" s="3" t="s">
        <v>1014</v>
      </c>
      <c r="B84" s="3" t="s">
        <v>204</v>
      </c>
      <c r="C84" s="3" t="s">
        <v>108</v>
      </c>
      <c r="D84" s="9">
        <v>2025.0</v>
      </c>
      <c r="E84" s="9">
        <f t="shared" si="1"/>
        <v>2022</v>
      </c>
      <c r="F84" s="9">
        <f t="shared" si="2"/>
        <v>2024</v>
      </c>
      <c r="G84" s="31" t="str">
        <f>IF(COUNTIFS(HISTORICAL_DATA!$A$2:$A$441,$A84,HISTORICAL_DATA!$D$2:$D$441,"&gt;="&amp;$E84,HISTORICAL_DATA!$D$2:$D$441,"&lt;="&amp;$F84,HISTORICAL_DATA!$E$2:$E$441,"&lt;&gt;")&lt;3,"",SUMIFS(HISTORICAL_DATA!$E$2:$E$441,HISTORICAL_DATA!$A$2:$A$441,$A84,HISTORICAL_DATA!$D$2:$D$441,"&gt;="&amp;$E84,HISTORICAL_DATA!$D$2:$D$441,"&lt;="&amp;$F84)/3)</f>
        <v/>
      </c>
      <c r="H84" s="31" t="str">
        <f>IF(COUNTIFS(HISTORICAL_DATA!$A$2:$A$441,$A84,HISTORICAL_DATA!$D$2:$D$441,"&gt;="&amp;$E84,HISTORICAL_DATA!$D$2:$D$441,"&lt;="&amp;$F84,HISTORICAL_DATA!$G$2:$G$441,"&lt;&gt;")&lt;3,"",SUMIFS(HISTORICAL_DATA!$G$2:$G$441,HISTORICAL_DATA!$A$2:$A$441,$A84,HISTORICAL_DATA!$D$2:$D$441,"&gt;="&amp;$E84,HISTORICAL_DATA!$D$2:$D$441,"&lt;="&amp;$F84)/3)</f>
        <v/>
      </c>
      <c r="I84" s="31" t="str">
        <f>IF(OR(G84="",H84=""),"FACILITY DATA MISSING",IF(AND(COUNTIFS($C$2:$C$221,C84,$D$2:$D$221,D84,$G$2:$G$221,"&lt;&gt;")=COUNTIF(OFFICIAL_ALLOCATIONS!$C$2:$C$111,C84),COUNTIFS($C$2:$C$221,C84,$D$2:$D$221,D84,$H$2:$H$221,"&lt;&gt;")=COUNTIF(OFFICIAL_ALLOCATIONS!$C$2:$C$111,C84)),"COMPLETE","SECTOR DATA INCOMPLETE"))</f>
        <v>FACILITY DATA MISSING</v>
      </c>
      <c r="J84" s="9" t="str">
        <f t="shared" si="3"/>
        <v/>
      </c>
      <c r="K84" s="23" t="str">
        <f>IF(COUNTIFS(POLICY_PARAMETERS!$B$2:$B$13,"g",POLICY_PARAMETERS!$E$2:$E$13,C84,POLICY_PARAMETERS!$F$2:$F$13,D84,POLICY_PARAMETERS!$G$2:$G$13,"&lt;&gt;")=0,"",SUMIFS(POLICY_PARAMETERS!$G$2:$G$13,POLICY_PARAMETERS!$B$2:$B$13,"g",POLICY_PARAMETERS!$E$2:$E$13,C84,POLICY_PARAMETERS!$F$2:$F$13,D84))</f>
        <v/>
      </c>
      <c r="L84" s="23" t="str">
        <f>IF(COUNTIFS(POLICY_PARAMETERS!$B$2:$B$13,"r",POLICY_PARAMETERS!$E$2:$E$13,C84,POLICY_PARAMETERS!$F$2:$F$13,D84,POLICY_PARAMETERS!$G$2:$G$13,"&lt;&gt;")=0,"",SUMIFS(POLICY_PARAMETERS!$G$2:$G$13,POLICY_PARAMETERS!$B$2:$B$13,"r",POLICY_PARAMETERS!$E$2:$E$13,C84,POLICY_PARAMETERS!$F$2:$F$13,D84))</f>
        <v/>
      </c>
      <c r="M84" s="24" t="str">
        <f t="shared" si="4"/>
        <v/>
      </c>
      <c r="N84" s="25" t="str">
        <f t="shared" si="5"/>
        <v/>
      </c>
      <c r="O84" s="26">
        <f>IF(D84=2025,IFERROR(VLOOKUP(A84,OFFICIAL_ALLOCATIONS!$A$2:$F$111,5,FALSE),""),IFERROR(VLOOKUP(A84,OFFICIAL_ALLOCATIONS!$A$2:$F$111,6,FALSE),""))</f>
        <v>12842</v>
      </c>
      <c r="P84" s="42" t="str">
        <f t="shared" si="6"/>
        <v/>
      </c>
      <c r="Q84" s="28" t="str">
        <f t="shared" si="7"/>
        <v/>
      </c>
      <c r="R84" s="5" t="str">
        <f t="shared" si="8"/>
        <v>MISSING HISTORICAL DATA</v>
      </c>
      <c r="S84" s="5" t="s">
        <v>179</v>
      </c>
      <c r="T84" s="5" t="s">
        <v>59</v>
      </c>
    </row>
    <row r="85" ht="15.75" customHeight="1">
      <c r="A85" s="3" t="s">
        <v>1014</v>
      </c>
      <c r="B85" s="3" t="s">
        <v>204</v>
      </c>
      <c r="C85" s="3" t="s">
        <v>108</v>
      </c>
      <c r="D85" s="9">
        <v>2026.0</v>
      </c>
      <c r="E85" s="9">
        <f t="shared" si="1"/>
        <v>2023</v>
      </c>
      <c r="F85" s="9">
        <f t="shared" si="2"/>
        <v>2025</v>
      </c>
      <c r="G85" s="31" t="str">
        <f>IF(COUNTIFS(HISTORICAL_DATA!$A$2:$A$441,$A85,HISTORICAL_DATA!$D$2:$D$441,"&gt;="&amp;$E85,HISTORICAL_DATA!$D$2:$D$441,"&lt;="&amp;$F85,HISTORICAL_DATA!$E$2:$E$441,"&lt;&gt;")&lt;3,"",SUMIFS(HISTORICAL_DATA!$E$2:$E$441,HISTORICAL_DATA!$A$2:$A$441,$A85,HISTORICAL_DATA!$D$2:$D$441,"&gt;="&amp;$E85,HISTORICAL_DATA!$D$2:$D$441,"&lt;="&amp;$F85)/3)</f>
        <v/>
      </c>
      <c r="H85" s="31" t="str">
        <f>IF(COUNTIFS(HISTORICAL_DATA!$A$2:$A$441,$A85,HISTORICAL_DATA!$D$2:$D$441,"&gt;="&amp;$E85,HISTORICAL_DATA!$D$2:$D$441,"&lt;="&amp;$F85,HISTORICAL_DATA!$G$2:$G$441,"&lt;&gt;")&lt;3,"",SUMIFS(HISTORICAL_DATA!$G$2:$G$441,HISTORICAL_DATA!$A$2:$A$441,$A85,HISTORICAL_DATA!$D$2:$D$441,"&gt;="&amp;$E85,HISTORICAL_DATA!$D$2:$D$441,"&lt;="&amp;$F85)/3)</f>
        <v/>
      </c>
      <c r="I85" s="31" t="str">
        <f>IF(OR(G85="",H85=""),"FACILITY DATA MISSING",IF(AND(COUNTIFS($C$2:$C$221,C85,$D$2:$D$221,D85,$G$2:$G$221,"&lt;&gt;")=COUNTIF(OFFICIAL_ALLOCATIONS!$C$2:$C$111,C85),COUNTIFS($C$2:$C$221,C85,$D$2:$D$221,D85,$H$2:$H$221,"&lt;&gt;")=COUNTIF(OFFICIAL_ALLOCATIONS!$C$2:$C$111,C85)),"COMPLETE","SECTOR DATA INCOMPLETE"))</f>
        <v>FACILITY DATA MISSING</v>
      </c>
      <c r="J85" s="9" t="str">
        <f t="shared" si="3"/>
        <v/>
      </c>
      <c r="K85" s="23" t="str">
        <f>IF(COUNTIFS(POLICY_PARAMETERS!$B$2:$B$13,"g",POLICY_PARAMETERS!$E$2:$E$13,C85,POLICY_PARAMETERS!$F$2:$F$13,D85,POLICY_PARAMETERS!$G$2:$G$13,"&lt;&gt;")=0,"",SUMIFS(POLICY_PARAMETERS!$G$2:$G$13,POLICY_PARAMETERS!$B$2:$B$13,"g",POLICY_PARAMETERS!$E$2:$E$13,C85,POLICY_PARAMETERS!$F$2:$F$13,D85))</f>
        <v/>
      </c>
      <c r="L85" s="23" t="str">
        <f>IF(COUNTIFS(POLICY_PARAMETERS!$B$2:$B$13,"r",POLICY_PARAMETERS!$E$2:$E$13,C85,POLICY_PARAMETERS!$F$2:$F$13,D85,POLICY_PARAMETERS!$G$2:$G$13,"&lt;&gt;")=0,"",SUMIFS(POLICY_PARAMETERS!$G$2:$G$13,POLICY_PARAMETERS!$B$2:$B$13,"r",POLICY_PARAMETERS!$E$2:$E$13,C85,POLICY_PARAMETERS!$F$2:$F$13,D85))</f>
        <v/>
      </c>
      <c r="M85" s="24" t="str">
        <f t="shared" si="4"/>
        <v/>
      </c>
      <c r="N85" s="25" t="str">
        <f t="shared" si="5"/>
        <v/>
      </c>
      <c r="O85" s="26">
        <f>IF(D85=2025,IFERROR(VLOOKUP(A85,OFFICIAL_ALLOCATIONS!$A$2:$F$111,5,FALSE),""),IFERROR(VLOOKUP(A85,OFFICIAL_ALLOCATIONS!$A$2:$F$111,6,FALSE),""))</f>
        <v>14971</v>
      </c>
      <c r="P85" s="42" t="str">
        <f t="shared" si="6"/>
        <v/>
      </c>
      <c r="Q85" s="28" t="str">
        <f t="shared" si="7"/>
        <v/>
      </c>
      <c r="R85" s="5" t="str">
        <f t="shared" si="8"/>
        <v>MISSING HISTORICAL DATA</v>
      </c>
      <c r="S85" s="5" t="s">
        <v>179</v>
      </c>
      <c r="T85" s="5" t="s">
        <v>59</v>
      </c>
    </row>
    <row r="86" ht="15.75" customHeight="1">
      <c r="A86" s="3" t="s">
        <v>1015</v>
      </c>
      <c r="B86" s="3" t="s">
        <v>206</v>
      </c>
      <c r="C86" s="3" t="s">
        <v>108</v>
      </c>
      <c r="D86" s="9">
        <v>2025.0</v>
      </c>
      <c r="E86" s="9">
        <f t="shared" si="1"/>
        <v>2022</v>
      </c>
      <c r="F86" s="9">
        <f t="shared" si="2"/>
        <v>2024</v>
      </c>
      <c r="G86" s="31" t="str">
        <f>IF(COUNTIFS(HISTORICAL_DATA!$A$2:$A$441,$A86,HISTORICAL_DATA!$D$2:$D$441,"&gt;="&amp;$E86,HISTORICAL_DATA!$D$2:$D$441,"&lt;="&amp;$F86,HISTORICAL_DATA!$E$2:$E$441,"&lt;&gt;")&lt;3,"",SUMIFS(HISTORICAL_DATA!$E$2:$E$441,HISTORICAL_DATA!$A$2:$A$441,$A86,HISTORICAL_DATA!$D$2:$D$441,"&gt;="&amp;$E86,HISTORICAL_DATA!$D$2:$D$441,"&lt;="&amp;$F86)/3)</f>
        <v/>
      </c>
      <c r="H86" s="31" t="str">
        <f>IF(COUNTIFS(HISTORICAL_DATA!$A$2:$A$441,$A86,HISTORICAL_DATA!$D$2:$D$441,"&gt;="&amp;$E86,HISTORICAL_DATA!$D$2:$D$441,"&lt;="&amp;$F86,HISTORICAL_DATA!$G$2:$G$441,"&lt;&gt;")&lt;3,"",SUMIFS(HISTORICAL_DATA!$G$2:$G$441,HISTORICAL_DATA!$A$2:$A$441,$A86,HISTORICAL_DATA!$D$2:$D$441,"&gt;="&amp;$E86,HISTORICAL_DATA!$D$2:$D$441,"&lt;="&amp;$F86)/3)</f>
        <v/>
      </c>
      <c r="I86" s="31" t="str">
        <f>IF(OR(G86="",H86=""),"FACILITY DATA MISSING",IF(AND(COUNTIFS($C$2:$C$221,C86,$D$2:$D$221,D86,$G$2:$G$221,"&lt;&gt;")=COUNTIF(OFFICIAL_ALLOCATIONS!$C$2:$C$111,C86),COUNTIFS($C$2:$C$221,C86,$D$2:$D$221,D86,$H$2:$H$221,"&lt;&gt;")=COUNTIF(OFFICIAL_ALLOCATIONS!$C$2:$C$111,C86)),"COMPLETE","SECTOR DATA INCOMPLETE"))</f>
        <v>FACILITY DATA MISSING</v>
      </c>
      <c r="J86" s="9" t="str">
        <f t="shared" si="3"/>
        <v/>
      </c>
      <c r="K86" s="23" t="str">
        <f>IF(COUNTIFS(POLICY_PARAMETERS!$B$2:$B$13,"g",POLICY_PARAMETERS!$E$2:$E$13,C86,POLICY_PARAMETERS!$F$2:$F$13,D86,POLICY_PARAMETERS!$G$2:$G$13,"&lt;&gt;")=0,"",SUMIFS(POLICY_PARAMETERS!$G$2:$G$13,POLICY_PARAMETERS!$B$2:$B$13,"g",POLICY_PARAMETERS!$E$2:$E$13,C86,POLICY_PARAMETERS!$F$2:$F$13,D86))</f>
        <v/>
      </c>
      <c r="L86" s="23" t="str">
        <f>IF(COUNTIFS(POLICY_PARAMETERS!$B$2:$B$13,"r",POLICY_PARAMETERS!$E$2:$E$13,C86,POLICY_PARAMETERS!$F$2:$F$13,D86,POLICY_PARAMETERS!$G$2:$G$13,"&lt;&gt;")=0,"",SUMIFS(POLICY_PARAMETERS!$G$2:$G$13,POLICY_PARAMETERS!$B$2:$B$13,"r",POLICY_PARAMETERS!$E$2:$E$13,C86,POLICY_PARAMETERS!$F$2:$F$13,D86))</f>
        <v/>
      </c>
      <c r="M86" s="24" t="str">
        <f t="shared" si="4"/>
        <v/>
      </c>
      <c r="N86" s="25" t="str">
        <f t="shared" si="5"/>
        <v/>
      </c>
      <c r="O86" s="26">
        <f>IF(D86=2025,IFERROR(VLOOKUP(A86,OFFICIAL_ALLOCATIONS!$A$2:$F$111,5,FALSE),""),IFERROR(VLOOKUP(A86,OFFICIAL_ALLOCATIONS!$A$2:$F$111,6,FALSE),""))</f>
        <v>52001</v>
      </c>
      <c r="P86" s="42" t="str">
        <f t="shared" si="6"/>
        <v/>
      </c>
      <c r="Q86" s="28" t="str">
        <f t="shared" si="7"/>
        <v/>
      </c>
      <c r="R86" s="5" t="str">
        <f t="shared" si="8"/>
        <v>MISSING HISTORICAL DATA</v>
      </c>
      <c r="S86" s="5" t="s">
        <v>179</v>
      </c>
      <c r="T86" s="5" t="s">
        <v>59</v>
      </c>
    </row>
    <row r="87" ht="15.75" customHeight="1">
      <c r="A87" s="3" t="s">
        <v>1015</v>
      </c>
      <c r="B87" s="3" t="s">
        <v>206</v>
      </c>
      <c r="C87" s="3" t="s">
        <v>108</v>
      </c>
      <c r="D87" s="9">
        <v>2026.0</v>
      </c>
      <c r="E87" s="9">
        <f t="shared" si="1"/>
        <v>2023</v>
      </c>
      <c r="F87" s="9">
        <f t="shared" si="2"/>
        <v>2025</v>
      </c>
      <c r="G87" s="31" t="str">
        <f>IF(COUNTIFS(HISTORICAL_DATA!$A$2:$A$441,$A87,HISTORICAL_DATA!$D$2:$D$441,"&gt;="&amp;$E87,HISTORICAL_DATA!$D$2:$D$441,"&lt;="&amp;$F87,HISTORICAL_DATA!$E$2:$E$441,"&lt;&gt;")&lt;3,"",SUMIFS(HISTORICAL_DATA!$E$2:$E$441,HISTORICAL_DATA!$A$2:$A$441,$A87,HISTORICAL_DATA!$D$2:$D$441,"&gt;="&amp;$E87,HISTORICAL_DATA!$D$2:$D$441,"&lt;="&amp;$F87)/3)</f>
        <v/>
      </c>
      <c r="H87" s="31" t="str">
        <f>IF(COUNTIFS(HISTORICAL_DATA!$A$2:$A$441,$A87,HISTORICAL_DATA!$D$2:$D$441,"&gt;="&amp;$E87,HISTORICAL_DATA!$D$2:$D$441,"&lt;="&amp;$F87,HISTORICAL_DATA!$G$2:$G$441,"&lt;&gt;")&lt;3,"",SUMIFS(HISTORICAL_DATA!$G$2:$G$441,HISTORICAL_DATA!$A$2:$A$441,$A87,HISTORICAL_DATA!$D$2:$D$441,"&gt;="&amp;$E87,HISTORICAL_DATA!$D$2:$D$441,"&lt;="&amp;$F87)/3)</f>
        <v/>
      </c>
      <c r="I87" s="31" t="str">
        <f>IF(OR(G87="",H87=""),"FACILITY DATA MISSING",IF(AND(COUNTIFS($C$2:$C$221,C87,$D$2:$D$221,D87,$G$2:$G$221,"&lt;&gt;")=COUNTIF(OFFICIAL_ALLOCATIONS!$C$2:$C$111,C87),COUNTIFS($C$2:$C$221,C87,$D$2:$D$221,D87,$H$2:$H$221,"&lt;&gt;")=COUNTIF(OFFICIAL_ALLOCATIONS!$C$2:$C$111,C87)),"COMPLETE","SECTOR DATA INCOMPLETE"))</f>
        <v>FACILITY DATA MISSING</v>
      </c>
      <c r="J87" s="9" t="str">
        <f t="shared" si="3"/>
        <v/>
      </c>
      <c r="K87" s="23" t="str">
        <f>IF(COUNTIFS(POLICY_PARAMETERS!$B$2:$B$13,"g",POLICY_PARAMETERS!$E$2:$E$13,C87,POLICY_PARAMETERS!$F$2:$F$13,D87,POLICY_PARAMETERS!$G$2:$G$13,"&lt;&gt;")=0,"",SUMIFS(POLICY_PARAMETERS!$G$2:$G$13,POLICY_PARAMETERS!$B$2:$B$13,"g",POLICY_PARAMETERS!$E$2:$E$13,C87,POLICY_PARAMETERS!$F$2:$F$13,D87))</f>
        <v/>
      </c>
      <c r="L87" s="23" t="str">
        <f>IF(COUNTIFS(POLICY_PARAMETERS!$B$2:$B$13,"r",POLICY_PARAMETERS!$E$2:$E$13,C87,POLICY_PARAMETERS!$F$2:$F$13,D87,POLICY_PARAMETERS!$G$2:$G$13,"&lt;&gt;")=0,"",SUMIFS(POLICY_PARAMETERS!$G$2:$G$13,POLICY_PARAMETERS!$B$2:$B$13,"r",POLICY_PARAMETERS!$E$2:$E$13,C87,POLICY_PARAMETERS!$F$2:$F$13,D87))</f>
        <v/>
      </c>
      <c r="M87" s="24" t="str">
        <f t="shared" si="4"/>
        <v/>
      </c>
      <c r="N87" s="25" t="str">
        <f t="shared" si="5"/>
        <v/>
      </c>
      <c r="O87" s="26">
        <f>IF(D87=2025,IFERROR(VLOOKUP(A87,OFFICIAL_ALLOCATIONS!$A$2:$F$111,5,FALSE),""),IFERROR(VLOOKUP(A87,OFFICIAL_ALLOCATIONS!$A$2:$F$111,6,FALSE),""))</f>
        <v>60622</v>
      </c>
      <c r="P87" s="42" t="str">
        <f t="shared" si="6"/>
        <v/>
      </c>
      <c r="Q87" s="28" t="str">
        <f t="shared" si="7"/>
        <v/>
      </c>
      <c r="R87" s="5" t="str">
        <f t="shared" si="8"/>
        <v>MISSING HISTORICAL DATA</v>
      </c>
      <c r="S87" s="5" t="s">
        <v>179</v>
      </c>
      <c r="T87" s="5" t="s">
        <v>59</v>
      </c>
    </row>
    <row r="88" ht="15.75" customHeight="1">
      <c r="A88" s="3" t="s">
        <v>1016</v>
      </c>
      <c r="B88" s="3" t="s">
        <v>208</v>
      </c>
      <c r="C88" s="3" t="s">
        <v>108</v>
      </c>
      <c r="D88" s="9">
        <v>2025.0</v>
      </c>
      <c r="E88" s="9">
        <f t="shared" si="1"/>
        <v>2022</v>
      </c>
      <c r="F88" s="9">
        <f t="shared" si="2"/>
        <v>2024</v>
      </c>
      <c r="G88" s="31" t="str">
        <f>IF(COUNTIFS(HISTORICAL_DATA!$A$2:$A$441,$A88,HISTORICAL_DATA!$D$2:$D$441,"&gt;="&amp;$E88,HISTORICAL_DATA!$D$2:$D$441,"&lt;="&amp;$F88,HISTORICAL_DATA!$E$2:$E$441,"&lt;&gt;")&lt;3,"",SUMIFS(HISTORICAL_DATA!$E$2:$E$441,HISTORICAL_DATA!$A$2:$A$441,$A88,HISTORICAL_DATA!$D$2:$D$441,"&gt;="&amp;$E88,HISTORICAL_DATA!$D$2:$D$441,"&lt;="&amp;$F88)/3)</f>
        <v/>
      </c>
      <c r="H88" s="31" t="str">
        <f>IF(COUNTIFS(HISTORICAL_DATA!$A$2:$A$441,$A88,HISTORICAL_DATA!$D$2:$D$441,"&gt;="&amp;$E88,HISTORICAL_DATA!$D$2:$D$441,"&lt;="&amp;$F88,HISTORICAL_DATA!$G$2:$G$441,"&lt;&gt;")&lt;3,"",SUMIFS(HISTORICAL_DATA!$G$2:$G$441,HISTORICAL_DATA!$A$2:$A$441,$A88,HISTORICAL_DATA!$D$2:$D$441,"&gt;="&amp;$E88,HISTORICAL_DATA!$D$2:$D$441,"&lt;="&amp;$F88)/3)</f>
        <v/>
      </c>
      <c r="I88" s="31" t="str">
        <f>IF(OR(G88="",H88=""),"FACILITY DATA MISSING",IF(AND(COUNTIFS($C$2:$C$221,C88,$D$2:$D$221,D88,$G$2:$G$221,"&lt;&gt;")=COUNTIF(OFFICIAL_ALLOCATIONS!$C$2:$C$111,C88),COUNTIFS($C$2:$C$221,C88,$D$2:$D$221,D88,$H$2:$H$221,"&lt;&gt;")=COUNTIF(OFFICIAL_ALLOCATIONS!$C$2:$C$111,C88)),"COMPLETE","SECTOR DATA INCOMPLETE"))</f>
        <v>FACILITY DATA MISSING</v>
      </c>
      <c r="J88" s="9" t="str">
        <f t="shared" si="3"/>
        <v/>
      </c>
      <c r="K88" s="23" t="str">
        <f>IF(COUNTIFS(POLICY_PARAMETERS!$B$2:$B$13,"g",POLICY_PARAMETERS!$E$2:$E$13,C88,POLICY_PARAMETERS!$F$2:$F$13,D88,POLICY_PARAMETERS!$G$2:$G$13,"&lt;&gt;")=0,"",SUMIFS(POLICY_PARAMETERS!$G$2:$G$13,POLICY_PARAMETERS!$B$2:$B$13,"g",POLICY_PARAMETERS!$E$2:$E$13,C88,POLICY_PARAMETERS!$F$2:$F$13,D88))</f>
        <v/>
      </c>
      <c r="L88" s="23" t="str">
        <f>IF(COUNTIFS(POLICY_PARAMETERS!$B$2:$B$13,"r",POLICY_PARAMETERS!$E$2:$E$13,C88,POLICY_PARAMETERS!$F$2:$F$13,D88,POLICY_PARAMETERS!$G$2:$G$13,"&lt;&gt;")=0,"",SUMIFS(POLICY_PARAMETERS!$G$2:$G$13,POLICY_PARAMETERS!$B$2:$B$13,"r",POLICY_PARAMETERS!$E$2:$E$13,C88,POLICY_PARAMETERS!$F$2:$F$13,D88))</f>
        <v/>
      </c>
      <c r="M88" s="24" t="str">
        <f t="shared" si="4"/>
        <v/>
      </c>
      <c r="N88" s="25" t="str">
        <f t="shared" si="5"/>
        <v/>
      </c>
      <c r="O88" s="26">
        <f>IF(D88=2025,IFERROR(VLOOKUP(A88,OFFICIAL_ALLOCATIONS!$A$2:$F$111,5,FALSE),""),IFERROR(VLOOKUP(A88,OFFICIAL_ALLOCATIONS!$A$2:$F$111,6,FALSE),""))</f>
        <v>14952</v>
      </c>
      <c r="P88" s="42" t="str">
        <f t="shared" si="6"/>
        <v/>
      </c>
      <c r="Q88" s="28" t="str">
        <f t="shared" si="7"/>
        <v/>
      </c>
      <c r="R88" s="5" t="str">
        <f t="shared" si="8"/>
        <v>MISSING HISTORICAL DATA</v>
      </c>
      <c r="S88" s="5" t="s">
        <v>179</v>
      </c>
      <c r="T88" s="5" t="s">
        <v>59</v>
      </c>
    </row>
    <row r="89" ht="15.75" customHeight="1">
      <c r="A89" s="3" t="s">
        <v>1016</v>
      </c>
      <c r="B89" s="3" t="s">
        <v>208</v>
      </c>
      <c r="C89" s="3" t="s">
        <v>108</v>
      </c>
      <c r="D89" s="9">
        <v>2026.0</v>
      </c>
      <c r="E89" s="9">
        <f t="shared" si="1"/>
        <v>2023</v>
      </c>
      <c r="F89" s="9">
        <f t="shared" si="2"/>
        <v>2025</v>
      </c>
      <c r="G89" s="31" t="str">
        <f>IF(COUNTIFS(HISTORICAL_DATA!$A$2:$A$441,$A89,HISTORICAL_DATA!$D$2:$D$441,"&gt;="&amp;$E89,HISTORICAL_DATA!$D$2:$D$441,"&lt;="&amp;$F89,HISTORICAL_DATA!$E$2:$E$441,"&lt;&gt;")&lt;3,"",SUMIFS(HISTORICAL_DATA!$E$2:$E$441,HISTORICAL_DATA!$A$2:$A$441,$A89,HISTORICAL_DATA!$D$2:$D$441,"&gt;="&amp;$E89,HISTORICAL_DATA!$D$2:$D$441,"&lt;="&amp;$F89)/3)</f>
        <v/>
      </c>
      <c r="H89" s="31" t="str">
        <f>IF(COUNTIFS(HISTORICAL_DATA!$A$2:$A$441,$A89,HISTORICAL_DATA!$D$2:$D$441,"&gt;="&amp;$E89,HISTORICAL_DATA!$D$2:$D$441,"&lt;="&amp;$F89,HISTORICAL_DATA!$G$2:$G$441,"&lt;&gt;")&lt;3,"",SUMIFS(HISTORICAL_DATA!$G$2:$G$441,HISTORICAL_DATA!$A$2:$A$441,$A89,HISTORICAL_DATA!$D$2:$D$441,"&gt;="&amp;$E89,HISTORICAL_DATA!$D$2:$D$441,"&lt;="&amp;$F89)/3)</f>
        <v/>
      </c>
      <c r="I89" s="31" t="str">
        <f>IF(OR(G89="",H89=""),"FACILITY DATA MISSING",IF(AND(COUNTIFS($C$2:$C$221,C89,$D$2:$D$221,D89,$G$2:$G$221,"&lt;&gt;")=COUNTIF(OFFICIAL_ALLOCATIONS!$C$2:$C$111,C89),COUNTIFS($C$2:$C$221,C89,$D$2:$D$221,D89,$H$2:$H$221,"&lt;&gt;")=COUNTIF(OFFICIAL_ALLOCATIONS!$C$2:$C$111,C89)),"COMPLETE","SECTOR DATA INCOMPLETE"))</f>
        <v>FACILITY DATA MISSING</v>
      </c>
      <c r="J89" s="9" t="str">
        <f t="shared" si="3"/>
        <v/>
      </c>
      <c r="K89" s="23" t="str">
        <f>IF(COUNTIFS(POLICY_PARAMETERS!$B$2:$B$13,"g",POLICY_PARAMETERS!$E$2:$E$13,C89,POLICY_PARAMETERS!$F$2:$F$13,D89,POLICY_PARAMETERS!$G$2:$G$13,"&lt;&gt;")=0,"",SUMIFS(POLICY_PARAMETERS!$G$2:$G$13,POLICY_PARAMETERS!$B$2:$B$13,"g",POLICY_PARAMETERS!$E$2:$E$13,C89,POLICY_PARAMETERS!$F$2:$F$13,D89))</f>
        <v/>
      </c>
      <c r="L89" s="23" t="str">
        <f>IF(COUNTIFS(POLICY_PARAMETERS!$B$2:$B$13,"r",POLICY_PARAMETERS!$E$2:$E$13,C89,POLICY_PARAMETERS!$F$2:$F$13,D89,POLICY_PARAMETERS!$G$2:$G$13,"&lt;&gt;")=0,"",SUMIFS(POLICY_PARAMETERS!$G$2:$G$13,POLICY_PARAMETERS!$B$2:$B$13,"r",POLICY_PARAMETERS!$E$2:$E$13,C89,POLICY_PARAMETERS!$F$2:$F$13,D89))</f>
        <v/>
      </c>
      <c r="M89" s="24" t="str">
        <f t="shared" si="4"/>
        <v/>
      </c>
      <c r="N89" s="25" t="str">
        <f t="shared" si="5"/>
        <v/>
      </c>
      <c r="O89" s="26">
        <f>IF(D89=2025,IFERROR(VLOOKUP(A89,OFFICIAL_ALLOCATIONS!$A$2:$F$111,5,FALSE),""),IFERROR(VLOOKUP(A89,OFFICIAL_ALLOCATIONS!$A$2:$F$111,6,FALSE),""))</f>
        <v>17431</v>
      </c>
      <c r="P89" s="42" t="str">
        <f t="shared" si="6"/>
        <v/>
      </c>
      <c r="Q89" s="28" t="str">
        <f t="shared" si="7"/>
        <v/>
      </c>
      <c r="R89" s="5" t="str">
        <f t="shared" si="8"/>
        <v>MISSING HISTORICAL DATA</v>
      </c>
      <c r="S89" s="5" t="s">
        <v>179</v>
      </c>
      <c r="T89" s="5" t="s">
        <v>59</v>
      </c>
    </row>
    <row r="90" ht="15.75" customHeight="1">
      <c r="A90" s="3" t="s">
        <v>1017</v>
      </c>
      <c r="B90" s="3" t="s">
        <v>210</v>
      </c>
      <c r="C90" s="3" t="s">
        <v>108</v>
      </c>
      <c r="D90" s="9">
        <v>2025.0</v>
      </c>
      <c r="E90" s="9">
        <f t="shared" si="1"/>
        <v>2022</v>
      </c>
      <c r="F90" s="9">
        <f t="shared" si="2"/>
        <v>2024</v>
      </c>
      <c r="G90" s="31" t="str">
        <f>IF(COUNTIFS(HISTORICAL_DATA!$A$2:$A$441,$A90,HISTORICAL_DATA!$D$2:$D$441,"&gt;="&amp;$E90,HISTORICAL_DATA!$D$2:$D$441,"&lt;="&amp;$F90,HISTORICAL_DATA!$E$2:$E$441,"&lt;&gt;")&lt;3,"",SUMIFS(HISTORICAL_DATA!$E$2:$E$441,HISTORICAL_DATA!$A$2:$A$441,$A90,HISTORICAL_DATA!$D$2:$D$441,"&gt;="&amp;$E90,HISTORICAL_DATA!$D$2:$D$441,"&lt;="&amp;$F90)/3)</f>
        <v/>
      </c>
      <c r="H90" s="31" t="str">
        <f>IF(COUNTIFS(HISTORICAL_DATA!$A$2:$A$441,$A90,HISTORICAL_DATA!$D$2:$D$441,"&gt;="&amp;$E90,HISTORICAL_DATA!$D$2:$D$441,"&lt;="&amp;$F90,HISTORICAL_DATA!$G$2:$G$441,"&lt;&gt;")&lt;3,"",SUMIFS(HISTORICAL_DATA!$G$2:$G$441,HISTORICAL_DATA!$A$2:$A$441,$A90,HISTORICAL_DATA!$D$2:$D$441,"&gt;="&amp;$E90,HISTORICAL_DATA!$D$2:$D$441,"&lt;="&amp;$F90)/3)</f>
        <v/>
      </c>
      <c r="I90" s="31" t="str">
        <f>IF(OR(G90="",H90=""),"FACILITY DATA MISSING",IF(AND(COUNTIFS($C$2:$C$221,C90,$D$2:$D$221,D90,$G$2:$G$221,"&lt;&gt;")=COUNTIF(OFFICIAL_ALLOCATIONS!$C$2:$C$111,C90),COUNTIFS($C$2:$C$221,C90,$D$2:$D$221,D90,$H$2:$H$221,"&lt;&gt;")=COUNTIF(OFFICIAL_ALLOCATIONS!$C$2:$C$111,C90)),"COMPLETE","SECTOR DATA INCOMPLETE"))</f>
        <v>FACILITY DATA MISSING</v>
      </c>
      <c r="J90" s="9" t="str">
        <f t="shared" si="3"/>
        <v/>
      </c>
      <c r="K90" s="23" t="str">
        <f>IF(COUNTIFS(POLICY_PARAMETERS!$B$2:$B$13,"g",POLICY_PARAMETERS!$E$2:$E$13,C90,POLICY_PARAMETERS!$F$2:$F$13,D90,POLICY_PARAMETERS!$G$2:$G$13,"&lt;&gt;")=0,"",SUMIFS(POLICY_PARAMETERS!$G$2:$G$13,POLICY_PARAMETERS!$B$2:$B$13,"g",POLICY_PARAMETERS!$E$2:$E$13,C90,POLICY_PARAMETERS!$F$2:$F$13,D90))</f>
        <v/>
      </c>
      <c r="L90" s="23" t="str">
        <f>IF(COUNTIFS(POLICY_PARAMETERS!$B$2:$B$13,"r",POLICY_PARAMETERS!$E$2:$E$13,C90,POLICY_PARAMETERS!$F$2:$F$13,D90,POLICY_PARAMETERS!$G$2:$G$13,"&lt;&gt;")=0,"",SUMIFS(POLICY_PARAMETERS!$G$2:$G$13,POLICY_PARAMETERS!$B$2:$B$13,"r",POLICY_PARAMETERS!$E$2:$E$13,C90,POLICY_PARAMETERS!$F$2:$F$13,D90))</f>
        <v/>
      </c>
      <c r="M90" s="24" t="str">
        <f t="shared" si="4"/>
        <v/>
      </c>
      <c r="N90" s="25" t="str">
        <f t="shared" si="5"/>
        <v/>
      </c>
      <c r="O90" s="26">
        <f>IF(D90=2025,IFERROR(VLOOKUP(A90,OFFICIAL_ALLOCATIONS!$A$2:$F$111,5,FALSE),""),IFERROR(VLOOKUP(A90,OFFICIAL_ALLOCATIONS!$A$2:$F$111,6,FALSE),""))</f>
        <v>46390</v>
      </c>
      <c r="P90" s="42" t="str">
        <f t="shared" si="6"/>
        <v/>
      </c>
      <c r="Q90" s="28" t="str">
        <f t="shared" si="7"/>
        <v/>
      </c>
      <c r="R90" s="5" t="str">
        <f t="shared" si="8"/>
        <v>MISSING HISTORICAL DATA</v>
      </c>
      <c r="S90" s="5" t="s">
        <v>179</v>
      </c>
      <c r="T90" s="5" t="s">
        <v>59</v>
      </c>
    </row>
    <row r="91" ht="15.75" customHeight="1">
      <c r="A91" s="3" t="s">
        <v>1017</v>
      </c>
      <c r="B91" s="3" t="s">
        <v>210</v>
      </c>
      <c r="C91" s="3" t="s">
        <v>108</v>
      </c>
      <c r="D91" s="9">
        <v>2026.0</v>
      </c>
      <c r="E91" s="9">
        <f t="shared" si="1"/>
        <v>2023</v>
      </c>
      <c r="F91" s="9">
        <f t="shared" si="2"/>
        <v>2025</v>
      </c>
      <c r="G91" s="31" t="str">
        <f>IF(COUNTIFS(HISTORICAL_DATA!$A$2:$A$441,$A91,HISTORICAL_DATA!$D$2:$D$441,"&gt;="&amp;$E91,HISTORICAL_DATA!$D$2:$D$441,"&lt;="&amp;$F91,HISTORICAL_DATA!$E$2:$E$441,"&lt;&gt;")&lt;3,"",SUMIFS(HISTORICAL_DATA!$E$2:$E$441,HISTORICAL_DATA!$A$2:$A$441,$A91,HISTORICAL_DATA!$D$2:$D$441,"&gt;="&amp;$E91,HISTORICAL_DATA!$D$2:$D$441,"&lt;="&amp;$F91)/3)</f>
        <v/>
      </c>
      <c r="H91" s="31" t="str">
        <f>IF(COUNTIFS(HISTORICAL_DATA!$A$2:$A$441,$A91,HISTORICAL_DATA!$D$2:$D$441,"&gt;="&amp;$E91,HISTORICAL_DATA!$D$2:$D$441,"&lt;="&amp;$F91,HISTORICAL_DATA!$G$2:$G$441,"&lt;&gt;")&lt;3,"",SUMIFS(HISTORICAL_DATA!$G$2:$G$441,HISTORICAL_DATA!$A$2:$A$441,$A91,HISTORICAL_DATA!$D$2:$D$441,"&gt;="&amp;$E91,HISTORICAL_DATA!$D$2:$D$441,"&lt;="&amp;$F91)/3)</f>
        <v/>
      </c>
      <c r="I91" s="31" t="str">
        <f>IF(OR(G91="",H91=""),"FACILITY DATA MISSING",IF(AND(COUNTIFS($C$2:$C$221,C91,$D$2:$D$221,D91,$G$2:$G$221,"&lt;&gt;")=COUNTIF(OFFICIAL_ALLOCATIONS!$C$2:$C$111,C91),COUNTIFS($C$2:$C$221,C91,$D$2:$D$221,D91,$H$2:$H$221,"&lt;&gt;")=COUNTIF(OFFICIAL_ALLOCATIONS!$C$2:$C$111,C91)),"COMPLETE","SECTOR DATA INCOMPLETE"))</f>
        <v>FACILITY DATA MISSING</v>
      </c>
      <c r="J91" s="9" t="str">
        <f t="shared" si="3"/>
        <v/>
      </c>
      <c r="K91" s="23" t="str">
        <f>IF(COUNTIFS(POLICY_PARAMETERS!$B$2:$B$13,"g",POLICY_PARAMETERS!$E$2:$E$13,C91,POLICY_PARAMETERS!$F$2:$F$13,D91,POLICY_PARAMETERS!$G$2:$G$13,"&lt;&gt;")=0,"",SUMIFS(POLICY_PARAMETERS!$G$2:$G$13,POLICY_PARAMETERS!$B$2:$B$13,"g",POLICY_PARAMETERS!$E$2:$E$13,C91,POLICY_PARAMETERS!$F$2:$F$13,D91))</f>
        <v/>
      </c>
      <c r="L91" s="23" t="str">
        <f>IF(COUNTIFS(POLICY_PARAMETERS!$B$2:$B$13,"r",POLICY_PARAMETERS!$E$2:$E$13,C91,POLICY_PARAMETERS!$F$2:$F$13,D91,POLICY_PARAMETERS!$G$2:$G$13,"&lt;&gt;")=0,"",SUMIFS(POLICY_PARAMETERS!$G$2:$G$13,POLICY_PARAMETERS!$B$2:$B$13,"r",POLICY_PARAMETERS!$E$2:$E$13,C91,POLICY_PARAMETERS!$F$2:$F$13,D91))</f>
        <v/>
      </c>
      <c r="M91" s="24" t="str">
        <f t="shared" si="4"/>
        <v/>
      </c>
      <c r="N91" s="25" t="str">
        <f t="shared" si="5"/>
        <v/>
      </c>
      <c r="O91" s="26">
        <f>IF(D91=2025,IFERROR(VLOOKUP(A91,OFFICIAL_ALLOCATIONS!$A$2:$F$111,5,FALSE),""),IFERROR(VLOOKUP(A91,OFFICIAL_ALLOCATIONS!$A$2:$F$111,6,FALSE),""))</f>
        <v>54081</v>
      </c>
      <c r="P91" s="42" t="str">
        <f t="shared" si="6"/>
        <v/>
      </c>
      <c r="Q91" s="28" t="str">
        <f t="shared" si="7"/>
        <v/>
      </c>
      <c r="R91" s="5" t="str">
        <f t="shared" si="8"/>
        <v>MISSING HISTORICAL DATA</v>
      </c>
      <c r="S91" s="5" t="s">
        <v>179</v>
      </c>
      <c r="T91" s="5" t="s">
        <v>59</v>
      </c>
    </row>
    <row r="92" ht="15.75" customHeight="1">
      <c r="A92" s="3" t="s">
        <v>1018</v>
      </c>
      <c r="B92" s="3" t="s">
        <v>212</v>
      </c>
      <c r="C92" s="3" t="s">
        <v>108</v>
      </c>
      <c r="D92" s="9">
        <v>2025.0</v>
      </c>
      <c r="E92" s="9">
        <f t="shared" si="1"/>
        <v>2022</v>
      </c>
      <c r="F92" s="9">
        <f t="shared" si="2"/>
        <v>2024</v>
      </c>
      <c r="G92" s="31" t="str">
        <f>IF(COUNTIFS(HISTORICAL_DATA!$A$2:$A$441,$A92,HISTORICAL_DATA!$D$2:$D$441,"&gt;="&amp;$E92,HISTORICAL_DATA!$D$2:$D$441,"&lt;="&amp;$F92,HISTORICAL_DATA!$E$2:$E$441,"&lt;&gt;")&lt;3,"",SUMIFS(HISTORICAL_DATA!$E$2:$E$441,HISTORICAL_DATA!$A$2:$A$441,$A92,HISTORICAL_DATA!$D$2:$D$441,"&gt;="&amp;$E92,HISTORICAL_DATA!$D$2:$D$441,"&lt;="&amp;$F92)/3)</f>
        <v/>
      </c>
      <c r="H92" s="31" t="str">
        <f>IF(COUNTIFS(HISTORICAL_DATA!$A$2:$A$441,$A92,HISTORICAL_DATA!$D$2:$D$441,"&gt;="&amp;$E92,HISTORICAL_DATA!$D$2:$D$441,"&lt;="&amp;$F92,HISTORICAL_DATA!$G$2:$G$441,"&lt;&gt;")&lt;3,"",SUMIFS(HISTORICAL_DATA!$G$2:$G$441,HISTORICAL_DATA!$A$2:$A$441,$A92,HISTORICAL_DATA!$D$2:$D$441,"&gt;="&amp;$E92,HISTORICAL_DATA!$D$2:$D$441,"&lt;="&amp;$F92)/3)</f>
        <v/>
      </c>
      <c r="I92" s="31" t="str">
        <f>IF(OR(G92="",H92=""),"FACILITY DATA MISSING",IF(AND(COUNTIFS($C$2:$C$221,C92,$D$2:$D$221,D92,$G$2:$G$221,"&lt;&gt;")=COUNTIF(OFFICIAL_ALLOCATIONS!$C$2:$C$111,C92),COUNTIFS($C$2:$C$221,C92,$D$2:$D$221,D92,$H$2:$H$221,"&lt;&gt;")=COUNTIF(OFFICIAL_ALLOCATIONS!$C$2:$C$111,C92)),"COMPLETE","SECTOR DATA INCOMPLETE"))</f>
        <v>FACILITY DATA MISSING</v>
      </c>
      <c r="J92" s="9" t="str">
        <f t="shared" si="3"/>
        <v/>
      </c>
      <c r="K92" s="23" t="str">
        <f>IF(COUNTIFS(POLICY_PARAMETERS!$B$2:$B$13,"g",POLICY_PARAMETERS!$E$2:$E$13,C92,POLICY_PARAMETERS!$F$2:$F$13,D92,POLICY_PARAMETERS!$G$2:$G$13,"&lt;&gt;")=0,"",SUMIFS(POLICY_PARAMETERS!$G$2:$G$13,POLICY_PARAMETERS!$B$2:$B$13,"g",POLICY_PARAMETERS!$E$2:$E$13,C92,POLICY_PARAMETERS!$F$2:$F$13,D92))</f>
        <v/>
      </c>
      <c r="L92" s="23" t="str">
        <f>IF(COUNTIFS(POLICY_PARAMETERS!$B$2:$B$13,"r",POLICY_PARAMETERS!$E$2:$E$13,C92,POLICY_PARAMETERS!$F$2:$F$13,D92,POLICY_PARAMETERS!$G$2:$G$13,"&lt;&gt;")=0,"",SUMIFS(POLICY_PARAMETERS!$G$2:$G$13,POLICY_PARAMETERS!$B$2:$B$13,"r",POLICY_PARAMETERS!$E$2:$E$13,C92,POLICY_PARAMETERS!$F$2:$F$13,D92))</f>
        <v/>
      </c>
      <c r="M92" s="24" t="str">
        <f t="shared" si="4"/>
        <v/>
      </c>
      <c r="N92" s="25" t="str">
        <f t="shared" si="5"/>
        <v/>
      </c>
      <c r="O92" s="26">
        <f>IF(D92=2025,IFERROR(VLOOKUP(A92,OFFICIAL_ALLOCATIONS!$A$2:$F$111,5,FALSE),""),IFERROR(VLOOKUP(A92,OFFICIAL_ALLOCATIONS!$A$2:$F$111,6,FALSE),""))</f>
        <v>50549</v>
      </c>
      <c r="P92" s="42" t="str">
        <f t="shared" si="6"/>
        <v/>
      </c>
      <c r="Q92" s="28" t="str">
        <f t="shared" si="7"/>
        <v/>
      </c>
      <c r="R92" s="5" t="str">
        <f t="shared" si="8"/>
        <v>MISSING HISTORICAL DATA</v>
      </c>
      <c r="S92" s="5" t="s">
        <v>179</v>
      </c>
      <c r="T92" s="5" t="s">
        <v>59</v>
      </c>
    </row>
    <row r="93" ht="15.75" customHeight="1">
      <c r="A93" s="3" t="s">
        <v>1018</v>
      </c>
      <c r="B93" s="3" t="s">
        <v>212</v>
      </c>
      <c r="C93" s="3" t="s">
        <v>108</v>
      </c>
      <c r="D93" s="9">
        <v>2026.0</v>
      </c>
      <c r="E93" s="9">
        <f t="shared" si="1"/>
        <v>2023</v>
      </c>
      <c r="F93" s="9">
        <f t="shared" si="2"/>
        <v>2025</v>
      </c>
      <c r="G93" s="31" t="str">
        <f>IF(COUNTIFS(HISTORICAL_DATA!$A$2:$A$441,$A93,HISTORICAL_DATA!$D$2:$D$441,"&gt;="&amp;$E93,HISTORICAL_DATA!$D$2:$D$441,"&lt;="&amp;$F93,HISTORICAL_DATA!$E$2:$E$441,"&lt;&gt;")&lt;3,"",SUMIFS(HISTORICAL_DATA!$E$2:$E$441,HISTORICAL_DATA!$A$2:$A$441,$A93,HISTORICAL_DATA!$D$2:$D$441,"&gt;="&amp;$E93,HISTORICAL_DATA!$D$2:$D$441,"&lt;="&amp;$F93)/3)</f>
        <v/>
      </c>
      <c r="H93" s="31" t="str">
        <f>IF(COUNTIFS(HISTORICAL_DATA!$A$2:$A$441,$A93,HISTORICAL_DATA!$D$2:$D$441,"&gt;="&amp;$E93,HISTORICAL_DATA!$D$2:$D$441,"&lt;="&amp;$F93,HISTORICAL_DATA!$G$2:$G$441,"&lt;&gt;")&lt;3,"",SUMIFS(HISTORICAL_DATA!$G$2:$G$441,HISTORICAL_DATA!$A$2:$A$441,$A93,HISTORICAL_DATA!$D$2:$D$441,"&gt;="&amp;$E93,HISTORICAL_DATA!$D$2:$D$441,"&lt;="&amp;$F93)/3)</f>
        <v/>
      </c>
      <c r="I93" s="31" t="str">
        <f>IF(OR(G93="",H93=""),"FACILITY DATA MISSING",IF(AND(COUNTIFS($C$2:$C$221,C93,$D$2:$D$221,D93,$G$2:$G$221,"&lt;&gt;")=COUNTIF(OFFICIAL_ALLOCATIONS!$C$2:$C$111,C93),COUNTIFS($C$2:$C$221,C93,$D$2:$D$221,D93,$H$2:$H$221,"&lt;&gt;")=COUNTIF(OFFICIAL_ALLOCATIONS!$C$2:$C$111,C93)),"COMPLETE","SECTOR DATA INCOMPLETE"))</f>
        <v>FACILITY DATA MISSING</v>
      </c>
      <c r="J93" s="9" t="str">
        <f t="shared" si="3"/>
        <v/>
      </c>
      <c r="K93" s="23" t="str">
        <f>IF(COUNTIFS(POLICY_PARAMETERS!$B$2:$B$13,"g",POLICY_PARAMETERS!$E$2:$E$13,C93,POLICY_PARAMETERS!$F$2:$F$13,D93,POLICY_PARAMETERS!$G$2:$G$13,"&lt;&gt;")=0,"",SUMIFS(POLICY_PARAMETERS!$G$2:$G$13,POLICY_PARAMETERS!$B$2:$B$13,"g",POLICY_PARAMETERS!$E$2:$E$13,C93,POLICY_PARAMETERS!$F$2:$F$13,D93))</f>
        <v/>
      </c>
      <c r="L93" s="23" t="str">
        <f>IF(COUNTIFS(POLICY_PARAMETERS!$B$2:$B$13,"r",POLICY_PARAMETERS!$E$2:$E$13,C93,POLICY_PARAMETERS!$F$2:$F$13,D93,POLICY_PARAMETERS!$G$2:$G$13,"&lt;&gt;")=0,"",SUMIFS(POLICY_PARAMETERS!$G$2:$G$13,POLICY_PARAMETERS!$B$2:$B$13,"r",POLICY_PARAMETERS!$E$2:$E$13,C93,POLICY_PARAMETERS!$F$2:$F$13,D93))</f>
        <v/>
      </c>
      <c r="M93" s="24" t="str">
        <f t="shared" si="4"/>
        <v/>
      </c>
      <c r="N93" s="25" t="str">
        <f t="shared" si="5"/>
        <v/>
      </c>
      <c r="O93" s="26">
        <f>IF(D93=2025,IFERROR(VLOOKUP(A93,OFFICIAL_ALLOCATIONS!$A$2:$F$111,5,FALSE),""),IFERROR(VLOOKUP(A93,OFFICIAL_ALLOCATIONS!$A$2:$F$111,6,FALSE),""))</f>
        <v>58930</v>
      </c>
      <c r="P93" s="42" t="str">
        <f t="shared" si="6"/>
        <v/>
      </c>
      <c r="Q93" s="28" t="str">
        <f t="shared" si="7"/>
        <v/>
      </c>
      <c r="R93" s="5" t="str">
        <f t="shared" si="8"/>
        <v>MISSING HISTORICAL DATA</v>
      </c>
      <c r="S93" s="5" t="s">
        <v>179</v>
      </c>
      <c r="T93" s="5" t="s">
        <v>59</v>
      </c>
    </row>
    <row r="94" ht="15.75" customHeight="1">
      <c r="A94" s="3" t="s">
        <v>1019</v>
      </c>
      <c r="B94" s="3" t="s">
        <v>214</v>
      </c>
      <c r="C94" s="3" t="s">
        <v>108</v>
      </c>
      <c r="D94" s="9">
        <v>2025.0</v>
      </c>
      <c r="E94" s="9">
        <f t="shared" si="1"/>
        <v>2022</v>
      </c>
      <c r="F94" s="9">
        <f t="shared" si="2"/>
        <v>2024</v>
      </c>
      <c r="G94" s="31" t="str">
        <f>IF(COUNTIFS(HISTORICAL_DATA!$A$2:$A$441,$A94,HISTORICAL_DATA!$D$2:$D$441,"&gt;="&amp;$E94,HISTORICAL_DATA!$D$2:$D$441,"&lt;="&amp;$F94,HISTORICAL_DATA!$E$2:$E$441,"&lt;&gt;")&lt;3,"",SUMIFS(HISTORICAL_DATA!$E$2:$E$441,HISTORICAL_DATA!$A$2:$A$441,$A94,HISTORICAL_DATA!$D$2:$D$441,"&gt;="&amp;$E94,HISTORICAL_DATA!$D$2:$D$441,"&lt;="&amp;$F94)/3)</f>
        <v/>
      </c>
      <c r="H94" s="31" t="str">
        <f>IF(COUNTIFS(HISTORICAL_DATA!$A$2:$A$441,$A94,HISTORICAL_DATA!$D$2:$D$441,"&gt;="&amp;$E94,HISTORICAL_DATA!$D$2:$D$441,"&lt;="&amp;$F94,HISTORICAL_DATA!$G$2:$G$441,"&lt;&gt;")&lt;3,"",SUMIFS(HISTORICAL_DATA!$G$2:$G$441,HISTORICAL_DATA!$A$2:$A$441,$A94,HISTORICAL_DATA!$D$2:$D$441,"&gt;="&amp;$E94,HISTORICAL_DATA!$D$2:$D$441,"&lt;="&amp;$F94)/3)</f>
        <v/>
      </c>
      <c r="I94" s="31" t="str">
        <f>IF(OR(G94="",H94=""),"FACILITY DATA MISSING",IF(AND(COUNTIFS($C$2:$C$221,C94,$D$2:$D$221,D94,$G$2:$G$221,"&lt;&gt;")=COUNTIF(OFFICIAL_ALLOCATIONS!$C$2:$C$111,C94),COUNTIFS($C$2:$C$221,C94,$D$2:$D$221,D94,$H$2:$H$221,"&lt;&gt;")=COUNTIF(OFFICIAL_ALLOCATIONS!$C$2:$C$111,C94)),"COMPLETE","SECTOR DATA INCOMPLETE"))</f>
        <v>FACILITY DATA MISSING</v>
      </c>
      <c r="J94" s="9" t="str">
        <f t="shared" si="3"/>
        <v/>
      </c>
      <c r="K94" s="23" t="str">
        <f>IF(COUNTIFS(POLICY_PARAMETERS!$B$2:$B$13,"g",POLICY_PARAMETERS!$E$2:$E$13,C94,POLICY_PARAMETERS!$F$2:$F$13,D94,POLICY_PARAMETERS!$G$2:$G$13,"&lt;&gt;")=0,"",SUMIFS(POLICY_PARAMETERS!$G$2:$G$13,POLICY_PARAMETERS!$B$2:$B$13,"g",POLICY_PARAMETERS!$E$2:$E$13,C94,POLICY_PARAMETERS!$F$2:$F$13,D94))</f>
        <v/>
      </c>
      <c r="L94" s="23" t="str">
        <f>IF(COUNTIFS(POLICY_PARAMETERS!$B$2:$B$13,"r",POLICY_PARAMETERS!$E$2:$E$13,C94,POLICY_PARAMETERS!$F$2:$F$13,D94,POLICY_PARAMETERS!$G$2:$G$13,"&lt;&gt;")=0,"",SUMIFS(POLICY_PARAMETERS!$G$2:$G$13,POLICY_PARAMETERS!$B$2:$B$13,"r",POLICY_PARAMETERS!$E$2:$E$13,C94,POLICY_PARAMETERS!$F$2:$F$13,D94))</f>
        <v/>
      </c>
      <c r="M94" s="24" t="str">
        <f t="shared" si="4"/>
        <v/>
      </c>
      <c r="N94" s="25" t="str">
        <f t="shared" si="5"/>
        <v/>
      </c>
      <c r="O94" s="26">
        <f>IF(D94=2025,IFERROR(VLOOKUP(A94,OFFICIAL_ALLOCATIONS!$A$2:$F$111,5,FALSE),""),IFERROR(VLOOKUP(A94,OFFICIAL_ALLOCATIONS!$A$2:$F$111,6,FALSE),""))</f>
        <v>44367</v>
      </c>
      <c r="P94" s="42" t="str">
        <f t="shared" si="6"/>
        <v/>
      </c>
      <c r="Q94" s="28" t="str">
        <f t="shared" si="7"/>
        <v/>
      </c>
      <c r="R94" s="5" t="str">
        <f t="shared" si="8"/>
        <v>MISSING HISTORICAL DATA</v>
      </c>
      <c r="S94" s="5" t="s">
        <v>179</v>
      </c>
      <c r="T94" s="5" t="s">
        <v>59</v>
      </c>
    </row>
    <row r="95" ht="15.75" customHeight="1">
      <c r="A95" s="3" t="s">
        <v>1019</v>
      </c>
      <c r="B95" s="3" t="s">
        <v>214</v>
      </c>
      <c r="C95" s="3" t="s">
        <v>108</v>
      </c>
      <c r="D95" s="9">
        <v>2026.0</v>
      </c>
      <c r="E95" s="9">
        <f t="shared" si="1"/>
        <v>2023</v>
      </c>
      <c r="F95" s="9">
        <f t="shared" si="2"/>
        <v>2025</v>
      </c>
      <c r="G95" s="31" t="str">
        <f>IF(COUNTIFS(HISTORICAL_DATA!$A$2:$A$441,$A95,HISTORICAL_DATA!$D$2:$D$441,"&gt;="&amp;$E95,HISTORICAL_DATA!$D$2:$D$441,"&lt;="&amp;$F95,HISTORICAL_DATA!$E$2:$E$441,"&lt;&gt;")&lt;3,"",SUMIFS(HISTORICAL_DATA!$E$2:$E$441,HISTORICAL_DATA!$A$2:$A$441,$A95,HISTORICAL_DATA!$D$2:$D$441,"&gt;="&amp;$E95,HISTORICAL_DATA!$D$2:$D$441,"&lt;="&amp;$F95)/3)</f>
        <v/>
      </c>
      <c r="H95" s="31" t="str">
        <f>IF(COUNTIFS(HISTORICAL_DATA!$A$2:$A$441,$A95,HISTORICAL_DATA!$D$2:$D$441,"&gt;="&amp;$E95,HISTORICAL_DATA!$D$2:$D$441,"&lt;="&amp;$F95,HISTORICAL_DATA!$G$2:$G$441,"&lt;&gt;")&lt;3,"",SUMIFS(HISTORICAL_DATA!$G$2:$G$441,HISTORICAL_DATA!$A$2:$A$441,$A95,HISTORICAL_DATA!$D$2:$D$441,"&gt;="&amp;$E95,HISTORICAL_DATA!$D$2:$D$441,"&lt;="&amp;$F95)/3)</f>
        <v/>
      </c>
      <c r="I95" s="31" t="str">
        <f>IF(OR(G95="",H95=""),"FACILITY DATA MISSING",IF(AND(COUNTIFS($C$2:$C$221,C95,$D$2:$D$221,D95,$G$2:$G$221,"&lt;&gt;")=COUNTIF(OFFICIAL_ALLOCATIONS!$C$2:$C$111,C95),COUNTIFS($C$2:$C$221,C95,$D$2:$D$221,D95,$H$2:$H$221,"&lt;&gt;")=COUNTIF(OFFICIAL_ALLOCATIONS!$C$2:$C$111,C95)),"COMPLETE","SECTOR DATA INCOMPLETE"))</f>
        <v>FACILITY DATA MISSING</v>
      </c>
      <c r="J95" s="9" t="str">
        <f t="shared" si="3"/>
        <v/>
      </c>
      <c r="K95" s="23" t="str">
        <f>IF(COUNTIFS(POLICY_PARAMETERS!$B$2:$B$13,"g",POLICY_PARAMETERS!$E$2:$E$13,C95,POLICY_PARAMETERS!$F$2:$F$13,D95,POLICY_PARAMETERS!$G$2:$G$13,"&lt;&gt;")=0,"",SUMIFS(POLICY_PARAMETERS!$G$2:$G$13,POLICY_PARAMETERS!$B$2:$B$13,"g",POLICY_PARAMETERS!$E$2:$E$13,C95,POLICY_PARAMETERS!$F$2:$F$13,D95))</f>
        <v/>
      </c>
      <c r="L95" s="23" t="str">
        <f>IF(COUNTIFS(POLICY_PARAMETERS!$B$2:$B$13,"r",POLICY_PARAMETERS!$E$2:$E$13,C95,POLICY_PARAMETERS!$F$2:$F$13,D95,POLICY_PARAMETERS!$G$2:$G$13,"&lt;&gt;")=0,"",SUMIFS(POLICY_PARAMETERS!$G$2:$G$13,POLICY_PARAMETERS!$B$2:$B$13,"r",POLICY_PARAMETERS!$E$2:$E$13,C95,POLICY_PARAMETERS!$F$2:$F$13,D95))</f>
        <v/>
      </c>
      <c r="M95" s="24" t="str">
        <f t="shared" si="4"/>
        <v/>
      </c>
      <c r="N95" s="25" t="str">
        <f t="shared" si="5"/>
        <v/>
      </c>
      <c r="O95" s="26">
        <f>IF(D95=2025,IFERROR(VLOOKUP(A95,OFFICIAL_ALLOCATIONS!$A$2:$F$111,5,FALSE),""),IFERROR(VLOOKUP(A95,OFFICIAL_ALLOCATIONS!$A$2:$F$111,6,FALSE),""))</f>
        <v>51723</v>
      </c>
      <c r="P95" s="42" t="str">
        <f t="shared" si="6"/>
        <v/>
      </c>
      <c r="Q95" s="28" t="str">
        <f t="shared" si="7"/>
        <v/>
      </c>
      <c r="R95" s="5" t="str">
        <f t="shared" si="8"/>
        <v>MISSING HISTORICAL DATA</v>
      </c>
      <c r="S95" s="5" t="s">
        <v>179</v>
      </c>
      <c r="T95" s="5" t="s">
        <v>59</v>
      </c>
    </row>
    <row r="96" ht="15.75" customHeight="1">
      <c r="A96" s="3" t="s">
        <v>1020</v>
      </c>
      <c r="B96" s="3" t="s">
        <v>216</v>
      </c>
      <c r="C96" s="3" t="s">
        <v>108</v>
      </c>
      <c r="D96" s="9">
        <v>2025.0</v>
      </c>
      <c r="E96" s="9">
        <f t="shared" si="1"/>
        <v>2022</v>
      </c>
      <c r="F96" s="9">
        <f t="shared" si="2"/>
        <v>2024</v>
      </c>
      <c r="G96" s="31" t="str">
        <f>IF(COUNTIFS(HISTORICAL_DATA!$A$2:$A$441,$A96,HISTORICAL_DATA!$D$2:$D$441,"&gt;="&amp;$E96,HISTORICAL_DATA!$D$2:$D$441,"&lt;="&amp;$F96,HISTORICAL_DATA!$E$2:$E$441,"&lt;&gt;")&lt;3,"",SUMIFS(HISTORICAL_DATA!$E$2:$E$441,HISTORICAL_DATA!$A$2:$A$441,$A96,HISTORICAL_DATA!$D$2:$D$441,"&gt;="&amp;$E96,HISTORICAL_DATA!$D$2:$D$441,"&lt;="&amp;$F96)/3)</f>
        <v/>
      </c>
      <c r="H96" s="31" t="str">
        <f>IF(COUNTIFS(HISTORICAL_DATA!$A$2:$A$441,$A96,HISTORICAL_DATA!$D$2:$D$441,"&gt;="&amp;$E96,HISTORICAL_DATA!$D$2:$D$441,"&lt;="&amp;$F96,HISTORICAL_DATA!$G$2:$G$441,"&lt;&gt;")&lt;3,"",SUMIFS(HISTORICAL_DATA!$G$2:$G$441,HISTORICAL_DATA!$A$2:$A$441,$A96,HISTORICAL_DATA!$D$2:$D$441,"&gt;="&amp;$E96,HISTORICAL_DATA!$D$2:$D$441,"&lt;="&amp;$F96)/3)</f>
        <v/>
      </c>
      <c r="I96" s="31" t="str">
        <f>IF(OR(G96="",H96=""),"FACILITY DATA MISSING",IF(AND(COUNTIFS($C$2:$C$221,C96,$D$2:$D$221,D96,$G$2:$G$221,"&lt;&gt;")=COUNTIF(OFFICIAL_ALLOCATIONS!$C$2:$C$111,C96),COUNTIFS($C$2:$C$221,C96,$D$2:$D$221,D96,$H$2:$H$221,"&lt;&gt;")=COUNTIF(OFFICIAL_ALLOCATIONS!$C$2:$C$111,C96)),"COMPLETE","SECTOR DATA INCOMPLETE"))</f>
        <v>FACILITY DATA MISSING</v>
      </c>
      <c r="J96" s="9" t="str">
        <f t="shared" si="3"/>
        <v/>
      </c>
      <c r="K96" s="23" t="str">
        <f>IF(COUNTIFS(POLICY_PARAMETERS!$B$2:$B$13,"g",POLICY_PARAMETERS!$E$2:$E$13,C96,POLICY_PARAMETERS!$F$2:$F$13,D96,POLICY_PARAMETERS!$G$2:$G$13,"&lt;&gt;")=0,"",SUMIFS(POLICY_PARAMETERS!$G$2:$G$13,POLICY_PARAMETERS!$B$2:$B$13,"g",POLICY_PARAMETERS!$E$2:$E$13,C96,POLICY_PARAMETERS!$F$2:$F$13,D96))</f>
        <v/>
      </c>
      <c r="L96" s="23" t="str">
        <f>IF(COUNTIFS(POLICY_PARAMETERS!$B$2:$B$13,"r",POLICY_PARAMETERS!$E$2:$E$13,C96,POLICY_PARAMETERS!$F$2:$F$13,D96,POLICY_PARAMETERS!$G$2:$G$13,"&lt;&gt;")=0,"",SUMIFS(POLICY_PARAMETERS!$G$2:$G$13,POLICY_PARAMETERS!$B$2:$B$13,"r",POLICY_PARAMETERS!$E$2:$E$13,C96,POLICY_PARAMETERS!$F$2:$F$13,D96))</f>
        <v/>
      </c>
      <c r="M96" s="24" t="str">
        <f t="shared" si="4"/>
        <v/>
      </c>
      <c r="N96" s="25" t="str">
        <f t="shared" si="5"/>
        <v/>
      </c>
      <c r="O96" s="26">
        <f>IF(D96=2025,IFERROR(VLOOKUP(A96,OFFICIAL_ALLOCATIONS!$A$2:$F$111,5,FALSE),""),IFERROR(VLOOKUP(A96,OFFICIAL_ALLOCATIONS!$A$2:$F$111,6,FALSE),""))</f>
        <v>2050</v>
      </c>
      <c r="P96" s="42" t="str">
        <f t="shared" si="6"/>
        <v/>
      </c>
      <c r="Q96" s="28" t="str">
        <f t="shared" si="7"/>
        <v/>
      </c>
      <c r="R96" s="5" t="str">
        <f t="shared" si="8"/>
        <v>MISSING HISTORICAL DATA</v>
      </c>
      <c r="S96" s="5" t="s">
        <v>179</v>
      </c>
      <c r="T96" s="5" t="s">
        <v>59</v>
      </c>
    </row>
    <row r="97" ht="15.75" customHeight="1">
      <c r="A97" s="3" t="s">
        <v>1020</v>
      </c>
      <c r="B97" s="3" t="s">
        <v>216</v>
      </c>
      <c r="C97" s="3" t="s">
        <v>108</v>
      </c>
      <c r="D97" s="9">
        <v>2026.0</v>
      </c>
      <c r="E97" s="9">
        <f t="shared" si="1"/>
        <v>2023</v>
      </c>
      <c r="F97" s="9">
        <f t="shared" si="2"/>
        <v>2025</v>
      </c>
      <c r="G97" s="31" t="str">
        <f>IF(COUNTIFS(HISTORICAL_DATA!$A$2:$A$441,$A97,HISTORICAL_DATA!$D$2:$D$441,"&gt;="&amp;$E97,HISTORICAL_DATA!$D$2:$D$441,"&lt;="&amp;$F97,HISTORICAL_DATA!$E$2:$E$441,"&lt;&gt;")&lt;3,"",SUMIFS(HISTORICAL_DATA!$E$2:$E$441,HISTORICAL_DATA!$A$2:$A$441,$A97,HISTORICAL_DATA!$D$2:$D$441,"&gt;="&amp;$E97,HISTORICAL_DATA!$D$2:$D$441,"&lt;="&amp;$F97)/3)</f>
        <v/>
      </c>
      <c r="H97" s="31" t="str">
        <f>IF(COUNTIFS(HISTORICAL_DATA!$A$2:$A$441,$A97,HISTORICAL_DATA!$D$2:$D$441,"&gt;="&amp;$E97,HISTORICAL_DATA!$D$2:$D$441,"&lt;="&amp;$F97,HISTORICAL_DATA!$G$2:$G$441,"&lt;&gt;")&lt;3,"",SUMIFS(HISTORICAL_DATA!$G$2:$G$441,HISTORICAL_DATA!$A$2:$A$441,$A97,HISTORICAL_DATA!$D$2:$D$441,"&gt;="&amp;$E97,HISTORICAL_DATA!$D$2:$D$441,"&lt;="&amp;$F97)/3)</f>
        <v/>
      </c>
      <c r="I97" s="31" t="str">
        <f>IF(OR(G97="",H97=""),"FACILITY DATA MISSING",IF(AND(COUNTIFS($C$2:$C$221,C97,$D$2:$D$221,D97,$G$2:$G$221,"&lt;&gt;")=COUNTIF(OFFICIAL_ALLOCATIONS!$C$2:$C$111,C97),COUNTIFS($C$2:$C$221,C97,$D$2:$D$221,D97,$H$2:$H$221,"&lt;&gt;")=COUNTIF(OFFICIAL_ALLOCATIONS!$C$2:$C$111,C97)),"COMPLETE","SECTOR DATA INCOMPLETE"))</f>
        <v>FACILITY DATA MISSING</v>
      </c>
      <c r="J97" s="9" t="str">
        <f t="shared" si="3"/>
        <v/>
      </c>
      <c r="K97" s="23" t="str">
        <f>IF(COUNTIFS(POLICY_PARAMETERS!$B$2:$B$13,"g",POLICY_PARAMETERS!$E$2:$E$13,C97,POLICY_PARAMETERS!$F$2:$F$13,D97,POLICY_PARAMETERS!$G$2:$G$13,"&lt;&gt;")=0,"",SUMIFS(POLICY_PARAMETERS!$G$2:$G$13,POLICY_PARAMETERS!$B$2:$B$13,"g",POLICY_PARAMETERS!$E$2:$E$13,C97,POLICY_PARAMETERS!$F$2:$F$13,D97))</f>
        <v/>
      </c>
      <c r="L97" s="23" t="str">
        <f>IF(COUNTIFS(POLICY_PARAMETERS!$B$2:$B$13,"r",POLICY_PARAMETERS!$E$2:$E$13,C97,POLICY_PARAMETERS!$F$2:$F$13,D97,POLICY_PARAMETERS!$G$2:$G$13,"&lt;&gt;")=0,"",SUMIFS(POLICY_PARAMETERS!$G$2:$G$13,POLICY_PARAMETERS!$B$2:$B$13,"r",POLICY_PARAMETERS!$E$2:$E$13,C97,POLICY_PARAMETERS!$F$2:$F$13,D97))</f>
        <v/>
      </c>
      <c r="M97" s="24" t="str">
        <f t="shared" si="4"/>
        <v/>
      </c>
      <c r="N97" s="25" t="str">
        <f t="shared" si="5"/>
        <v/>
      </c>
      <c r="O97" s="26">
        <f>IF(D97=2025,IFERROR(VLOOKUP(A97,OFFICIAL_ALLOCATIONS!$A$2:$F$111,5,FALSE),""),IFERROR(VLOOKUP(A97,OFFICIAL_ALLOCATIONS!$A$2:$F$111,6,FALSE),""))</f>
        <v>2390</v>
      </c>
      <c r="P97" s="42" t="str">
        <f t="shared" si="6"/>
        <v/>
      </c>
      <c r="Q97" s="28" t="str">
        <f t="shared" si="7"/>
        <v/>
      </c>
      <c r="R97" s="5" t="str">
        <f t="shared" si="8"/>
        <v>MISSING HISTORICAL DATA</v>
      </c>
      <c r="S97" s="5" t="s">
        <v>179</v>
      </c>
      <c r="T97" s="5" t="s">
        <v>59</v>
      </c>
    </row>
    <row r="98" ht="15.75" customHeight="1">
      <c r="A98" s="3" t="s">
        <v>1021</v>
      </c>
      <c r="B98" s="3" t="s">
        <v>218</v>
      </c>
      <c r="C98" s="3" t="s">
        <v>108</v>
      </c>
      <c r="D98" s="9">
        <v>2025.0</v>
      </c>
      <c r="E98" s="9">
        <f t="shared" si="1"/>
        <v>2022</v>
      </c>
      <c r="F98" s="9">
        <f t="shared" si="2"/>
        <v>2024</v>
      </c>
      <c r="G98" s="31" t="str">
        <f>IF(COUNTIFS(HISTORICAL_DATA!$A$2:$A$441,$A98,HISTORICAL_DATA!$D$2:$D$441,"&gt;="&amp;$E98,HISTORICAL_DATA!$D$2:$D$441,"&lt;="&amp;$F98,HISTORICAL_DATA!$E$2:$E$441,"&lt;&gt;")&lt;3,"",SUMIFS(HISTORICAL_DATA!$E$2:$E$441,HISTORICAL_DATA!$A$2:$A$441,$A98,HISTORICAL_DATA!$D$2:$D$441,"&gt;="&amp;$E98,HISTORICAL_DATA!$D$2:$D$441,"&lt;="&amp;$F98)/3)</f>
        <v/>
      </c>
      <c r="H98" s="31" t="str">
        <f>IF(COUNTIFS(HISTORICAL_DATA!$A$2:$A$441,$A98,HISTORICAL_DATA!$D$2:$D$441,"&gt;="&amp;$E98,HISTORICAL_DATA!$D$2:$D$441,"&lt;="&amp;$F98,HISTORICAL_DATA!$G$2:$G$441,"&lt;&gt;")&lt;3,"",SUMIFS(HISTORICAL_DATA!$G$2:$G$441,HISTORICAL_DATA!$A$2:$A$441,$A98,HISTORICAL_DATA!$D$2:$D$441,"&gt;="&amp;$E98,HISTORICAL_DATA!$D$2:$D$441,"&lt;="&amp;$F98)/3)</f>
        <v/>
      </c>
      <c r="I98" s="31" t="str">
        <f>IF(OR(G98="",H98=""),"FACILITY DATA MISSING",IF(AND(COUNTIFS($C$2:$C$221,C98,$D$2:$D$221,D98,$G$2:$G$221,"&lt;&gt;")=COUNTIF(OFFICIAL_ALLOCATIONS!$C$2:$C$111,C98),COUNTIFS($C$2:$C$221,C98,$D$2:$D$221,D98,$H$2:$H$221,"&lt;&gt;")=COUNTIF(OFFICIAL_ALLOCATIONS!$C$2:$C$111,C98)),"COMPLETE","SECTOR DATA INCOMPLETE"))</f>
        <v>FACILITY DATA MISSING</v>
      </c>
      <c r="J98" s="9" t="str">
        <f t="shared" si="3"/>
        <v/>
      </c>
      <c r="K98" s="23" t="str">
        <f>IF(COUNTIFS(POLICY_PARAMETERS!$B$2:$B$13,"g",POLICY_PARAMETERS!$E$2:$E$13,C98,POLICY_PARAMETERS!$F$2:$F$13,D98,POLICY_PARAMETERS!$G$2:$G$13,"&lt;&gt;")=0,"",SUMIFS(POLICY_PARAMETERS!$G$2:$G$13,POLICY_PARAMETERS!$B$2:$B$13,"g",POLICY_PARAMETERS!$E$2:$E$13,C98,POLICY_PARAMETERS!$F$2:$F$13,D98))</f>
        <v/>
      </c>
      <c r="L98" s="23" t="str">
        <f>IF(COUNTIFS(POLICY_PARAMETERS!$B$2:$B$13,"r",POLICY_PARAMETERS!$E$2:$E$13,C98,POLICY_PARAMETERS!$F$2:$F$13,D98,POLICY_PARAMETERS!$G$2:$G$13,"&lt;&gt;")=0,"",SUMIFS(POLICY_PARAMETERS!$G$2:$G$13,POLICY_PARAMETERS!$B$2:$B$13,"r",POLICY_PARAMETERS!$E$2:$E$13,C98,POLICY_PARAMETERS!$F$2:$F$13,D98))</f>
        <v/>
      </c>
      <c r="M98" s="24" t="str">
        <f t="shared" si="4"/>
        <v/>
      </c>
      <c r="N98" s="25" t="str">
        <f t="shared" si="5"/>
        <v/>
      </c>
      <c r="O98" s="26">
        <f>IF(D98=2025,IFERROR(VLOOKUP(A98,OFFICIAL_ALLOCATIONS!$A$2:$F$111,5,FALSE),""),IFERROR(VLOOKUP(A98,OFFICIAL_ALLOCATIONS!$A$2:$F$111,6,FALSE),""))</f>
        <v>265</v>
      </c>
      <c r="P98" s="42" t="str">
        <f t="shared" si="6"/>
        <v/>
      </c>
      <c r="Q98" s="28" t="str">
        <f t="shared" si="7"/>
        <v/>
      </c>
      <c r="R98" s="5" t="str">
        <f t="shared" si="8"/>
        <v>MISSING HISTORICAL DATA</v>
      </c>
      <c r="S98" s="5" t="s">
        <v>179</v>
      </c>
      <c r="T98" s="5" t="s">
        <v>59</v>
      </c>
    </row>
    <row r="99" ht="15.75" customHeight="1">
      <c r="A99" s="3" t="s">
        <v>1021</v>
      </c>
      <c r="B99" s="3" t="s">
        <v>218</v>
      </c>
      <c r="C99" s="3" t="s">
        <v>108</v>
      </c>
      <c r="D99" s="9">
        <v>2026.0</v>
      </c>
      <c r="E99" s="9">
        <f t="shared" si="1"/>
        <v>2023</v>
      </c>
      <c r="F99" s="9">
        <f t="shared" si="2"/>
        <v>2025</v>
      </c>
      <c r="G99" s="31" t="str">
        <f>IF(COUNTIFS(HISTORICAL_DATA!$A$2:$A$441,$A99,HISTORICAL_DATA!$D$2:$D$441,"&gt;="&amp;$E99,HISTORICAL_DATA!$D$2:$D$441,"&lt;="&amp;$F99,HISTORICAL_DATA!$E$2:$E$441,"&lt;&gt;")&lt;3,"",SUMIFS(HISTORICAL_DATA!$E$2:$E$441,HISTORICAL_DATA!$A$2:$A$441,$A99,HISTORICAL_DATA!$D$2:$D$441,"&gt;="&amp;$E99,HISTORICAL_DATA!$D$2:$D$441,"&lt;="&amp;$F99)/3)</f>
        <v/>
      </c>
      <c r="H99" s="31" t="str">
        <f>IF(COUNTIFS(HISTORICAL_DATA!$A$2:$A$441,$A99,HISTORICAL_DATA!$D$2:$D$441,"&gt;="&amp;$E99,HISTORICAL_DATA!$D$2:$D$441,"&lt;="&amp;$F99,HISTORICAL_DATA!$G$2:$G$441,"&lt;&gt;")&lt;3,"",SUMIFS(HISTORICAL_DATA!$G$2:$G$441,HISTORICAL_DATA!$A$2:$A$441,$A99,HISTORICAL_DATA!$D$2:$D$441,"&gt;="&amp;$E99,HISTORICAL_DATA!$D$2:$D$441,"&lt;="&amp;$F99)/3)</f>
        <v/>
      </c>
      <c r="I99" s="31" t="str">
        <f>IF(OR(G99="",H99=""),"FACILITY DATA MISSING",IF(AND(COUNTIFS($C$2:$C$221,C99,$D$2:$D$221,D99,$G$2:$G$221,"&lt;&gt;")=COUNTIF(OFFICIAL_ALLOCATIONS!$C$2:$C$111,C99),COUNTIFS($C$2:$C$221,C99,$D$2:$D$221,D99,$H$2:$H$221,"&lt;&gt;")=COUNTIF(OFFICIAL_ALLOCATIONS!$C$2:$C$111,C99)),"COMPLETE","SECTOR DATA INCOMPLETE"))</f>
        <v>FACILITY DATA MISSING</v>
      </c>
      <c r="J99" s="9" t="str">
        <f t="shared" si="3"/>
        <v/>
      </c>
      <c r="K99" s="23" t="str">
        <f>IF(COUNTIFS(POLICY_PARAMETERS!$B$2:$B$13,"g",POLICY_PARAMETERS!$E$2:$E$13,C99,POLICY_PARAMETERS!$F$2:$F$13,D99,POLICY_PARAMETERS!$G$2:$G$13,"&lt;&gt;")=0,"",SUMIFS(POLICY_PARAMETERS!$G$2:$G$13,POLICY_PARAMETERS!$B$2:$B$13,"g",POLICY_PARAMETERS!$E$2:$E$13,C99,POLICY_PARAMETERS!$F$2:$F$13,D99))</f>
        <v/>
      </c>
      <c r="L99" s="23" t="str">
        <f>IF(COUNTIFS(POLICY_PARAMETERS!$B$2:$B$13,"r",POLICY_PARAMETERS!$E$2:$E$13,C99,POLICY_PARAMETERS!$F$2:$F$13,D99,POLICY_PARAMETERS!$G$2:$G$13,"&lt;&gt;")=0,"",SUMIFS(POLICY_PARAMETERS!$G$2:$G$13,POLICY_PARAMETERS!$B$2:$B$13,"r",POLICY_PARAMETERS!$E$2:$E$13,C99,POLICY_PARAMETERS!$F$2:$F$13,D99))</f>
        <v/>
      </c>
      <c r="M99" s="24" t="str">
        <f t="shared" si="4"/>
        <v/>
      </c>
      <c r="N99" s="25" t="str">
        <f t="shared" si="5"/>
        <v/>
      </c>
      <c r="O99" s="26">
        <f>IF(D99=2025,IFERROR(VLOOKUP(A99,OFFICIAL_ALLOCATIONS!$A$2:$F$111,5,FALSE),""),IFERROR(VLOOKUP(A99,OFFICIAL_ALLOCATIONS!$A$2:$F$111,6,FALSE),""))</f>
        <v>310</v>
      </c>
      <c r="P99" s="42" t="str">
        <f t="shared" si="6"/>
        <v/>
      </c>
      <c r="Q99" s="28" t="str">
        <f t="shared" si="7"/>
        <v/>
      </c>
      <c r="R99" s="5" t="str">
        <f t="shared" si="8"/>
        <v>MISSING HISTORICAL DATA</v>
      </c>
      <c r="S99" s="5" t="s">
        <v>179</v>
      </c>
      <c r="T99" s="5" t="s">
        <v>59</v>
      </c>
    </row>
    <row r="100" ht="15.75" customHeight="1">
      <c r="A100" s="3" t="s">
        <v>1022</v>
      </c>
      <c r="B100" s="3" t="s">
        <v>221</v>
      </c>
      <c r="C100" s="3" t="s">
        <v>108</v>
      </c>
      <c r="D100" s="9">
        <v>2025.0</v>
      </c>
      <c r="E100" s="9">
        <f t="shared" si="1"/>
        <v>2022</v>
      </c>
      <c r="F100" s="9">
        <f t="shared" si="2"/>
        <v>2024</v>
      </c>
      <c r="G100" s="31" t="str">
        <f>IF(COUNTIFS(HISTORICAL_DATA!$A$2:$A$441,$A100,HISTORICAL_DATA!$D$2:$D$441,"&gt;="&amp;$E100,HISTORICAL_DATA!$D$2:$D$441,"&lt;="&amp;$F100,HISTORICAL_DATA!$E$2:$E$441,"&lt;&gt;")&lt;3,"",SUMIFS(HISTORICAL_DATA!$E$2:$E$441,HISTORICAL_DATA!$A$2:$A$441,$A100,HISTORICAL_DATA!$D$2:$D$441,"&gt;="&amp;$E100,HISTORICAL_DATA!$D$2:$D$441,"&lt;="&amp;$F100)/3)</f>
        <v/>
      </c>
      <c r="H100" s="31" t="str">
        <f>IF(COUNTIFS(HISTORICAL_DATA!$A$2:$A$441,$A100,HISTORICAL_DATA!$D$2:$D$441,"&gt;="&amp;$E100,HISTORICAL_DATA!$D$2:$D$441,"&lt;="&amp;$F100,HISTORICAL_DATA!$G$2:$G$441,"&lt;&gt;")&lt;3,"",SUMIFS(HISTORICAL_DATA!$G$2:$G$441,HISTORICAL_DATA!$A$2:$A$441,$A100,HISTORICAL_DATA!$D$2:$D$441,"&gt;="&amp;$E100,HISTORICAL_DATA!$D$2:$D$441,"&lt;="&amp;$F100)/3)</f>
        <v/>
      </c>
      <c r="I100" s="31" t="str">
        <f>IF(OR(G100="",H100=""),"FACILITY DATA MISSING",IF(AND(COUNTIFS($C$2:$C$221,C100,$D$2:$D$221,D100,$G$2:$G$221,"&lt;&gt;")=COUNTIF(OFFICIAL_ALLOCATIONS!$C$2:$C$111,C100),COUNTIFS($C$2:$C$221,C100,$D$2:$D$221,D100,$H$2:$H$221,"&lt;&gt;")=COUNTIF(OFFICIAL_ALLOCATIONS!$C$2:$C$111,C100)),"COMPLETE","SECTOR DATA INCOMPLETE"))</f>
        <v>FACILITY DATA MISSING</v>
      </c>
      <c r="J100" s="9" t="str">
        <f t="shared" si="3"/>
        <v/>
      </c>
      <c r="K100" s="23" t="str">
        <f>IF(COUNTIFS(POLICY_PARAMETERS!$B$2:$B$13,"g",POLICY_PARAMETERS!$E$2:$E$13,C100,POLICY_PARAMETERS!$F$2:$F$13,D100,POLICY_PARAMETERS!$G$2:$G$13,"&lt;&gt;")=0,"",SUMIFS(POLICY_PARAMETERS!$G$2:$G$13,POLICY_PARAMETERS!$B$2:$B$13,"g",POLICY_PARAMETERS!$E$2:$E$13,C100,POLICY_PARAMETERS!$F$2:$F$13,D100))</f>
        <v/>
      </c>
      <c r="L100" s="23" t="str">
        <f>IF(COUNTIFS(POLICY_PARAMETERS!$B$2:$B$13,"r",POLICY_PARAMETERS!$E$2:$E$13,C100,POLICY_PARAMETERS!$F$2:$F$13,D100,POLICY_PARAMETERS!$G$2:$G$13,"&lt;&gt;")=0,"",SUMIFS(POLICY_PARAMETERS!$G$2:$G$13,POLICY_PARAMETERS!$B$2:$B$13,"r",POLICY_PARAMETERS!$E$2:$E$13,C100,POLICY_PARAMETERS!$F$2:$F$13,D100))</f>
        <v/>
      </c>
      <c r="M100" s="24" t="str">
        <f t="shared" si="4"/>
        <v/>
      </c>
      <c r="N100" s="25" t="str">
        <f t="shared" si="5"/>
        <v/>
      </c>
      <c r="O100" s="26">
        <f>IF(D100=2025,IFERROR(VLOOKUP(A100,OFFICIAL_ALLOCATIONS!$A$2:$F$111,5,FALSE),""),IFERROR(VLOOKUP(A100,OFFICIAL_ALLOCATIONS!$A$2:$F$111,6,FALSE),""))</f>
        <v>2559</v>
      </c>
      <c r="P100" s="42" t="str">
        <f t="shared" si="6"/>
        <v/>
      </c>
      <c r="Q100" s="28" t="str">
        <f t="shared" si="7"/>
        <v/>
      </c>
      <c r="R100" s="5" t="str">
        <f t="shared" si="8"/>
        <v>MISSING HISTORICAL DATA</v>
      </c>
      <c r="S100" s="5" t="s">
        <v>179</v>
      </c>
      <c r="T100" s="5" t="s">
        <v>59</v>
      </c>
    </row>
    <row r="101" ht="15.75" customHeight="1">
      <c r="A101" s="3" t="s">
        <v>1022</v>
      </c>
      <c r="B101" s="3" t="s">
        <v>221</v>
      </c>
      <c r="C101" s="3" t="s">
        <v>108</v>
      </c>
      <c r="D101" s="9">
        <v>2026.0</v>
      </c>
      <c r="E101" s="9">
        <f t="shared" si="1"/>
        <v>2023</v>
      </c>
      <c r="F101" s="9">
        <f t="shared" si="2"/>
        <v>2025</v>
      </c>
      <c r="G101" s="31" t="str">
        <f>IF(COUNTIFS(HISTORICAL_DATA!$A$2:$A$441,$A101,HISTORICAL_DATA!$D$2:$D$441,"&gt;="&amp;$E101,HISTORICAL_DATA!$D$2:$D$441,"&lt;="&amp;$F101,HISTORICAL_DATA!$E$2:$E$441,"&lt;&gt;")&lt;3,"",SUMIFS(HISTORICAL_DATA!$E$2:$E$441,HISTORICAL_DATA!$A$2:$A$441,$A101,HISTORICAL_DATA!$D$2:$D$441,"&gt;="&amp;$E101,HISTORICAL_DATA!$D$2:$D$441,"&lt;="&amp;$F101)/3)</f>
        <v/>
      </c>
      <c r="H101" s="31" t="str">
        <f>IF(COUNTIFS(HISTORICAL_DATA!$A$2:$A$441,$A101,HISTORICAL_DATA!$D$2:$D$441,"&gt;="&amp;$E101,HISTORICAL_DATA!$D$2:$D$441,"&lt;="&amp;$F101,HISTORICAL_DATA!$G$2:$G$441,"&lt;&gt;")&lt;3,"",SUMIFS(HISTORICAL_DATA!$G$2:$G$441,HISTORICAL_DATA!$A$2:$A$441,$A101,HISTORICAL_DATA!$D$2:$D$441,"&gt;="&amp;$E101,HISTORICAL_DATA!$D$2:$D$441,"&lt;="&amp;$F101)/3)</f>
        <v/>
      </c>
      <c r="I101" s="31" t="str">
        <f>IF(OR(G101="",H101=""),"FACILITY DATA MISSING",IF(AND(COUNTIFS($C$2:$C$221,C101,$D$2:$D$221,D101,$G$2:$G$221,"&lt;&gt;")=COUNTIF(OFFICIAL_ALLOCATIONS!$C$2:$C$111,C101),COUNTIFS($C$2:$C$221,C101,$D$2:$D$221,D101,$H$2:$H$221,"&lt;&gt;")=COUNTIF(OFFICIAL_ALLOCATIONS!$C$2:$C$111,C101)),"COMPLETE","SECTOR DATA INCOMPLETE"))</f>
        <v>FACILITY DATA MISSING</v>
      </c>
      <c r="J101" s="9" t="str">
        <f t="shared" si="3"/>
        <v/>
      </c>
      <c r="K101" s="23" t="str">
        <f>IF(COUNTIFS(POLICY_PARAMETERS!$B$2:$B$13,"g",POLICY_PARAMETERS!$E$2:$E$13,C101,POLICY_PARAMETERS!$F$2:$F$13,D101,POLICY_PARAMETERS!$G$2:$G$13,"&lt;&gt;")=0,"",SUMIFS(POLICY_PARAMETERS!$G$2:$G$13,POLICY_PARAMETERS!$B$2:$B$13,"g",POLICY_PARAMETERS!$E$2:$E$13,C101,POLICY_PARAMETERS!$F$2:$F$13,D101))</f>
        <v/>
      </c>
      <c r="L101" s="23" t="str">
        <f>IF(COUNTIFS(POLICY_PARAMETERS!$B$2:$B$13,"r",POLICY_PARAMETERS!$E$2:$E$13,C101,POLICY_PARAMETERS!$F$2:$F$13,D101,POLICY_PARAMETERS!$G$2:$G$13,"&lt;&gt;")=0,"",SUMIFS(POLICY_PARAMETERS!$G$2:$G$13,POLICY_PARAMETERS!$B$2:$B$13,"r",POLICY_PARAMETERS!$E$2:$E$13,C101,POLICY_PARAMETERS!$F$2:$F$13,D101))</f>
        <v/>
      </c>
      <c r="M101" s="24" t="str">
        <f t="shared" si="4"/>
        <v/>
      </c>
      <c r="N101" s="25" t="str">
        <f t="shared" si="5"/>
        <v/>
      </c>
      <c r="O101" s="26">
        <f>IF(D101=2025,IFERROR(VLOOKUP(A101,OFFICIAL_ALLOCATIONS!$A$2:$F$111,5,FALSE),""),IFERROR(VLOOKUP(A101,OFFICIAL_ALLOCATIONS!$A$2:$F$111,6,FALSE),""))</f>
        <v>2983</v>
      </c>
      <c r="P101" s="42" t="str">
        <f t="shared" si="6"/>
        <v/>
      </c>
      <c r="Q101" s="28" t="str">
        <f t="shared" si="7"/>
        <v/>
      </c>
      <c r="R101" s="5" t="str">
        <f t="shared" si="8"/>
        <v>MISSING HISTORICAL DATA</v>
      </c>
      <c r="S101" s="5" t="s">
        <v>179</v>
      </c>
      <c r="T101" s="5" t="s">
        <v>59</v>
      </c>
    </row>
    <row r="102" ht="15.75" customHeight="1">
      <c r="A102" s="3" t="s">
        <v>1023</v>
      </c>
      <c r="B102" s="3" t="s">
        <v>229</v>
      </c>
      <c r="C102" s="3" t="s">
        <v>108</v>
      </c>
      <c r="D102" s="9">
        <v>2025.0</v>
      </c>
      <c r="E102" s="9">
        <f t="shared" si="1"/>
        <v>2022</v>
      </c>
      <c r="F102" s="9">
        <f t="shared" si="2"/>
        <v>2024</v>
      </c>
      <c r="G102" s="31" t="str">
        <f>IF(COUNTIFS(HISTORICAL_DATA!$A$2:$A$441,$A102,HISTORICAL_DATA!$D$2:$D$441,"&gt;="&amp;$E102,HISTORICAL_DATA!$D$2:$D$441,"&lt;="&amp;$F102,HISTORICAL_DATA!$E$2:$E$441,"&lt;&gt;")&lt;3,"",SUMIFS(HISTORICAL_DATA!$E$2:$E$441,HISTORICAL_DATA!$A$2:$A$441,$A102,HISTORICAL_DATA!$D$2:$D$441,"&gt;="&amp;$E102,HISTORICAL_DATA!$D$2:$D$441,"&lt;="&amp;$F102)/3)</f>
        <v/>
      </c>
      <c r="H102" s="31" t="str">
        <f>IF(COUNTIFS(HISTORICAL_DATA!$A$2:$A$441,$A102,HISTORICAL_DATA!$D$2:$D$441,"&gt;="&amp;$E102,HISTORICAL_DATA!$D$2:$D$441,"&lt;="&amp;$F102,HISTORICAL_DATA!$G$2:$G$441,"&lt;&gt;")&lt;3,"",SUMIFS(HISTORICAL_DATA!$G$2:$G$441,HISTORICAL_DATA!$A$2:$A$441,$A102,HISTORICAL_DATA!$D$2:$D$441,"&gt;="&amp;$E102,HISTORICAL_DATA!$D$2:$D$441,"&lt;="&amp;$F102)/3)</f>
        <v/>
      </c>
      <c r="I102" s="31" t="str">
        <f>IF(OR(G102="",H102=""),"FACILITY DATA MISSING",IF(AND(COUNTIFS($C$2:$C$221,C102,$D$2:$D$221,D102,$G$2:$G$221,"&lt;&gt;")=COUNTIF(OFFICIAL_ALLOCATIONS!$C$2:$C$111,C102),COUNTIFS($C$2:$C$221,C102,$D$2:$D$221,D102,$H$2:$H$221,"&lt;&gt;")=COUNTIF(OFFICIAL_ALLOCATIONS!$C$2:$C$111,C102)),"COMPLETE","SECTOR DATA INCOMPLETE"))</f>
        <v>FACILITY DATA MISSING</v>
      </c>
      <c r="J102" s="9" t="str">
        <f t="shared" si="3"/>
        <v/>
      </c>
      <c r="K102" s="23" t="str">
        <f>IF(COUNTIFS(POLICY_PARAMETERS!$B$2:$B$13,"g",POLICY_PARAMETERS!$E$2:$E$13,C102,POLICY_PARAMETERS!$F$2:$F$13,D102,POLICY_PARAMETERS!$G$2:$G$13,"&lt;&gt;")=0,"",SUMIFS(POLICY_PARAMETERS!$G$2:$G$13,POLICY_PARAMETERS!$B$2:$B$13,"g",POLICY_PARAMETERS!$E$2:$E$13,C102,POLICY_PARAMETERS!$F$2:$F$13,D102))</f>
        <v/>
      </c>
      <c r="L102" s="23" t="str">
        <f>IF(COUNTIFS(POLICY_PARAMETERS!$B$2:$B$13,"r",POLICY_PARAMETERS!$E$2:$E$13,C102,POLICY_PARAMETERS!$F$2:$F$13,D102,POLICY_PARAMETERS!$G$2:$G$13,"&lt;&gt;")=0,"",SUMIFS(POLICY_PARAMETERS!$G$2:$G$13,POLICY_PARAMETERS!$B$2:$B$13,"r",POLICY_PARAMETERS!$E$2:$E$13,C102,POLICY_PARAMETERS!$F$2:$F$13,D102))</f>
        <v/>
      </c>
      <c r="M102" s="24" t="str">
        <f t="shared" si="4"/>
        <v/>
      </c>
      <c r="N102" s="25" t="str">
        <f t="shared" si="5"/>
        <v/>
      </c>
      <c r="O102" s="26">
        <f>IF(D102=2025,IFERROR(VLOOKUP(A102,OFFICIAL_ALLOCATIONS!$A$2:$F$111,5,FALSE),""),IFERROR(VLOOKUP(A102,OFFICIAL_ALLOCATIONS!$A$2:$F$111,6,FALSE),""))</f>
        <v>246</v>
      </c>
      <c r="P102" s="42" t="str">
        <f t="shared" si="6"/>
        <v/>
      </c>
      <c r="Q102" s="28" t="str">
        <f t="shared" si="7"/>
        <v/>
      </c>
      <c r="R102" s="5" t="str">
        <f t="shared" si="8"/>
        <v>MISSING HISTORICAL DATA</v>
      </c>
      <c r="S102" s="5" t="s">
        <v>179</v>
      </c>
      <c r="T102" s="5" t="s">
        <v>59</v>
      </c>
    </row>
    <row r="103" ht="15.75" customHeight="1">
      <c r="A103" s="3" t="s">
        <v>1023</v>
      </c>
      <c r="B103" s="3" t="s">
        <v>229</v>
      </c>
      <c r="C103" s="3" t="s">
        <v>108</v>
      </c>
      <c r="D103" s="9">
        <v>2026.0</v>
      </c>
      <c r="E103" s="9">
        <f t="shared" si="1"/>
        <v>2023</v>
      </c>
      <c r="F103" s="9">
        <f t="shared" si="2"/>
        <v>2025</v>
      </c>
      <c r="G103" s="31" t="str">
        <f>IF(COUNTIFS(HISTORICAL_DATA!$A$2:$A$441,$A103,HISTORICAL_DATA!$D$2:$D$441,"&gt;="&amp;$E103,HISTORICAL_DATA!$D$2:$D$441,"&lt;="&amp;$F103,HISTORICAL_DATA!$E$2:$E$441,"&lt;&gt;")&lt;3,"",SUMIFS(HISTORICAL_DATA!$E$2:$E$441,HISTORICAL_DATA!$A$2:$A$441,$A103,HISTORICAL_DATA!$D$2:$D$441,"&gt;="&amp;$E103,HISTORICAL_DATA!$D$2:$D$441,"&lt;="&amp;$F103)/3)</f>
        <v/>
      </c>
      <c r="H103" s="31" t="str">
        <f>IF(COUNTIFS(HISTORICAL_DATA!$A$2:$A$441,$A103,HISTORICAL_DATA!$D$2:$D$441,"&gt;="&amp;$E103,HISTORICAL_DATA!$D$2:$D$441,"&lt;="&amp;$F103,HISTORICAL_DATA!$G$2:$G$441,"&lt;&gt;")&lt;3,"",SUMIFS(HISTORICAL_DATA!$G$2:$G$441,HISTORICAL_DATA!$A$2:$A$441,$A103,HISTORICAL_DATA!$D$2:$D$441,"&gt;="&amp;$E103,HISTORICAL_DATA!$D$2:$D$441,"&lt;="&amp;$F103)/3)</f>
        <v/>
      </c>
      <c r="I103" s="31" t="str">
        <f>IF(OR(G103="",H103=""),"FACILITY DATA MISSING",IF(AND(COUNTIFS($C$2:$C$221,C103,$D$2:$D$221,D103,$G$2:$G$221,"&lt;&gt;")=COUNTIF(OFFICIAL_ALLOCATIONS!$C$2:$C$111,C103),COUNTIFS($C$2:$C$221,C103,$D$2:$D$221,D103,$H$2:$H$221,"&lt;&gt;")=COUNTIF(OFFICIAL_ALLOCATIONS!$C$2:$C$111,C103)),"COMPLETE","SECTOR DATA INCOMPLETE"))</f>
        <v>FACILITY DATA MISSING</v>
      </c>
      <c r="J103" s="9" t="str">
        <f t="shared" si="3"/>
        <v/>
      </c>
      <c r="K103" s="23" t="str">
        <f>IF(COUNTIFS(POLICY_PARAMETERS!$B$2:$B$13,"g",POLICY_PARAMETERS!$E$2:$E$13,C103,POLICY_PARAMETERS!$F$2:$F$13,D103,POLICY_PARAMETERS!$G$2:$G$13,"&lt;&gt;")=0,"",SUMIFS(POLICY_PARAMETERS!$G$2:$G$13,POLICY_PARAMETERS!$B$2:$B$13,"g",POLICY_PARAMETERS!$E$2:$E$13,C103,POLICY_PARAMETERS!$F$2:$F$13,D103))</f>
        <v/>
      </c>
      <c r="L103" s="23" t="str">
        <f>IF(COUNTIFS(POLICY_PARAMETERS!$B$2:$B$13,"r",POLICY_PARAMETERS!$E$2:$E$13,C103,POLICY_PARAMETERS!$F$2:$F$13,D103,POLICY_PARAMETERS!$G$2:$G$13,"&lt;&gt;")=0,"",SUMIFS(POLICY_PARAMETERS!$G$2:$G$13,POLICY_PARAMETERS!$B$2:$B$13,"r",POLICY_PARAMETERS!$E$2:$E$13,C103,POLICY_PARAMETERS!$F$2:$F$13,D103))</f>
        <v/>
      </c>
      <c r="M103" s="24" t="str">
        <f t="shared" si="4"/>
        <v/>
      </c>
      <c r="N103" s="25" t="str">
        <f t="shared" si="5"/>
        <v/>
      </c>
      <c r="O103" s="26">
        <f>IF(D103=2025,IFERROR(VLOOKUP(A103,OFFICIAL_ALLOCATIONS!$A$2:$F$111,5,FALSE),""),IFERROR(VLOOKUP(A103,OFFICIAL_ALLOCATIONS!$A$2:$F$111,6,FALSE),""))</f>
        <v>287</v>
      </c>
      <c r="P103" s="42" t="str">
        <f t="shared" si="6"/>
        <v/>
      </c>
      <c r="Q103" s="28" t="str">
        <f t="shared" si="7"/>
        <v/>
      </c>
      <c r="R103" s="5" t="str">
        <f t="shared" si="8"/>
        <v>MISSING HISTORICAL DATA</v>
      </c>
      <c r="S103" s="5" t="s">
        <v>179</v>
      </c>
      <c r="T103" s="5" t="s">
        <v>59</v>
      </c>
    </row>
    <row r="104" ht="15.75" customHeight="1">
      <c r="A104" s="3" t="s">
        <v>1024</v>
      </c>
      <c r="B104" s="3" t="s">
        <v>243</v>
      </c>
      <c r="C104" s="3" t="s">
        <v>108</v>
      </c>
      <c r="D104" s="9">
        <v>2025.0</v>
      </c>
      <c r="E104" s="9">
        <f t="shared" si="1"/>
        <v>2022</v>
      </c>
      <c r="F104" s="9">
        <f t="shared" si="2"/>
        <v>2024</v>
      </c>
      <c r="G104" s="31" t="str">
        <f>IF(COUNTIFS(HISTORICAL_DATA!$A$2:$A$441,$A104,HISTORICAL_DATA!$D$2:$D$441,"&gt;="&amp;$E104,HISTORICAL_DATA!$D$2:$D$441,"&lt;="&amp;$F104,HISTORICAL_DATA!$E$2:$E$441,"&lt;&gt;")&lt;3,"",SUMIFS(HISTORICAL_DATA!$E$2:$E$441,HISTORICAL_DATA!$A$2:$A$441,$A104,HISTORICAL_DATA!$D$2:$D$441,"&gt;="&amp;$E104,HISTORICAL_DATA!$D$2:$D$441,"&lt;="&amp;$F104)/3)</f>
        <v/>
      </c>
      <c r="H104" s="31" t="str">
        <f>IF(COUNTIFS(HISTORICAL_DATA!$A$2:$A$441,$A104,HISTORICAL_DATA!$D$2:$D$441,"&gt;="&amp;$E104,HISTORICAL_DATA!$D$2:$D$441,"&lt;="&amp;$F104,HISTORICAL_DATA!$G$2:$G$441,"&lt;&gt;")&lt;3,"",SUMIFS(HISTORICAL_DATA!$G$2:$G$441,HISTORICAL_DATA!$A$2:$A$441,$A104,HISTORICAL_DATA!$D$2:$D$441,"&gt;="&amp;$E104,HISTORICAL_DATA!$D$2:$D$441,"&lt;="&amp;$F104)/3)</f>
        <v/>
      </c>
      <c r="I104" s="31" t="str">
        <f>IF(OR(G104="",H104=""),"FACILITY DATA MISSING",IF(AND(COUNTIFS($C$2:$C$221,C104,$D$2:$D$221,D104,$G$2:$G$221,"&lt;&gt;")=COUNTIF(OFFICIAL_ALLOCATIONS!$C$2:$C$111,C104),COUNTIFS($C$2:$C$221,C104,$D$2:$D$221,D104,$H$2:$H$221,"&lt;&gt;")=COUNTIF(OFFICIAL_ALLOCATIONS!$C$2:$C$111,C104)),"COMPLETE","SECTOR DATA INCOMPLETE"))</f>
        <v>FACILITY DATA MISSING</v>
      </c>
      <c r="J104" s="9" t="str">
        <f t="shared" si="3"/>
        <v/>
      </c>
      <c r="K104" s="23" t="str">
        <f>IF(COUNTIFS(POLICY_PARAMETERS!$B$2:$B$13,"g",POLICY_PARAMETERS!$E$2:$E$13,C104,POLICY_PARAMETERS!$F$2:$F$13,D104,POLICY_PARAMETERS!$G$2:$G$13,"&lt;&gt;")=0,"",SUMIFS(POLICY_PARAMETERS!$G$2:$G$13,POLICY_PARAMETERS!$B$2:$B$13,"g",POLICY_PARAMETERS!$E$2:$E$13,C104,POLICY_PARAMETERS!$F$2:$F$13,D104))</f>
        <v/>
      </c>
      <c r="L104" s="23" t="str">
        <f>IF(COUNTIFS(POLICY_PARAMETERS!$B$2:$B$13,"r",POLICY_PARAMETERS!$E$2:$E$13,C104,POLICY_PARAMETERS!$F$2:$F$13,D104,POLICY_PARAMETERS!$G$2:$G$13,"&lt;&gt;")=0,"",SUMIFS(POLICY_PARAMETERS!$G$2:$G$13,POLICY_PARAMETERS!$B$2:$B$13,"r",POLICY_PARAMETERS!$E$2:$E$13,C104,POLICY_PARAMETERS!$F$2:$F$13,D104))</f>
        <v/>
      </c>
      <c r="M104" s="24" t="str">
        <f t="shared" si="4"/>
        <v/>
      </c>
      <c r="N104" s="25" t="str">
        <f t="shared" si="5"/>
        <v/>
      </c>
      <c r="O104" s="26">
        <f>IF(D104=2025,IFERROR(VLOOKUP(A104,OFFICIAL_ALLOCATIONS!$A$2:$F$111,5,FALSE),""),IFERROR(VLOOKUP(A104,OFFICIAL_ALLOCATIONS!$A$2:$F$111,6,FALSE),""))</f>
        <v>6602</v>
      </c>
      <c r="P104" s="42" t="str">
        <f t="shared" si="6"/>
        <v/>
      </c>
      <c r="Q104" s="28" t="str">
        <f t="shared" si="7"/>
        <v/>
      </c>
      <c r="R104" s="5" t="str">
        <f t="shared" si="8"/>
        <v>MISSING HISTORICAL DATA</v>
      </c>
      <c r="S104" s="5" t="s">
        <v>179</v>
      </c>
      <c r="T104" s="5" t="s">
        <v>59</v>
      </c>
    </row>
    <row r="105" ht="15.75" customHeight="1">
      <c r="A105" s="3" t="s">
        <v>1024</v>
      </c>
      <c r="B105" s="3" t="s">
        <v>243</v>
      </c>
      <c r="C105" s="3" t="s">
        <v>108</v>
      </c>
      <c r="D105" s="9">
        <v>2026.0</v>
      </c>
      <c r="E105" s="9">
        <f t="shared" si="1"/>
        <v>2023</v>
      </c>
      <c r="F105" s="9">
        <f t="shared" si="2"/>
        <v>2025</v>
      </c>
      <c r="G105" s="31" t="str">
        <f>IF(COUNTIFS(HISTORICAL_DATA!$A$2:$A$441,$A105,HISTORICAL_DATA!$D$2:$D$441,"&gt;="&amp;$E105,HISTORICAL_DATA!$D$2:$D$441,"&lt;="&amp;$F105,HISTORICAL_DATA!$E$2:$E$441,"&lt;&gt;")&lt;3,"",SUMIFS(HISTORICAL_DATA!$E$2:$E$441,HISTORICAL_DATA!$A$2:$A$441,$A105,HISTORICAL_DATA!$D$2:$D$441,"&gt;="&amp;$E105,HISTORICAL_DATA!$D$2:$D$441,"&lt;="&amp;$F105)/3)</f>
        <v/>
      </c>
      <c r="H105" s="31" t="str">
        <f>IF(COUNTIFS(HISTORICAL_DATA!$A$2:$A$441,$A105,HISTORICAL_DATA!$D$2:$D$441,"&gt;="&amp;$E105,HISTORICAL_DATA!$D$2:$D$441,"&lt;="&amp;$F105,HISTORICAL_DATA!$G$2:$G$441,"&lt;&gt;")&lt;3,"",SUMIFS(HISTORICAL_DATA!$G$2:$G$441,HISTORICAL_DATA!$A$2:$A$441,$A105,HISTORICAL_DATA!$D$2:$D$441,"&gt;="&amp;$E105,HISTORICAL_DATA!$D$2:$D$441,"&lt;="&amp;$F105)/3)</f>
        <v/>
      </c>
      <c r="I105" s="31" t="str">
        <f>IF(OR(G105="",H105=""),"FACILITY DATA MISSING",IF(AND(COUNTIFS($C$2:$C$221,C105,$D$2:$D$221,D105,$G$2:$G$221,"&lt;&gt;")=COUNTIF(OFFICIAL_ALLOCATIONS!$C$2:$C$111,C105),COUNTIFS($C$2:$C$221,C105,$D$2:$D$221,D105,$H$2:$H$221,"&lt;&gt;")=COUNTIF(OFFICIAL_ALLOCATIONS!$C$2:$C$111,C105)),"COMPLETE","SECTOR DATA INCOMPLETE"))</f>
        <v>FACILITY DATA MISSING</v>
      </c>
      <c r="J105" s="9" t="str">
        <f t="shared" si="3"/>
        <v/>
      </c>
      <c r="K105" s="23" t="str">
        <f>IF(COUNTIFS(POLICY_PARAMETERS!$B$2:$B$13,"g",POLICY_PARAMETERS!$E$2:$E$13,C105,POLICY_PARAMETERS!$F$2:$F$13,D105,POLICY_PARAMETERS!$G$2:$G$13,"&lt;&gt;")=0,"",SUMIFS(POLICY_PARAMETERS!$G$2:$G$13,POLICY_PARAMETERS!$B$2:$B$13,"g",POLICY_PARAMETERS!$E$2:$E$13,C105,POLICY_PARAMETERS!$F$2:$F$13,D105))</f>
        <v/>
      </c>
      <c r="L105" s="23" t="str">
        <f>IF(COUNTIFS(POLICY_PARAMETERS!$B$2:$B$13,"r",POLICY_PARAMETERS!$E$2:$E$13,C105,POLICY_PARAMETERS!$F$2:$F$13,D105,POLICY_PARAMETERS!$G$2:$G$13,"&lt;&gt;")=0,"",SUMIFS(POLICY_PARAMETERS!$G$2:$G$13,POLICY_PARAMETERS!$B$2:$B$13,"r",POLICY_PARAMETERS!$E$2:$E$13,C105,POLICY_PARAMETERS!$F$2:$F$13,D105))</f>
        <v/>
      </c>
      <c r="M105" s="24" t="str">
        <f t="shared" si="4"/>
        <v/>
      </c>
      <c r="N105" s="25" t="str">
        <f t="shared" si="5"/>
        <v/>
      </c>
      <c r="O105" s="26">
        <f>IF(D105=2025,IFERROR(VLOOKUP(A105,OFFICIAL_ALLOCATIONS!$A$2:$F$111,5,FALSE),""),IFERROR(VLOOKUP(A105,OFFICIAL_ALLOCATIONS!$A$2:$F$111,6,FALSE),""))</f>
        <v>7696</v>
      </c>
      <c r="P105" s="42" t="str">
        <f t="shared" si="6"/>
        <v/>
      </c>
      <c r="Q105" s="28" t="str">
        <f t="shared" si="7"/>
        <v/>
      </c>
      <c r="R105" s="5" t="str">
        <f t="shared" si="8"/>
        <v>MISSING HISTORICAL DATA</v>
      </c>
      <c r="S105" s="5" t="s">
        <v>179</v>
      </c>
      <c r="T105" s="5" t="s">
        <v>59</v>
      </c>
    </row>
    <row r="106" ht="15.75" customHeight="1">
      <c r="A106" s="3" t="s">
        <v>1025</v>
      </c>
      <c r="B106" s="3" t="s">
        <v>258</v>
      </c>
      <c r="C106" s="3" t="s">
        <v>108</v>
      </c>
      <c r="D106" s="9">
        <v>2025.0</v>
      </c>
      <c r="E106" s="9">
        <f t="shared" si="1"/>
        <v>2022</v>
      </c>
      <c r="F106" s="9">
        <f t="shared" si="2"/>
        <v>2024</v>
      </c>
      <c r="G106" s="31" t="str">
        <f>IF(COUNTIFS(HISTORICAL_DATA!$A$2:$A$441,$A106,HISTORICAL_DATA!$D$2:$D$441,"&gt;="&amp;$E106,HISTORICAL_DATA!$D$2:$D$441,"&lt;="&amp;$F106,HISTORICAL_DATA!$E$2:$E$441,"&lt;&gt;")&lt;3,"",SUMIFS(HISTORICAL_DATA!$E$2:$E$441,HISTORICAL_DATA!$A$2:$A$441,$A106,HISTORICAL_DATA!$D$2:$D$441,"&gt;="&amp;$E106,HISTORICAL_DATA!$D$2:$D$441,"&lt;="&amp;$F106)/3)</f>
        <v/>
      </c>
      <c r="H106" s="31" t="str">
        <f>IF(COUNTIFS(HISTORICAL_DATA!$A$2:$A$441,$A106,HISTORICAL_DATA!$D$2:$D$441,"&gt;="&amp;$E106,HISTORICAL_DATA!$D$2:$D$441,"&lt;="&amp;$F106,HISTORICAL_DATA!$G$2:$G$441,"&lt;&gt;")&lt;3,"",SUMIFS(HISTORICAL_DATA!$G$2:$G$441,HISTORICAL_DATA!$A$2:$A$441,$A106,HISTORICAL_DATA!$D$2:$D$441,"&gt;="&amp;$E106,HISTORICAL_DATA!$D$2:$D$441,"&lt;="&amp;$F106)/3)</f>
        <v/>
      </c>
      <c r="I106" s="31" t="str">
        <f>IF(OR(G106="",H106=""),"FACILITY DATA MISSING",IF(AND(COUNTIFS($C$2:$C$221,C106,$D$2:$D$221,D106,$G$2:$G$221,"&lt;&gt;")=COUNTIF(OFFICIAL_ALLOCATIONS!$C$2:$C$111,C106),COUNTIFS($C$2:$C$221,C106,$D$2:$D$221,D106,$H$2:$H$221,"&lt;&gt;")=COUNTIF(OFFICIAL_ALLOCATIONS!$C$2:$C$111,C106)),"COMPLETE","SECTOR DATA INCOMPLETE"))</f>
        <v>FACILITY DATA MISSING</v>
      </c>
      <c r="J106" s="9" t="str">
        <f t="shared" si="3"/>
        <v/>
      </c>
      <c r="K106" s="23" t="str">
        <f>IF(COUNTIFS(POLICY_PARAMETERS!$B$2:$B$13,"g",POLICY_PARAMETERS!$E$2:$E$13,C106,POLICY_PARAMETERS!$F$2:$F$13,D106,POLICY_PARAMETERS!$G$2:$G$13,"&lt;&gt;")=0,"",SUMIFS(POLICY_PARAMETERS!$G$2:$G$13,POLICY_PARAMETERS!$B$2:$B$13,"g",POLICY_PARAMETERS!$E$2:$E$13,C106,POLICY_PARAMETERS!$F$2:$F$13,D106))</f>
        <v/>
      </c>
      <c r="L106" s="23" t="str">
        <f>IF(COUNTIFS(POLICY_PARAMETERS!$B$2:$B$13,"r",POLICY_PARAMETERS!$E$2:$E$13,C106,POLICY_PARAMETERS!$F$2:$F$13,D106,POLICY_PARAMETERS!$G$2:$G$13,"&lt;&gt;")=0,"",SUMIFS(POLICY_PARAMETERS!$G$2:$G$13,POLICY_PARAMETERS!$B$2:$B$13,"r",POLICY_PARAMETERS!$E$2:$E$13,C106,POLICY_PARAMETERS!$F$2:$F$13,D106))</f>
        <v/>
      </c>
      <c r="M106" s="24" t="str">
        <f t="shared" si="4"/>
        <v/>
      </c>
      <c r="N106" s="25" t="str">
        <f t="shared" si="5"/>
        <v/>
      </c>
      <c r="O106" s="26">
        <f>IF(D106=2025,IFERROR(VLOOKUP(A106,OFFICIAL_ALLOCATIONS!$A$2:$F$111,5,FALSE),""),IFERROR(VLOOKUP(A106,OFFICIAL_ALLOCATIONS!$A$2:$F$111,6,FALSE),""))</f>
        <v>715</v>
      </c>
      <c r="P106" s="42" t="str">
        <f t="shared" si="6"/>
        <v/>
      </c>
      <c r="Q106" s="28" t="str">
        <f t="shared" si="7"/>
        <v/>
      </c>
      <c r="R106" s="5" t="str">
        <f t="shared" si="8"/>
        <v>MISSING HISTORICAL DATA</v>
      </c>
      <c r="S106" s="5" t="s">
        <v>179</v>
      </c>
      <c r="T106" s="5" t="s">
        <v>59</v>
      </c>
    </row>
    <row r="107" ht="15.75" customHeight="1">
      <c r="A107" s="3" t="s">
        <v>1025</v>
      </c>
      <c r="B107" s="3" t="s">
        <v>258</v>
      </c>
      <c r="C107" s="3" t="s">
        <v>108</v>
      </c>
      <c r="D107" s="9">
        <v>2026.0</v>
      </c>
      <c r="E107" s="9">
        <f t="shared" si="1"/>
        <v>2023</v>
      </c>
      <c r="F107" s="9">
        <f t="shared" si="2"/>
        <v>2025</v>
      </c>
      <c r="G107" s="31" t="str">
        <f>IF(COUNTIFS(HISTORICAL_DATA!$A$2:$A$441,$A107,HISTORICAL_DATA!$D$2:$D$441,"&gt;="&amp;$E107,HISTORICAL_DATA!$D$2:$D$441,"&lt;="&amp;$F107,HISTORICAL_DATA!$E$2:$E$441,"&lt;&gt;")&lt;3,"",SUMIFS(HISTORICAL_DATA!$E$2:$E$441,HISTORICAL_DATA!$A$2:$A$441,$A107,HISTORICAL_DATA!$D$2:$D$441,"&gt;="&amp;$E107,HISTORICAL_DATA!$D$2:$D$441,"&lt;="&amp;$F107)/3)</f>
        <v/>
      </c>
      <c r="H107" s="31" t="str">
        <f>IF(COUNTIFS(HISTORICAL_DATA!$A$2:$A$441,$A107,HISTORICAL_DATA!$D$2:$D$441,"&gt;="&amp;$E107,HISTORICAL_DATA!$D$2:$D$441,"&lt;="&amp;$F107,HISTORICAL_DATA!$G$2:$G$441,"&lt;&gt;")&lt;3,"",SUMIFS(HISTORICAL_DATA!$G$2:$G$441,HISTORICAL_DATA!$A$2:$A$441,$A107,HISTORICAL_DATA!$D$2:$D$441,"&gt;="&amp;$E107,HISTORICAL_DATA!$D$2:$D$441,"&lt;="&amp;$F107)/3)</f>
        <v/>
      </c>
      <c r="I107" s="31" t="str">
        <f>IF(OR(G107="",H107=""),"FACILITY DATA MISSING",IF(AND(COUNTIFS($C$2:$C$221,C107,$D$2:$D$221,D107,$G$2:$G$221,"&lt;&gt;")=COUNTIF(OFFICIAL_ALLOCATIONS!$C$2:$C$111,C107),COUNTIFS($C$2:$C$221,C107,$D$2:$D$221,D107,$H$2:$H$221,"&lt;&gt;")=COUNTIF(OFFICIAL_ALLOCATIONS!$C$2:$C$111,C107)),"COMPLETE","SECTOR DATA INCOMPLETE"))</f>
        <v>FACILITY DATA MISSING</v>
      </c>
      <c r="J107" s="9" t="str">
        <f t="shared" si="3"/>
        <v/>
      </c>
      <c r="K107" s="23" t="str">
        <f>IF(COUNTIFS(POLICY_PARAMETERS!$B$2:$B$13,"g",POLICY_PARAMETERS!$E$2:$E$13,C107,POLICY_PARAMETERS!$F$2:$F$13,D107,POLICY_PARAMETERS!$G$2:$G$13,"&lt;&gt;")=0,"",SUMIFS(POLICY_PARAMETERS!$G$2:$G$13,POLICY_PARAMETERS!$B$2:$B$13,"g",POLICY_PARAMETERS!$E$2:$E$13,C107,POLICY_PARAMETERS!$F$2:$F$13,D107))</f>
        <v/>
      </c>
      <c r="L107" s="23" t="str">
        <f>IF(COUNTIFS(POLICY_PARAMETERS!$B$2:$B$13,"r",POLICY_PARAMETERS!$E$2:$E$13,C107,POLICY_PARAMETERS!$F$2:$F$13,D107,POLICY_PARAMETERS!$G$2:$G$13,"&lt;&gt;")=0,"",SUMIFS(POLICY_PARAMETERS!$G$2:$G$13,POLICY_PARAMETERS!$B$2:$B$13,"r",POLICY_PARAMETERS!$E$2:$E$13,C107,POLICY_PARAMETERS!$F$2:$F$13,D107))</f>
        <v/>
      </c>
      <c r="M107" s="24" t="str">
        <f t="shared" si="4"/>
        <v/>
      </c>
      <c r="N107" s="25" t="str">
        <f t="shared" si="5"/>
        <v/>
      </c>
      <c r="O107" s="26">
        <f>IF(D107=2025,IFERROR(VLOOKUP(A107,OFFICIAL_ALLOCATIONS!$A$2:$F$111,5,FALSE),""),IFERROR(VLOOKUP(A107,OFFICIAL_ALLOCATIONS!$A$2:$F$111,6,FALSE),""))</f>
        <v>833</v>
      </c>
      <c r="P107" s="42" t="str">
        <f t="shared" si="6"/>
        <v/>
      </c>
      <c r="Q107" s="28" t="str">
        <f t="shared" si="7"/>
        <v/>
      </c>
      <c r="R107" s="5" t="str">
        <f t="shared" si="8"/>
        <v>MISSING HISTORICAL DATA</v>
      </c>
      <c r="S107" s="5" t="s">
        <v>179</v>
      </c>
      <c r="T107" s="5" t="s">
        <v>59</v>
      </c>
    </row>
    <row r="108" ht="15.75" customHeight="1">
      <c r="A108" s="3" t="s">
        <v>1026</v>
      </c>
      <c r="B108" s="3" t="s">
        <v>277</v>
      </c>
      <c r="C108" s="3" t="s">
        <v>108</v>
      </c>
      <c r="D108" s="9">
        <v>2025.0</v>
      </c>
      <c r="E108" s="9">
        <f t="shared" si="1"/>
        <v>2022</v>
      </c>
      <c r="F108" s="9">
        <f t="shared" si="2"/>
        <v>2024</v>
      </c>
      <c r="G108" s="31" t="str">
        <f>IF(COUNTIFS(HISTORICAL_DATA!$A$2:$A$441,$A108,HISTORICAL_DATA!$D$2:$D$441,"&gt;="&amp;$E108,HISTORICAL_DATA!$D$2:$D$441,"&lt;="&amp;$F108,HISTORICAL_DATA!$E$2:$E$441,"&lt;&gt;")&lt;3,"",SUMIFS(HISTORICAL_DATA!$E$2:$E$441,HISTORICAL_DATA!$A$2:$A$441,$A108,HISTORICAL_DATA!$D$2:$D$441,"&gt;="&amp;$E108,HISTORICAL_DATA!$D$2:$D$441,"&lt;="&amp;$F108)/3)</f>
        <v/>
      </c>
      <c r="H108" s="31" t="str">
        <f>IF(COUNTIFS(HISTORICAL_DATA!$A$2:$A$441,$A108,HISTORICAL_DATA!$D$2:$D$441,"&gt;="&amp;$E108,HISTORICAL_DATA!$D$2:$D$441,"&lt;="&amp;$F108,HISTORICAL_DATA!$G$2:$G$441,"&lt;&gt;")&lt;3,"",SUMIFS(HISTORICAL_DATA!$G$2:$G$441,HISTORICAL_DATA!$A$2:$A$441,$A108,HISTORICAL_DATA!$D$2:$D$441,"&gt;="&amp;$E108,HISTORICAL_DATA!$D$2:$D$441,"&lt;="&amp;$F108)/3)</f>
        <v/>
      </c>
      <c r="I108" s="31" t="str">
        <f>IF(OR(G108="",H108=""),"FACILITY DATA MISSING",IF(AND(COUNTIFS($C$2:$C$221,C108,$D$2:$D$221,D108,$G$2:$G$221,"&lt;&gt;")=COUNTIF(OFFICIAL_ALLOCATIONS!$C$2:$C$111,C108),COUNTIFS($C$2:$C$221,C108,$D$2:$D$221,D108,$H$2:$H$221,"&lt;&gt;")=COUNTIF(OFFICIAL_ALLOCATIONS!$C$2:$C$111,C108)),"COMPLETE","SECTOR DATA INCOMPLETE"))</f>
        <v>FACILITY DATA MISSING</v>
      </c>
      <c r="J108" s="9" t="str">
        <f t="shared" si="3"/>
        <v/>
      </c>
      <c r="K108" s="23" t="str">
        <f>IF(COUNTIFS(POLICY_PARAMETERS!$B$2:$B$13,"g",POLICY_PARAMETERS!$E$2:$E$13,C108,POLICY_PARAMETERS!$F$2:$F$13,D108,POLICY_PARAMETERS!$G$2:$G$13,"&lt;&gt;")=0,"",SUMIFS(POLICY_PARAMETERS!$G$2:$G$13,POLICY_PARAMETERS!$B$2:$B$13,"g",POLICY_PARAMETERS!$E$2:$E$13,C108,POLICY_PARAMETERS!$F$2:$F$13,D108))</f>
        <v/>
      </c>
      <c r="L108" s="23" t="str">
        <f>IF(COUNTIFS(POLICY_PARAMETERS!$B$2:$B$13,"r",POLICY_PARAMETERS!$E$2:$E$13,C108,POLICY_PARAMETERS!$F$2:$F$13,D108,POLICY_PARAMETERS!$G$2:$G$13,"&lt;&gt;")=0,"",SUMIFS(POLICY_PARAMETERS!$G$2:$G$13,POLICY_PARAMETERS!$B$2:$B$13,"r",POLICY_PARAMETERS!$E$2:$E$13,C108,POLICY_PARAMETERS!$F$2:$F$13,D108))</f>
        <v/>
      </c>
      <c r="M108" s="24" t="str">
        <f t="shared" si="4"/>
        <v/>
      </c>
      <c r="N108" s="25" t="str">
        <f t="shared" si="5"/>
        <v/>
      </c>
      <c r="O108" s="26">
        <f>IF(D108=2025,IFERROR(VLOOKUP(A108,OFFICIAL_ALLOCATIONS!$A$2:$F$111,5,FALSE),""),IFERROR(VLOOKUP(A108,OFFICIAL_ALLOCATIONS!$A$2:$F$111,6,FALSE),""))</f>
        <v>4494857</v>
      </c>
      <c r="P108" s="42" t="str">
        <f t="shared" si="6"/>
        <v/>
      </c>
      <c r="Q108" s="28" t="str">
        <f t="shared" si="7"/>
        <v/>
      </c>
      <c r="R108" s="5" t="str">
        <f t="shared" si="8"/>
        <v>MISSING HISTORICAL DATA</v>
      </c>
      <c r="S108" s="5" t="s">
        <v>179</v>
      </c>
      <c r="T108" s="5" t="s">
        <v>59</v>
      </c>
    </row>
    <row r="109" ht="15.75" customHeight="1">
      <c r="A109" s="3" t="s">
        <v>1026</v>
      </c>
      <c r="B109" s="3" t="s">
        <v>277</v>
      </c>
      <c r="C109" s="3" t="s">
        <v>108</v>
      </c>
      <c r="D109" s="9">
        <v>2026.0</v>
      </c>
      <c r="E109" s="9">
        <f t="shared" si="1"/>
        <v>2023</v>
      </c>
      <c r="F109" s="9">
        <f t="shared" si="2"/>
        <v>2025</v>
      </c>
      <c r="G109" s="31" t="str">
        <f>IF(COUNTIFS(HISTORICAL_DATA!$A$2:$A$441,$A109,HISTORICAL_DATA!$D$2:$D$441,"&gt;="&amp;$E109,HISTORICAL_DATA!$D$2:$D$441,"&lt;="&amp;$F109,HISTORICAL_DATA!$E$2:$E$441,"&lt;&gt;")&lt;3,"",SUMIFS(HISTORICAL_DATA!$E$2:$E$441,HISTORICAL_DATA!$A$2:$A$441,$A109,HISTORICAL_DATA!$D$2:$D$441,"&gt;="&amp;$E109,HISTORICAL_DATA!$D$2:$D$441,"&lt;="&amp;$F109)/3)</f>
        <v/>
      </c>
      <c r="H109" s="31" t="str">
        <f>IF(COUNTIFS(HISTORICAL_DATA!$A$2:$A$441,$A109,HISTORICAL_DATA!$D$2:$D$441,"&gt;="&amp;$E109,HISTORICAL_DATA!$D$2:$D$441,"&lt;="&amp;$F109,HISTORICAL_DATA!$G$2:$G$441,"&lt;&gt;")&lt;3,"",SUMIFS(HISTORICAL_DATA!$G$2:$G$441,HISTORICAL_DATA!$A$2:$A$441,$A109,HISTORICAL_DATA!$D$2:$D$441,"&gt;="&amp;$E109,HISTORICAL_DATA!$D$2:$D$441,"&lt;="&amp;$F109)/3)</f>
        <v/>
      </c>
      <c r="I109" s="31" t="str">
        <f>IF(OR(G109="",H109=""),"FACILITY DATA MISSING",IF(AND(COUNTIFS($C$2:$C$221,C109,$D$2:$D$221,D109,$G$2:$G$221,"&lt;&gt;")=COUNTIF(OFFICIAL_ALLOCATIONS!$C$2:$C$111,C109),COUNTIFS($C$2:$C$221,C109,$D$2:$D$221,D109,$H$2:$H$221,"&lt;&gt;")=COUNTIF(OFFICIAL_ALLOCATIONS!$C$2:$C$111,C109)),"COMPLETE","SECTOR DATA INCOMPLETE"))</f>
        <v>FACILITY DATA MISSING</v>
      </c>
      <c r="J109" s="9" t="str">
        <f t="shared" si="3"/>
        <v/>
      </c>
      <c r="K109" s="23" t="str">
        <f>IF(COUNTIFS(POLICY_PARAMETERS!$B$2:$B$13,"g",POLICY_PARAMETERS!$E$2:$E$13,C109,POLICY_PARAMETERS!$F$2:$F$13,D109,POLICY_PARAMETERS!$G$2:$G$13,"&lt;&gt;")=0,"",SUMIFS(POLICY_PARAMETERS!$G$2:$G$13,POLICY_PARAMETERS!$B$2:$B$13,"g",POLICY_PARAMETERS!$E$2:$E$13,C109,POLICY_PARAMETERS!$F$2:$F$13,D109))</f>
        <v/>
      </c>
      <c r="L109" s="23" t="str">
        <f>IF(COUNTIFS(POLICY_PARAMETERS!$B$2:$B$13,"r",POLICY_PARAMETERS!$E$2:$E$13,C109,POLICY_PARAMETERS!$F$2:$F$13,D109,POLICY_PARAMETERS!$G$2:$G$13,"&lt;&gt;")=0,"",SUMIFS(POLICY_PARAMETERS!$G$2:$G$13,POLICY_PARAMETERS!$B$2:$B$13,"r",POLICY_PARAMETERS!$E$2:$E$13,C109,POLICY_PARAMETERS!$F$2:$F$13,D109))</f>
        <v/>
      </c>
      <c r="M109" s="24" t="str">
        <f t="shared" si="4"/>
        <v/>
      </c>
      <c r="N109" s="25" t="str">
        <f t="shared" si="5"/>
        <v/>
      </c>
      <c r="O109" s="26">
        <f>IF(D109=2025,IFERROR(VLOOKUP(A109,OFFICIAL_ALLOCATIONS!$A$2:$F$111,5,FALSE),""),IFERROR(VLOOKUP(A109,OFFICIAL_ALLOCATIONS!$A$2:$F$111,6,FALSE),""))</f>
        <v>5240036</v>
      </c>
      <c r="P109" s="42" t="str">
        <f t="shared" si="6"/>
        <v/>
      </c>
      <c r="Q109" s="28" t="str">
        <f t="shared" si="7"/>
        <v/>
      </c>
      <c r="R109" s="5" t="str">
        <f t="shared" si="8"/>
        <v>MISSING HISTORICAL DATA</v>
      </c>
      <c r="S109" s="5" t="s">
        <v>179</v>
      </c>
      <c r="T109" s="5" t="s">
        <v>59</v>
      </c>
    </row>
    <row r="110" ht="15.75" customHeight="1">
      <c r="A110" s="3" t="s">
        <v>1027</v>
      </c>
      <c r="B110" s="3" t="s">
        <v>297</v>
      </c>
      <c r="C110" s="3" t="s">
        <v>108</v>
      </c>
      <c r="D110" s="9">
        <v>2025.0</v>
      </c>
      <c r="E110" s="9">
        <f t="shared" si="1"/>
        <v>2022</v>
      </c>
      <c r="F110" s="9">
        <f t="shared" si="2"/>
        <v>2024</v>
      </c>
      <c r="G110" s="31" t="str">
        <f>IF(COUNTIFS(HISTORICAL_DATA!$A$2:$A$441,$A110,HISTORICAL_DATA!$D$2:$D$441,"&gt;="&amp;$E110,HISTORICAL_DATA!$D$2:$D$441,"&lt;="&amp;$F110,HISTORICAL_DATA!$E$2:$E$441,"&lt;&gt;")&lt;3,"",SUMIFS(HISTORICAL_DATA!$E$2:$E$441,HISTORICAL_DATA!$A$2:$A$441,$A110,HISTORICAL_DATA!$D$2:$D$441,"&gt;="&amp;$E110,HISTORICAL_DATA!$D$2:$D$441,"&lt;="&amp;$F110)/3)</f>
        <v/>
      </c>
      <c r="H110" s="31" t="str">
        <f>IF(COUNTIFS(HISTORICAL_DATA!$A$2:$A$441,$A110,HISTORICAL_DATA!$D$2:$D$441,"&gt;="&amp;$E110,HISTORICAL_DATA!$D$2:$D$441,"&lt;="&amp;$F110,HISTORICAL_DATA!$G$2:$G$441,"&lt;&gt;")&lt;3,"",SUMIFS(HISTORICAL_DATA!$G$2:$G$441,HISTORICAL_DATA!$A$2:$A$441,$A110,HISTORICAL_DATA!$D$2:$D$441,"&gt;="&amp;$E110,HISTORICAL_DATA!$D$2:$D$441,"&lt;="&amp;$F110)/3)</f>
        <v/>
      </c>
      <c r="I110" s="31" t="str">
        <f>IF(OR(G110="",H110=""),"FACILITY DATA MISSING",IF(AND(COUNTIFS($C$2:$C$221,C110,$D$2:$D$221,D110,$G$2:$G$221,"&lt;&gt;")=COUNTIF(OFFICIAL_ALLOCATIONS!$C$2:$C$111,C110),COUNTIFS($C$2:$C$221,C110,$D$2:$D$221,D110,$H$2:$H$221,"&lt;&gt;")=COUNTIF(OFFICIAL_ALLOCATIONS!$C$2:$C$111,C110)),"COMPLETE","SECTOR DATA INCOMPLETE"))</f>
        <v>FACILITY DATA MISSING</v>
      </c>
      <c r="J110" s="9" t="str">
        <f t="shared" si="3"/>
        <v/>
      </c>
      <c r="K110" s="23" t="str">
        <f>IF(COUNTIFS(POLICY_PARAMETERS!$B$2:$B$13,"g",POLICY_PARAMETERS!$E$2:$E$13,C110,POLICY_PARAMETERS!$F$2:$F$13,D110,POLICY_PARAMETERS!$G$2:$G$13,"&lt;&gt;")=0,"",SUMIFS(POLICY_PARAMETERS!$G$2:$G$13,POLICY_PARAMETERS!$B$2:$B$13,"g",POLICY_PARAMETERS!$E$2:$E$13,C110,POLICY_PARAMETERS!$F$2:$F$13,D110))</f>
        <v/>
      </c>
      <c r="L110" s="23" t="str">
        <f>IF(COUNTIFS(POLICY_PARAMETERS!$B$2:$B$13,"r",POLICY_PARAMETERS!$E$2:$E$13,C110,POLICY_PARAMETERS!$F$2:$F$13,D110,POLICY_PARAMETERS!$G$2:$G$13,"&lt;&gt;")=0,"",SUMIFS(POLICY_PARAMETERS!$G$2:$G$13,POLICY_PARAMETERS!$B$2:$B$13,"r",POLICY_PARAMETERS!$E$2:$E$13,C110,POLICY_PARAMETERS!$F$2:$F$13,D110))</f>
        <v/>
      </c>
      <c r="M110" s="24" t="str">
        <f t="shared" si="4"/>
        <v/>
      </c>
      <c r="N110" s="25" t="str">
        <f t="shared" si="5"/>
        <v/>
      </c>
      <c r="O110" s="26">
        <f>IF(D110=2025,IFERROR(VLOOKUP(A110,OFFICIAL_ALLOCATIONS!$A$2:$F$111,5,FALSE),""),IFERROR(VLOOKUP(A110,OFFICIAL_ALLOCATIONS!$A$2:$F$111,6,FALSE),""))</f>
        <v>487238</v>
      </c>
      <c r="P110" s="42" t="str">
        <f t="shared" si="6"/>
        <v/>
      </c>
      <c r="Q110" s="28" t="str">
        <f t="shared" si="7"/>
        <v/>
      </c>
      <c r="R110" s="5" t="str">
        <f t="shared" si="8"/>
        <v>MISSING HISTORICAL DATA</v>
      </c>
      <c r="S110" s="5" t="s">
        <v>179</v>
      </c>
      <c r="T110" s="5" t="s">
        <v>59</v>
      </c>
    </row>
    <row r="111" ht="15.75" customHeight="1">
      <c r="A111" s="5" t="s">
        <v>1027</v>
      </c>
      <c r="B111" s="5" t="s">
        <v>297</v>
      </c>
      <c r="C111" s="5" t="s">
        <v>108</v>
      </c>
      <c r="D111" s="31">
        <v>2026.0</v>
      </c>
      <c r="E111" s="31">
        <f t="shared" si="1"/>
        <v>2023</v>
      </c>
      <c r="F111" s="68">
        <f t="shared" si="2"/>
        <v>2025</v>
      </c>
      <c r="G111" s="31" t="str">
        <f>IF(COUNTIFS(HISTORICAL_DATA!$A$2:$A$441,$A111,HISTORICAL_DATA!$D$2:$D$441,"&gt;="&amp;$E111,HISTORICAL_DATA!$D$2:$D$441,"&lt;="&amp;$F111,HISTORICAL_DATA!$E$2:$E$441,"&lt;&gt;")&lt;3,"",SUMIFS(HISTORICAL_DATA!$E$2:$E$441,HISTORICAL_DATA!$A$2:$A$441,$A111,HISTORICAL_DATA!$D$2:$D$441,"&gt;="&amp;$E111,HISTORICAL_DATA!$D$2:$D$441,"&lt;="&amp;$F111)/3)</f>
        <v/>
      </c>
      <c r="H111" s="31" t="str">
        <f>IF(COUNTIFS(HISTORICAL_DATA!$A$2:$A$441,$A111,HISTORICAL_DATA!$D$2:$D$441,"&gt;="&amp;$E111,HISTORICAL_DATA!$D$2:$D$441,"&lt;="&amp;$F111,HISTORICAL_DATA!$G$2:$G$441,"&lt;&gt;")&lt;3,"",SUMIFS(HISTORICAL_DATA!$G$2:$G$441,HISTORICAL_DATA!$A$2:$A$441,$A111,HISTORICAL_DATA!$D$2:$D$441,"&gt;="&amp;$E111,HISTORICAL_DATA!$D$2:$D$441,"&lt;="&amp;$F111)/3)</f>
        <v/>
      </c>
      <c r="I111" s="31" t="str">
        <f>IF(OR(G111="",H111=""),"FACILITY DATA MISSING",IF(AND(COUNTIFS($C$2:$C$221,C111,$D$2:$D$221,D111,$G$2:$G$221,"&lt;&gt;")=COUNTIF(OFFICIAL_ALLOCATIONS!$C$2:$C$111,C111),COUNTIFS($C$2:$C$221,C111,$D$2:$D$221,D111,$H$2:$H$221,"&lt;&gt;")=COUNTIF(OFFICIAL_ALLOCATIONS!$C$2:$C$111,C111)),"COMPLETE","SECTOR DATA INCOMPLETE"))</f>
        <v>FACILITY DATA MISSING</v>
      </c>
      <c r="J111" s="9" t="str">
        <f t="shared" si="3"/>
        <v/>
      </c>
      <c r="K111" s="23" t="str">
        <f>IF(COUNTIFS(POLICY_PARAMETERS!$B$2:$B$13,"g",POLICY_PARAMETERS!$E$2:$E$13,C111,POLICY_PARAMETERS!$F$2:$F$13,D111,POLICY_PARAMETERS!$G$2:$G$13,"&lt;&gt;")=0,"",SUMIFS(POLICY_PARAMETERS!$G$2:$G$13,POLICY_PARAMETERS!$B$2:$B$13,"g",POLICY_PARAMETERS!$E$2:$E$13,C111,POLICY_PARAMETERS!$F$2:$F$13,D111))</f>
        <v/>
      </c>
      <c r="L111" s="62" t="str">
        <f>IF(COUNTIFS(POLICY_PARAMETERS!$B$2:$B$13,"r",POLICY_PARAMETERS!$E$2:$E$13,C111,POLICY_PARAMETERS!$F$2:$F$13,D111,POLICY_PARAMETERS!$G$2:$G$13,"&lt;&gt;")=0,"",SUMIFS(POLICY_PARAMETERS!$G$2:$G$13,POLICY_PARAMETERS!$B$2:$B$13,"r",POLICY_PARAMETERS!$E$2:$E$13,C111,POLICY_PARAMETERS!$F$2:$F$13,D111))</f>
        <v/>
      </c>
      <c r="M111" s="61" t="str">
        <f t="shared" si="4"/>
        <v/>
      </c>
      <c r="N111" s="56" t="str">
        <f t="shared" si="5"/>
        <v/>
      </c>
      <c r="O111" s="26">
        <f>IF(D111=2025,IFERROR(VLOOKUP(A111,OFFICIAL_ALLOCATIONS!$A$2:$F$111,5,FALSE),""),IFERROR(VLOOKUP(A111,OFFICIAL_ALLOCATIONS!$A$2:$F$111,6,FALSE),""))</f>
        <v>568015</v>
      </c>
      <c r="P111" s="42" t="str">
        <f t="shared" si="6"/>
        <v/>
      </c>
      <c r="Q111" s="28" t="str">
        <f t="shared" si="7"/>
        <v/>
      </c>
      <c r="R111" s="5" t="str">
        <f t="shared" si="8"/>
        <v>MISSING HISTORICAL DATA</v>
      </c>
      <c r="S111" s="5" t="s">
        <v>179</v>
      </c>
      <c r="T111" s="5" t="s">
        <v>59</v>
      </c>
    </row>
    <row r="112" ht="15.75" customHeight="1">
      <c r="A112" s="5" t="s">
        <v>1028</v>
      </c>
      <c r="B112" s="5" t="s">
        <v>308</v>
      </c>
      <c r="C112" s="5" t="s">
        <v>108</v>
      </c>
      <c r="D112" s="5">
        <v>2025.0</v>
      </c>
      <c r="E112" s="5">
        <f t="shared" si="1"/>
        <v>2022</v>
      </c>
      <c r="F112" s="8">
        <f t="shared" si="2"/>
        <v>2024</v>
      </c>
      <c r="G112" s="31" t="str">
        <f>IF(COUNTIFS(HISTORICAL_DATA!$A$2:$A$441,$A112,HISTORICAL_DATA!$D$2:$D$441,"&gt;="&amp;$E112,HISTORICAL_DATA!$D$2:$D$441,"&lt;="&amp;$F112,HISTORICAL_DATA!$E$2:$E$441,"&lt;&gt;")&lt;3,"",SUMIFS(HISTORICAL_DATA!$E$2:$E$441,HISTORICAL_DATA!$A$2:$A$441,$A112,HISTORICAL_DATA!$D$2:$D$441,"&gt;="&amp;$E112,HISTORICAL_DATA!$D$2:$D$441,"&lt;="&amp;$F112)/3)</f>
        <v/>
      </c>
      <c r="H112" s="31" t="str">
        <f>IF(COUNTIFS(HISTORICAL_DATA!$A$2:$A$441,$A112,HISTORICAL_DATA!$D$2:$D$441,"&gt;="&amp;$E112,HISTORICAL_DATA!$D$2:$D$441,"&lt;="&amp;$F112,HISTORICAL_DATA!$G$2:$G$441,"&lt;&gt;")&lt;3,"",SUMIFS(HISTORICAL_DATA!$G$2:$G$441,HISTORICAL_DATA!$A$2:$A$441,$A112,HISTORICAL_DATA!$D$2:$D$441,"&gt;="&amp;$E112,HISTORICAL_DATA!$D$2:$D$441,"&lt;="&amp;$F112)/3)</f>
        <v/>
      </c>
      <c r="I112" s="31" t="str">
        <f>IF(OR(G112="",H112=""),"FACILITY DATA MISSING",IF(AND(COUNTIFS($C$2:$C$221,C112,$D$2:$D$221,D112,$G$2:$G$221,"&lt;&gt;")=COUNTIF(OFFICIAL_ALLOCATIONS!$C$2:$C$111,C112),COUNTIFS($C$2:$C$221,C112,$D$2:$D$221,D112,$H$2:$H$221,"&lt;&gt;")=COUNTIF(OFFICIAL_ALLOCATIONS!$C$2:$C$111,C112)),"COMPLETE","SECTOR DATA INCOMPLETE"))</f>
        <v>FACILITY DATA MISSING</v>
      </c>
      <c r="J112" s="31" t="str">
        <f t="shared" si="3"/>
        <v/>
      </c>
      <c r="K112" s="62" t="str">
        <f>IF(COUNTIFS(POLICY_PARAMETERS!$B$2:$B$13,"g",POLICY_PARAMETERS!$E$2:$E$13,C112,POLICY_PARAMETERS!$F$2:$F$13,D112,POLICY_PARAMETERS!$G$2:$G$13,"&lt;&gt;")=0,"",SUMIFS(POLICY_PARAMETERS!$G$2:$G$13,POLICY_PARAMETERS!$B$2:$B$13,"g",POLICY_PARAMETERS!$E$2:$E$13,C112,POLICY_PARAMETERS!$F$2:$F$13,D112))</f>
        <v/>
      </c>
      <c r="L112" s="62" t="str">
        <f>IF(COUNTIFS(POLICY_PARAMETERS!$B$2:$B$13,"r",POLICY_PARAMETERS!$E$2:$E$13,C112,POLICY_PARAMETERS!$F$2:$F$13,D112,POLICY_PARAMETERS!$G$2:$G$13,"&lt;&gt;")=0,"",SUMIFS(POLICY_PARAMETERS!$G$2:$G$13,POLICY_PARAMETERS!$B$2:$B$13,"r",POLICY_PARAMETERS!$E$2:$E$13,C112,POLICY_PARAMETERS!$F$2:$F$13,D112))</f>
        <v/>
      </c>
      <c r="M112" s="61" t="str">
        <f t="shared" si="4"/>
        <v/>
      </c>
      <c r="N112" s="56" t="str">
        <f t="shared" si="5"/>
        <v/>
      </c>
      <c r="O112" s="26">
        <f>IF(D112=2025,IFERROR(VLOOKUP(A112,OFFICIAL_ALLOCATIONS!$A$2:$F$111,5,FALSE),""),IFERROR(VLOOKUP(A112,OFFICIAL_ALLOCATIONS!$A$2:$F$111,6,FALSE),""))</f>
        <v>11961</v>
      </c>
      <c r="P112" s="42" t="str">
        <f t="shared" si="6"/>
        <v/>
      </c>
      <c r="Q112" s="28" t="str">
        <f t="shared" si="7"/>
        <v/>
      </c>
      <c r="R112" s="5" t="str">
        <f t="shared" si="8"/>
        <v>MISSING HISTORICAL DATA</v>
      </c>
      <c r="S112" s="5" t="s">
        <v>179</v>
      </c>
      <c r="T112" s="5" t="s">
        <v>59</v>
      </c>
    </row>
    <row r="113" ht="15.75" customHeight="1">
      <c r="A113" s="5" t="s">
        <v>1028</v>
      </c>
      <c r="B113" s="5" t="s">
        <v>308</v>
      </c>
      <c r="C113" s="5" t="s">
        <v>108</v>
      </c>
      <c r="D113" s="5">
        <v>2026.0</v>
      </c>
      <c r="E113" s="5">
        <f t="shared" si="1"/>
        <v>2023</v>
      </c>
      <c r="F113" s="8">
        <f t="shared" si="2"/>
        <v>2025</v>
      </c>
      <c r="G113" s="31" t="str">
        <f>IF(COUNTIFS(HISTORICAL_DATA!$A$2:$A$441,$A113,HISTORICAL_DATA!$D$2:$D$441,"&gt;="&amp;$E113,HISTORICAL_DATA!$D$2:$D$441,"&lt;="&amp;$F113,HISTORICAL_DATA!$E$2:$E$441,"&lt;&gt;")&lt;3,"",SUMIFS(HISTORICAL_DATA!$E$2:$E$441,HISTORICAL_DATA!$A$2:$A$441,$A113,HISTORICAL_DATA!$D$2:$D$441,"&gt;="&amp;$E113,HISTORICAL_DATA!$D$2:$D$441,"&lt;="&amp;$F113)/3)</f>
        <v/>
      </c>
      <c r="H113" s="31" t="str">
        <f>IF(COUNTIFS(HISTORICAL_DATA!$A$2:$A$441,$A113,HISTORICAL_DATA!$D$2:$D$441,"&gt;="&amp;$E113,HISTORICAL_DATA!$D$2:$D$441,"&lt;="&amp;$F113,HISTORICAL_DATA!$G$2:$G$441,"&lt;&gt;")&lt;3,"",SUMIFS(HISTORICAL_DATA!$G$2:$G$441,HISTORICAL_DATA!$A$2:$A$441,$A113,HISTORICAL_DATA!$D$2:$D$441,"&gt;="&amp;$E113,HISTORICAL_DATA!$D$2:$D$441,"&lt;="&amp;$F113)/3)</f>
        <v/>
      </c>
      <c r="I113" s="31" t="str">
        <f>IF(OR(G113="",H113=""),"FACILITY DATA MISSING",IF(AND(COUNTIFS($C$2:$C$221,C113,$D$2:$D$221,D113,$G$2:$G$221,"&lt;&gt;")=COUNTIF(OFFICIAL_ALLOCATIONS!$C$2:$C$111,C113),COUNTIFS($C$2:$C$221,C113,$D$2:$D$221,D113,$H$2:$H$221,"&lt;&gt;")=COUNTIF(OFFICIAL_ALLOCATIONS!$C$2:$C$111,C113)),"COMPLETE","SECTOR DATA INCOMPLETE"))</f>
        <v>FACILITY DATA MISSING</v>
      </c>
      <c r="J113" s="31" t="str">
        <f t="shared" si="3"/>
        <v/>
      </c>
      <c r="K113" s="62" t="str">
        <f>IF(COUNTIFS(POLICY_PARAMETERS!$B$2:$B$13,"g",POLICY_PARAMETERS!$E$2:$E$13,C113,POLICY_PARAMETERS!$F$2:$F$13,D113,POLICY_PARAMETERS!$G$2:$G$13,"&lt;&gt;")=0,"",SUMIFS(POLICY_PARAMETERS!$G$2:$G$13,POLICY_PARAMETERS!$B$2:$B$13,"g",POLICY_PARAMETERS!$E$2:$E$13,C113,POLICY_PARAMETERS!$F$2:$F$13,D113))</f>
        <v/>
      </c>
      <c r="L113" s="62" t="str">
        <f>IF(COUNTIFS(POLICY_PARAMETERS!$B$2:$B$13,"r",POLICY_PARAMETERS!$E$2:$E$13,C113,POLICY_PARAMETERS!$F$2:$F$13,D113,POLICY_PARAMETERS!$G$2:$G$13,"&lt;&gt;")=0,"",SUMIFS(POLICY_PARAMETERS!$G$2:$G$13,POLICY_PARAMETERS!$B$2:$B$13,"r",POLICY_PARAMETERS!$E$2:$E$13,C113,POLICY_PARAMETERS!$F$2:$F$13,D113))</f>
        <v/>
      </c>
      <c r="M113" s="61" t="str">
        <f t="shared" si="4"/>
        <v/>
      </c>
      <c r="N113" s="56" t="str">
        <f t="shared" si="5"/>
        <v/>
      </c>
      <c r="O113" s="26">
        <f>IF(D113=2025,IFERROR(VLOOKUP(A113,OFFICIAL_ALLOCATIONS!$A$2:$F$111,5,FALSE),""),IFERROR(VLOOKUP(A113,OFFICIAL_ALLOCATIONS!$A$2:$F$111,6,FALSE),""))</f>
        <v>13944</v>
      </c>
      <c r="P113" s="42" t="str">
        <f t="shared" si="6"/>
        <v/>
      </c>
      <c r="Q113" s="28" t="str">
        <f t="shared" si="7"/>
        <v/>
      </c>
      <c r="R113" s="5" t="str">
        <f t="shared" si="8"/>
        <v>MISSING HISTORICAL DATA</v>
      </c>
      <c r="S113" s="5" t="s">
        <v>179</v>
      </c>
      <c r="T113" s="5" t="s">
        <v>59</v>
      </c>
    </row>
    <row r="114" ht="15.75" customHeight="1">
      <c r="A114" s="5" t="s">
        <v>1029</v>
      </c>
      <c r="B114" s="5" t="s">
        <v>325</v>
      </c>
      <c r="C114" s="5" t="s">
        <v>108</v>
      </c>
      <c r="D114" s="5">
        <v>2025.0</v>
      </c>
      <c r="E114" s="5">
        <f t="shared" si="1"/>
        <v>2022</v>
      </c>
      <c r="F114" s="8">
        <f t="shared" si="2"/>
        <v>2024</v>
      </c>
      <c r="G114" s="31" t="str">
        <f>IF(COUNTIFS(HISTORICAL_DATA!$A$2:$A$441,$A114,HISTORICAL_DATA!$D$2:$D$441,"&gt;="&amp;$E114,HISTORICAL_DATA!$D$2:$D$441,"&lt;="&amp;$F114,HISTORICAL_DATA!$E$2:$E$441,"&lt;&gt;")&lt;3,"",SUMIFS(HISTORICAL_DATA!$E$2:$E$441,HISTORICAL_DATA!$A$2:$A$441,$A114,HISTORICAL_DATA!$D$2:$D$441,"&gt;="&amp;$E114,HISTORICAL_DATA!$D$2:$D$441,"&lt;="&amp;$F114)/3)</f>
        <v/>
      </c>
      <c r="H114" s="31" t="str">
        <f>IF(COUNTIFS(HISTORICAL_DATA!$A$2:$A$441,$A114,HISTORICAL_DATA!$D$2:$D$441,"&gt;="&amp;$E114,HISTORICAL_DATA!$D$2:$D$441,"&lt;="&amp;$F114,HISTORICAL_DATA!$G$2:$G$441,"&lt;&gt;")&lt;3,"",SUMIFS(HISTORICAL_DATA!$G$2:$G$441,HISTORICAL_DATA!$A$2:$A$441,$A114,HISTORICAL_DATA!$D$2:$D$441,"&gt;="&amp;$E114,HISTORICAL_DATA!$D$2:$D$441,"&lt;="&amp;$F114)/3)</f>
        <v/>
      </c>
      <c r="I114" s="31" t="str">
        <f>IF(OR(G114="",H114=""),"FACILITY DATA MISSING",IF(AND(COUNTIFS($C$2:$C$221,C114,$D$2:$D$221,D114,$G$2:$G$221,"&lt;&gt;")=COUNTIF(OFFICIAL_ALLOCATIONS!$C$2:$C$111,C114),COUNTIFS($C$2:$C$221,C114,$D$2:$D$221,D114,$H$2:$H$221,"&lt;&gt;")=COUNTIF(OFFICIAL_ALLOCATIONS!$C$2:$C$111,C114)),"COMPLETE","SECTOR DATA INCOMPLETE"))</f>
        <v>FACILITY DATA MISSING</v>
      </c>
      <c r="J114" s="31" t="str">
        <f t="shared" si="3"/>
        <v/>
      </c>
      <c r="K114" s="62" t="str">
        <f>IF(COUNTIFS(POLICY_PARAMETERS!$B$2:$B$13,"g",POLICY_PARAMETERS!$E$2:$E$13,C114,POLICY_PARAMETERS!$F$2:$F$13,D114,POLICY_PARAMETERS!$G$2:$G$13,"&lt;&gt;")=0,"",SUMIFS(POLICY_PARAMETERS!$G$2:$G$13,POLICY_PARAMETERS!$B$2:$B$13,"g",POLICY_PARAMETERS!$E$2:$E$13,C114,POLICY_PARAMETERS!$F$2:$F$13,D114))</f>
        <v/>
      </c>
      <c r="L114" s="62" t="str">
        <f>IF(COUNTIFS(POLICY_PARAMETERS!$B$2:$B$13,"r",POLICY_PARAMETERS!$E$2:$E$13,C114,POLICY_PARAMETERS!$F$2:$F$13,D114,POLICY_PARAMETERS!$G$2:$G$13,"&lt;&gt;")=0,"",SUMIFS(POLICY_PARAMETERS!$G$2:$G$13,POLICY_PARAMETERS!$B$2:$B$13,"r",POLICY_PARAMETERS!$E$2:$E$13,C114,POLICY_PARAMETERS!$F$2:$F$13,D114))</f>
        <v/>
      </c>
      <c r="M114" s="61" t="str">
        <f t="shared" si="4"/>
        <v/>
      </c>
      <c r="N114" s="56" t="str">
        <f t="shared" si="5"/>
        <v/>
      </c>
      <c r="O114" s="26">
        <f>IF(D114=2025,IFERROR(VLOOKUP(A114,OFFICIAL_ALLOCATIONS!$A$2:$F$111,5,FALSE),""),IFERROR(VLOOKUP(A114,OFFICIAL_ALLOCATIONS!$A$2:$F$111,6,FALSE),""))</f>
        <v>15530</v>
      </c>
      <c r="P114" s="42" t="str">
        <f t="shared" si="6"/>
        <v/>
      </c>
      <c r="Q114" s="28" t="str">
        <f t="shared" si="7"/>
        <v/>
      </c>
      <c r="R114" s="5" t="str">
        <f t="shared" si="8"/>
        <v>MISSING HISTORICAL DATA</v>
      </c>
      <c r="S114" s="5" t="s">
        <v>179</v>
      </c>
      <c r="T114" s="5" t="s">
        <v>59</v>
      </c>
    </row>
    <row r="115" ht="15.75" customHeight="1">
      <c r="A115" s="5" t="s">
        <v>1029</v>
      </c>
      <c r="B115" s="5" t="s">
        <v>325</v>
      </c>
      <c r="C115" s="5" t="s">
        <v>108</v>
      </c>
      <c r="D115" s="5">
        <v>2026.0</v>
      </c>
      <c r="E115" s="5">
        <f t="shared" si="1"/>
        <v>2023</v>
      </c>
      <c r="F115" s="8">
        <f t="shared" si="2"/>
        <v>2025</v>
      </c>
      <c r="G115" s="31" t="str">
        <f>IF(COUNTIFS(HISTORICAL_DATA!$A$2:$A$441,$A115,HISTORICAL_DATA!$D$2:$D$441,"&gt;="&amp;$E115,HISTORICAL_DATA!$D$2:$D$441,"&lt;="&amp;$F115,HISTORICAL_DATA!$E$2:$E$441,"&lt;&gt;")&lt;3,"",SUMIFS(HISTORICAL_DATA!$E$2:$E$441,HISTORICAL_DATA!$A$2:$A$441,$A115,HISTORICAL_DATA!$D$2:$D$441,"&gt;="&amp;$E115,HISTORICAL_DATA!$D$2:$D$441,"&lt;="&amp;$F115)/3)</f>
        <v/>
      </c>
      <c r="H115" s="31" t="str">
        <f>IF(COUNTIFS(HISTORICAL_DATA!$A$2:$A$441,$A115,HISTORICAL_DATA!$D$2:$D$441,"&gt;="&amp;$E115,HISTORICAL_DATA!$D$2:$D$441,"&lt;="&amp;$F115,HISTORICAL_DATA!$G$2:$G$441,"&lt;&gt;")&lt;3,"",SUMIFS(HISTORICAL_DATA!$G$2:$G$441,HISTORICAL_DATA!$A$2:$A$441,$A115,HISTORICAL_DATA!$D$2:$D$441,"&gt;="&amp;$E115,HISTORICAL_DATA!$D$2:$D$441,"&lt;="&amp;$F115)/3)</f>
        <v/>
      </c>
      <c r="I115" s="31" t="str">
        <f>IF(OR(G115="",H115=""),"FACILITY DATA MISSING",IF(AND(COUNTIFS($C$2:$C$221,C115,$D$2:$D$221,D115,$G$2:$G$221,"&lt;&gt;")=COUNTIF(OFFICIAL_ALLOCATIONS!$C$2:$C$111,C115),COUNTIFS($C$2:$C$221,C115,$D$2:$D$221,D115,$H$2:$H$221,"&lt;&gt;")=COUNTIF(OFFICIAL_ALLOCATIONS!$C$2:$C$111,C115)),"COMPLETE","SECTOR DATA INCOMPLETE"))</f>
        <v>FACILITY DATA MISSING</v>
      </c>
      <c r="J115" s="31" t="str">
        <f t="shared" si="3"/>
        <v/>
      </c>
      <c r="K115" s="62" t="str">
        <f>IF(COUNTIFS(POLICY_PARAMETERS!$B$2:$B$13,"g",POLICY_PARAMETERS!$E$2:$E$13,C115,POLICY_PARAMETERS!$F$2:$F$13,D115,POLICY_PARAMETERS!$G$2:$G$13,"&lt;&gt;")=0,"",SUMIFS(POLICY_PARAMETERS!$G$2:$G$13,POLICY_PARAMETERS!$B$2:$B$13,"g",POLICY_PARAMETERS!$E$2:$E$13,C115,POLICY_PARAMETERS!$F$2:$F$13,D115))</f>
        <v/>
      </c>
      <c r="L115" s="62" t="str">
        <f>IF(COUNTIFS(POLICY_PARAMETERS!$B$2:$B$13,"r",POLICY_PARAMETERS!$E$2:$E$13,C115,POLICY_PARAMETERS!$F$2:$F$13,D115,POLICY_PARAMETERS!$G$2:$G$13,"&lt;&gt;")=0,"",SUMIFS(POLICY_PARAMETERS!$G$2:$G$13,POLICY_PARAMETERS!$B$2:$B$13,"r",POLICY_PARAMETERS!$E$2:$E$13,C115,POLICY_PARAMETERS!$F$2:$F$13,D115))</f>
        <v/>
      </c>
      <c r="M115" s="61" t="str">
        <f t="shared" si="4"/>
        <v/>
      </c>
      <c r="N115" s="56" t="str">
        <f t="shared" si="5"/>
        <v/>
      </c>
      <c r="O115" s="26">
        <f>IF(D115=2025,IFERROR(VLOOKUP(A115,OFFICIAL_ALLOCATIONS!$A$2:$F$111,5,FALSE),""),IFERROR(VLOOKUP(A115,OFFICIAL_ALLOCATIONS!$A$2:$F$111,6,FALSE),""))</f>
        <v>18105</v>
      </c>
      <c r="P115" s="42" t="str">
        <f t="shared" si="6"/>
        <v/>
      </c>
      <c r="Q115" s="28" t="str">
        <f t="shared" si="7"/>
        <v/>
      </c>
      <c r="R115" s="5" t="str">
        <f t="shared" si="8"/>
        <v>MISSING HISTORICAL DATA</v>
      </c>
      <c r="S115" s="5" t="s">
        <v>179</v>
      </c>
      <c r="T115" s="5" t="s">
        <v>59</v>
      </c>
    </row>
    <row r="116" ht="15.75" customHeight="1">
      <c r="A116" s="5" t="s">
        <v>1030</v>
      </c>
      <c r="B116" s="5" t="s">
        <v>334</v>
      </c>
      <c r="C116" s="5" t="s">
        <v>108</v>
      </c>
      <c r="D116" s="5">
        <v>2025.0</v>
      </c>
      <c r="E116" s="5">
        <f t="shared" si="1"/>
        <v>2022</v>
      </c>
      <c r="F116" s="8">
        <f t="shared" si="2"/>
        <v>2024</v>
      </c>
      <c r="G116" s="31" t="str">
        <f>IF(COUNTIFS(HISTORICAL_DATA!$A$2:$A$441,$A116,HISTORICAL_DATA!$D$2:$D$441,"&gt;="&amp;$E116,HISTORICAL_DATA!$D$2:$D$441,"&lt;="&amp;$F116,HISTORICAL_DATA!$E$2:$E$441,"&lt;&gt;")&lt;3,"",SUMIFS(HISTORICAL_DATA!$E$2:$E$441,HISTORICAL_DATA!$A$2:$A$441,$A116,HISTORICAL_DATA!$D$2:$D$441,"&gt;="&amp;$E116,HISTORICAL_DATA!$D$2:$D$441,"&lt;="&amp;$F116)/3)</f>
        <v/>
      </c>
      <c r="H116" s="31" t="str">
        <f>IF(COUNTIFS(HISTORICAL_DATA!$A$2:$A$441,$A116,HISTORICAL_DATA!$D$2:$D$441,"&gt;="&amp;$E116,HISTORICAL_DATA!$D$2:$D$441,"&lt;="&amp;$F116,HISTORICAL_DATA!$G$2:$G$441,"&lt;&gt;")&lt;3,"",SUMIFS(HISTORICAL_DATA!$G$2:$G$441,HISTORICAL_DATA!$A$2:$A$441,$A116,HISTORICAL_DATA!$D$2:$D$441,"&gt;="&amp;$E116,HISTORICAL_DATA!$D$2:$D$441,"&lt;="&amp;$F116)/3)</f>
        <v/>
      </c>
      <c r="I116" s="31" t="str">
        <f>IF(OR(G116="",H116=""),"FACILITY DATA MISSING",IF(AND(COUNTIFS($C$2:$C$221,C116,$D$2:$D$221,D116,$G$2:$G$221,"&lt;&gt;")=COUNTIF(OFFICIAL_ALLOCATIONS!$C$2:$C$111,C116),COUNTIFS($C$2:$C$221,C116,$D$2:$D$221,D116,$H$2:$H$221,"&lt;&gt;")=COUNTIF(OFFICIAL_ALLOCATIONS!$C$2:$C$111,C116)),"COMPLETE","SECTOR DATA INCOMPLETE"))</f>
        <v>FACILITY DATA MISSING</v>
      </c>
      <c r="J116" s="31" t="str">
        <f t="shared" si="3"/>
        <v/>
      </c>
      <c r="K116" s="62" t="str">
        <f>IF(COUNTIFS(POLICY_PARAMETERS!$B$2:$B$13,"g",POLICY_PARAMETERS!$E$2:$E$13,C116,POLICY_PARAMETERS!$F$2:$F$13,D116,POLICY_PARAMETERS!$G$2:$G$13,"&lt;&gt;")=0,"",SUMIFS(POLICY_PARAMETERS!$G$2:$G$13,POLICY_PARAMETERS!$B$2:$B$13,"g",POLICY_PARAMETERS!$E$2:$E$13,C116,POLICY_PARAMETERS!$F$2:$F$13,D116))</f>
        <v/>
      </c>
      <c r="L116" s="62" t="str">
        <f>IF(COUNTIFS(POLICY_PARAMETERS!$B$2:$B$13,"r",POLICY_PARAMETERS!$E$2:$E$13,C116,POLICY_PARAMETERS!$F$2:$F$13,D116,POLICY_PARAMETERS!$G$2:$G$13,"&lt;&gt;")=0,"",SUMIFS(POLICY_PARAMETERS!$G$2:$G$13,POLICY_PARAMETERS!$B$2:$B$13,"r",POLICY_PARAMETERS!$E$2:$E$13,C116,POLICY_PARAMETERS!$F$2:$F$13,D116))</f>
        <v/>
      </c>
      <c r="M116" s="61" t="str">
        <f t="shared" si="4"/>
        <v/>
      </c>
      <c r="N116" s="56" t="str">
        <f t="shared" si="5"/>
        <v/>
      </c>
      <c r="O116" s="26">
        <f>IF(D116=2025,IFERROR(VLOOKUP(A116,OFFICIAL_ALLOCATIONS!$A$2:$F$111,5,FALSE),""),IFERROR(VLOOKUP(A116,OFFICIAL_ALLOCATIONS!$A$2:$F$111,6,FALSE),""))</f>
        <v>2893</v>
      </c>
      <c r="P116" s="42" t="str">
        <f t="shared" si="6"/>
        <v/>
      </c>
      <c r="Q116" s="28" t="str">
        <f t="shared" si="7"/>
        <v/>
      </c>
      <c r="R116" s="5" t="str">
        <f t="shared" si="8"/>
        <v>MISSING HISTORICAL DATA</v>
      </c>
      <c r="S116" s="5" t="s">
        <v>179</v>
      </c>
      <c r="T116" s="5" t="s">
        <v>59</v>
      </c>
    </row>
    <row r="117" ht="15.75" customHeight="1">
      <c r="A117" s="5" t="s">
        <v>1030</v>
      </c>
      <c r="B117" s="5" t="s">
        <v>334</v>
      </c>
      <c r="C117" s="5" t="s">
        <v>108</v>
      </c>
      <c r="D117" s="5">
        <v>2026.0</v>
      </c>
      <c r="E117" s="5">
        <f t="shared" si="1"/>
        <v>2023</v>
      </c>
      <c r="F117" s="8">
        <f t="shared" si="2"/>
        <v>2025</v>
      </c>
      <c r="G117" s="31" t="str">
        <f>IF(COUNTIFS(HISTORICAL_DATA!$A$2:$A$441,$A117,HISTORICAL_DATA!$D$2:$D$441,"&gt;="&amp;$E117,HISTORICAL_DATA!$D$2:$D$441,"&lt;="&amp;$F117,HISTORICAL_DATA!$E$2:$E$441,"&lt;&gt;")&lt;3,"",SUMIFS(HISTORICAL_DATA!$E$2:$E$441,HISTORICAL_DATA!$A$2:$A$441,$A117,HISTORICAL_DATA!$D$2:$D$441,"&gt;="&amp;$E117,HISTORICAL_DATA!$D$2:$D$441,"&lt;="&amp;$F117)/3)</f>
        <v/>
      </c>
      <c r="H117" s="31" t="str">
        <f>IF(COUNTIFS(HISTORICAL_DATA!$A$2:$A$441,$A117,HISTORICAL_DATA!$D$2:$D$441,"&gt;="&amp;$E117,HISTORICAL_DATA!$D$2:$D$441,"&lt;="&amp;$F117,HISTORICAL_DATA!$G$2:$G$441,"&lt;&gt;")&lt;3,"",SUMIFS(HISTORICAL_DATA!$G$2:$G$441,HISTORICAL_DATA!$A$2:$A$441,$A117,HISTORICAL_DATA!$D$2:$D$441,"&gt;="&amp;$E117,HISTORICAL_DATA!$D$2:$D$441,"&lt;="&amp;$F117)/3)</f>
        <v/>
      </c>
      <c r="I117" s="31" t="str">
        <f>IF(OR(G117="",H117=""),"FACILITY DATA MISSING",IF(AND(COUNTIFS($C$2:$C$221,C117,$D$2:$D$221,D117,$G$2:$G$221,"&lt;&gt;")=COUNTIF(OFFICIAL_ALLOCATIONS!$C$2:$C$111,C117),COUNTIFS($C$2:$C$221,C117,$D$2:$D$221,D117,$H$2:$H$221,"&lt;&gt;")=COUNTIF(OFFICIAL_ALLOCATIONS!$C$2:$C$111,C117)),"COMPLETE","SECTOR DATA INCOMPLETE"))</f>
        <v>FACILITY DATA MISSING</v>
      </c>
      <c r="J117" s="31" t="str">
        <f t="shared" si="3"/>
        <v/>
      </c>
      <c r="K117" s="62" t="str">
        <f>IF(COUNTIFS(POLICY_PARAMETERS!$B$2:$B$13,"g",POLICY_PARAMETERS!$E$2:$E$13,C117,POLICY_PARAMETERS!$F$2:$F$13,D117,POLICY_PARAMETERS!$G$2:$G$13,"&lt;&gt;")=0,"",SUMIFS(POLICY_PARAMETERS!$G$2:$G$13,POLICY_PARAMETERS!$B$2:$B$13,"g",POLICY_PARAMETERS!$E$2:$E$13,C117,POLICY_PARAMETERS!$F$2:$F$13,D117))</f>
        <v/>
      </c>
      <c r="L117" s="62" t="str">
        <f>IF(COUNTIFS(POLICY_PARAMETERS!$B$2:$B$13,"r",POLICY_PARAMETERS!$E$2:$E$13,C117,POLICY_PARAMETERS!$F$2:$F$13,D117,POLICY_PARAMETERS!$G$2:$G$13,"&lt;&gt;")=0,"",SUMIFS(POLICY_PARAMETERS!$G$2:$G$13,POLICY_PARAMETERS!$B$2:$B$13,"r",POLICY_PARAMETERS!$E$2:$E$13,C117,POLICY_PARAMETERS!$F$2:$F$13,D117))</f>
        <v/>
      </c>
      <c r="M117" s="61" t="str">
        <f t="shared" si="4"/>
        <v/>
      </c>
      <c r="N117" s="56" t="str">
        <f t="shared" si="5"/>
        <v/>
      </c>
      <c r="O117" s="26">
        <f>IF(D117=2025,IFERROR(VLOOKUP(A117,OFFICIAL_ALLOCATIONS!$A$2:$F$111,5,FALSE),""),IFERROR(VLOOKUP(A117,OFFICIAL_ALLOCATIONS!$A$2:$F$111,6,FALSE),""))</f>
        <v>3372</v>
      </c>
      <c r="P117" s="42" t="str">
        <f t="shared" si="6"/>
        <v/>
      </c>
      <c r="Q117" s="28" t="str">
        <f t="shared" si="7"/>
        <v/>
      </c>
      <c r="R117" s="5" t="str">
        <f t="shared" si="8"/>
        <v>MISSING HISTORICAL DATA</v>
      </c>
      <c r="S117" s="5" t="s">
        <v>179</v>
      </c>
      <c r="T117" s="5" t="s">
        <v>59</v>
      </c>
    </row>
    <row r="118" ht="15.75" customHeight="1">
      <c r="A118" s="5" t="s">
        <v>1031</v>
      </c>
      <c r="B118" s="5" t="s">
        <v>337</v>
      </c>
      <c r="C118" s="5" t="s">
        <v>108</v>
      </c>
      <c r="D118" s="5">
        <v>2025.0</v>
      </c>
      <c r="E118" s="5">
        <f t="shared" si="1"/>
        <v>2022</v>
      </c>
      <c r="F118" s="8">
        <f t="shared" si="2"/>
        <v>2024</v>
      </c>
      <c r="G118" s="31" t="str">
        <f>IF(COUNTIFS(HISTORICAL_DATA!$A$2:$A$441,$A118,HISTORICAL_DATA!$D$2:$D$441,"&gt;="&amp;$E118,HISTORICAL_DATA!$D$2:$D$441,"&lt;="&amp;$F118,HISTORICAL_DATA!$E$2:$E$441,"&lt;&gt;")&lt;3,"",SUMIFS(HISTORICAL_DATA!$E$2:$E$441,HISTORICAL_DATA!$A$2:$A$441,$A118,HISTORICAL_DATA!$D$2:$D$441,"&gt;="&amp;$E118,HISTORICAL_DATA!$D$2:$D$441,"&lt;="&amp;$F118)/3)</f>
        <v/>
      </c>
      <c r="H118" s="31" t="str">
        <f>IF(COUNTIFS(HISTORICAL_DATA!$A$2:$A$441,$A118,HISTORICAL_DATA!$D$2:$D$441,"&gt;="&amp;$E118,HISTORICAL_DATA!$D$2:$D$441,"&lt;="&amp;$F118,HISTORICAL_DATA!$G$2:$G$441,"&lt;&gt;")&lt;3,"",SUMIFS(HISTORICAL_DATA!$G$2:$G$441,HISTORICAL_DATA!$A$2:$A$441,$A118,HISTORICAL_DATA!$D$2:$D$441,"&gt;="&amp;$E118,HISTORICAL_DATA!$D$2:$D$441,"&lt;="&amp;$F118)/3)</f>
        <v/>
      </c>
      <c r="I118" s="31" t="str">
        <f>IF(OR(G118="",H118=""),"FACILITY DATA MISSING",IF(AND(COUNTIFS($C$2:$C$221,C118,$D$2:$D$221,D118,$G$2:$G$221,"&lt;&gt;")=COUNTIF(OFFICIAL_ALLOCATIONS!$C$2:$C$111,C118),COUNTIFS($C$2:$C$221,C118,$D$2:$D$221,D118,$H$2:$H$221,"&lt;&gt;")=COUNTIF(OFFICIAL_ALLOCATIONS!$C$2:$C$111,C118)),"COMPLETE","SECTOR DATA INCOMPLETE"))</f>
        <v>FACILITY DATA MISSING</v>
      </c>
      <c r="J118" s="31" t="str">
        <f t="shared" si="3"/>
        <v/>
      </c>
      <c r="K118" s="62" t="str">
        <f>IF(COUNTIFS(POLICY_PARAMETERS!$B$2:$B$13,"g",POLICY_PARAMETERS!$E$2:$E$13,C118,POLICY_PARAMETERS!$F$2:$F$13,D118,POLICY_PARAMETERS!$G$2:$G$13,"&lt;&gt;")=0,"",SUMIFS(POLICY_PARAMETERS!$G$2:$G$13,POLICY_PARAMETERS!$B$2:$B$13,"g",POLICY_PARAMETERS!$E$2:$E$13,C118,POLICY_PARAMETERS!$F$2:$F$13,D118))</f>
        <v/>
      </c>
      <c r="L118" s="62" t="str">
        <f>IF(COUNTIFS(POLICY_PARAMETERS!$B$2:$B$13,"r",POLICY_PARAMETERS!$E$2:$E$13,C118,POLICY_PARAMETERS!$F$2:$F$13,D118,POLICY_PARAMETERS!$G$2:$G$13,"&lt;&gt;")=0,"",SUMIFS(POLICY_PARAMETERS!$G$2:$G$13,POLICY_PARAMETERS!$B$2:$B$13,"r",POLICY_PARAMETERS!$E$2:$E$13,C118,POLICY_PARAMETERS!$F$2:$F$13,D118))</f>
        <v/>
      </c>
      <c r="M118" s="61" t="str">
        <f t="shared" si="4"/>
        <v/>
      </c>
      <c r="N118" s="56" t="str">
        <f t="shared" si="5"/>
        <v/>
      </c>
      <c r="O118" s="26">
        <f>IF(D118=2025,IFERROR(VLOOKUP(A118,OFFICIAL_ALLOCATIONS!$A$2:$F$111,5,FALSE),""),IFERROR(VLOOKUP(A118,OFFICIAL_ALLOCATIONS!$A$2:$F$111,6,FALSE),""))</f>
        <v>236403</v>
      </c>
      <c r="P118" s="42" t="str">
        <f t="shared" si="6"/>
        <v/>
      </c>
      <c r="Q118" s="28" t="str">
        <f t="shared" si="7"/>
        <v/>
      </c>
      <c r="R118" s="5" t="str">
        <f t="shared" si="8"/>
        <v>MISSING HISTORICAL DATA</v>
      </c>
      <c r="S118" s="5" t="s">
        <v>179</v>
      </c>
      <c r="T118" s="5" t="s">
        <v>59</v>
      </c>
    </row>
    <row r="119" ht="15.75" customHeight="1">
      <c r="A119" s="5" t="s">
        <v>1031</v>
      </c>
      <c r="B119" s="5" t="s">
        <v>337</v>
      </c>
      <c r="C119" s="5" t="s">
        <v>108</v>
      </c>
      <c r="D119" s="5">
        <v>2026.0</v>
      </c>
      <c r="E119" s="5">
        <f t="shared" si="1"/>
        <v>2023</v>
      </c>
      <c r="F119" s="8">
        <f t="shared" si="2"/>
        <v>2025</v>
      </c>
      <c r="G119" s="31" t="str">
        <f>IF(COUNTIFS(HISTORICAL_DATA!$A$2:$A$441,$A119,HISTORICAL_DATA!$D$2:$D$441,"&gt;="&amp;$E119,HISTORICAL_DATA!$D$2:$D$441,"&lt;="&amp;$F119,HISTORICAL_DATA!$E$2:$E$441,"&lt;&gt;")&lt;3,"",SUMIFS(HISTORICAL_DATA!$E$2:$E$441,HISTORICAL_DATA!$A$2:$A$441,$A119,HISTORICAL_DATA!$D$2:$D$441,"&gt;="&amp;$E119,HISTORICAL_DATA!$D$2:$D$441,"&lt;="&amp;$F119)/3)</f>
        <v/>
      </c>
      <c r="H119" s="31" t="str">
        <f>IF(COUNTIFS(HISTORICAL_DATA!$A$2:$A$441,$A119,HISTORICAL_DATA!$D$2:$D$441,"&gt;="&amp;$E119,HISTORICAL_DATA!$D$2:$D$441,"&lt;="&amp;$F119,HISTORICAL_DATA!$G$2:$G$441,"&lt;&gt;")&lt;3,"",SUMIFS(HISTORICAL_DATA!$G$2:$G$441,HISTORICAL_DATA!$A$2:$A$441,$A119,HISTORICAL_DATA!$D$2:$D$441,"&gt;="&amp;$E119,HISTORICAL_DATA!$D$2:$D$441,"&lt;="&amp;$F119)/3)</f>
        <v/>
      </c>
      <c r="I119" s="31" t="str">
        <f>IF(OR(G119="",H119=""),"FACILITY DATA MISSING",IF(AND(COUNTIFS($C$2:$C$221,C119,$D$2:$D$221,D119,$G$2:$G$221,"&lt;&gt;")=COUNTIF(OFFICIAL_ALLOCATIONS!$C$2:$C$111,C119),COUNTIFS($C$2:$C$221,C119,$D$2:$D$221,D119,$H$2:$H$221,"&lt;&gt;")=COUNTIF(OFFICIAL_ALLOCATIONS!$C$2:$C$111,C119)),"COMPLETE","SECTOR DATA INCOMPLETE"))</f>
        <v>FACILITY DATA MISSING</v>
      </c>
      <c r="J119" s="31" t="str">
        <f t="shared" si="3"/>
        <v/>
      </c>
      <c r="K119" s="62" t="str">
        <f>IF(COUNTIFS(POLICY_PARAMETERS!$B$2:$B$13,"g",POLICY_PARAMETERS!$E$2:$E$13,C119,POLICY_PARAMETERS!$F$2:$F$13,D119,POLICY_PARAMETERS!$G$2:$G$13,"&lt;&gt;")=0,"",SUMIFS(POLICY_PARAMETERS!$G$2:$G$13,POLICY_PARAMETERS!$B$2:$B$13,"g",POLICY_PARAMETERS!$E$2:$E$13,C119,POLICY_PARAMETERS!$F$2:$F$13,D119))</f>
        <v/>
      </c>
      <c r="L119" s="62" t="str">
        <f>IF(COUNTIFS(POLICY_PARAMETERS!$B$2:$B$13,"r",POLICY_PARAMETERS!$E$2:$E$13,C119,POLICY_PARAMETERS!$F$2:$F$13,D119,POLICY_PARAMETERS!$G$2:$G$13,"&lt;&gt;")=0,"",SUMIFS(POLICY_PARAMETERS!$G$2:$G$13,POLICY_PARAMETERS!$B$2:$B$13,"r",POLICY_PARAMETERS!$E$2:$E$13,C119,POLICY_PARAMETERS!$F$2:$F$13,D119))</f>
        <v/>
      </c>
      <c r="M119" s="61" t="str">
        <f t="shared" si="4"/>
        <v/>
      </c>
      <c r="N119" s="56" t="str">
        <f t="shared" si="5"/>
        <v/>
      </c>
      <c r="O119" s="26">
        <f>IF(D119=2025,IFERROR(VLOOKUP(A119,OFFICIAL_ALLOCATIONS!$A$2:$F$111,5,FALSE),""),IFERROR(VLOOKUP(A119,OFFICIAL_ALLOCATIONS!$A$2:$F$111,6,FALSE),""))</f>
        <v>275595</v>
      </c>
      <c r="P119" s="42" t="str">
        <f t="shared" si="6"/>
        <v/>
      </c>
      <c r="Q119" s="28" t="str">
        <f t="shared" si="7"/>
        <v/>
      </c>
      <c r="R119" s="5" t="str">
        <f t="shared" si="8"/>
        <v>MISSING HISTORICAL DATA</v>
      </c>
      <c r="S119" s="5" t="s">
        <v>179</v>
      </c>
      <c r="T119" s="5" t="s">
        <v>59</v>
      </c>
    </row>
    <row r="120" ht="15.75" customHeight="1">
      <c r="A120" s="5" t="s">
        <v>1032</v>
      </c>
      <c r="B120" s="5" t="s">
        <v>339</v>
      </c>
      <c r="C120" s="5" t="s">
        <v>123</v>
      </c>
      <c r="D120" s="5">
        <v>2025.0</v>
      </c>
      <c r="E120" s="5">
        <f t="shared" si="1"/>
        <v>2022</v>
      </c>
      <c r="F120" s="8">
        <f t="shared" si="2"/>
        <v>2024</v>
      </c>
      <c r="G120" s="31" t="str">
        <f>IF(COUNTIFS(HISTORICAL_DATA!$A$2:$A$441,$A120,HISTORICAL_DATA!$D$2:$D$441,"&gt;="&amp;$E120,HISTORICAL_DATA!$D$2:$D$441,"&lt;="&amp;$F120,HISTORICAL_DATA!$E$2:$E$441,"&lt;&gt;")&lt;3,"",SUMIFS(HISTORICAL_DATA!$E$2:$E$441,HISTORICAL_DATA!$A$2:$A$441,$A120,HISTORICAL_DATA!$D$2:$D$441,"&gt;="&amp;$E120,HISTORICAL_DATA!$D$2:$D$441,"&lt;="&amp;$F120)/3)</f>
        <v/>
      </c>
      <c r="H120" s="31" t="str">
        <f>IF(COUNTIFS(HISTORICAL_DATA!$A$2:$A$441,$A120,HISTORICAL_DATA!$D$2:$D$441,"&gt;="&amp;$E120,HISTORICAL_DATA!$D$2:$D$441,"&lt;="&amp;$F120,HISTORICAL_DATA!$G$2:$G$441,"&lt;&gt;")&lt;3,"",SUMIFS(HISTORICAL_DATA!$G$2:$G$441,HISTORICAL_DATA!$A$2:$A$441,$A120,HISTORICAL_DATA!$D$2:$D$441,"&gt;="&amp;$E120,HISTORICAL_DATA!$D$2:$D$441,"&lt;="&amp;$F120)/3)</f>
        <v/>
      </c>
      <c r="I120" s="31" t="str">
        <f>IF(OR(G120="",H120=""),"FACILITY DATA MISSING",IF(AND(COUNTIFS($C$2:$C$221,C120,$D$2:$D$221,D120,$G$2:$G$221,"&lt;&gt;")=COUNTIF(OFFICIAL_ALLOCATIONS!$C$2:$C$111,C120),COUNTIFS($C$2:$C$221,C120,$D$2:$D$221,D120,$H$2:$H$221,"&lt;&gt;")=COUNTIF(OFFICIAL_ALLOCATIONS!$C$2:$C$111,C120)),"COMPLETE","SECTOR DATA INCOMPLETE"))</f>
        <v>FACILITY DATA MISSING</v>
      </c>
      <c r="J120" s="31" t="str">
        <f t="shared" si="3"/>
        <v/>
      </c>
      <c r="K120" s="62" t="str">
        <f>IF(COUNTIFS(POLICY_PARAMETERS!$B$2:$B$13,"g",POLICY_PARAMETERS!$E$2:$E$13,C120,POLICY_PARAMETERS!$F$2:$F$13,D120,POLICY_PARAMETERS!$G$2:$G$13,"&lt;&gt;")=0,"",SUMIFS(POLICY_PARAMETERS!$G$2:$G$13,POLICY_PARAMETERS!$B$2:$B$13,"g",POLICY_PARAMETERS!$E$2:$E$13,C120,POLICY_PARAMETERS!$F$2:$F$13,D120))</f>
        <v/>
      </c>
      <c r="L120" s="62" t="str">
        <f>IF(COUNTIFS(POLICY_PARAMETERS!$B$2:$B$13,"r",POLICY_PARAMETERS!$E$2:$E$13,C120,POLICY_PARAMETERS!$F$2:$F$13,D120,POLICY_PARAMETERS!$G$2:$G$13,"&lt;&gt;")=0,"",SUMIFS(POLICY_PARAMETERS!$G$2:$G$13,POLICY_PARAMETERS!$B$2:$B$13,"r",POLICY_PARAMETERS!$E$2:$E$13,C120,POLICY_PARAMETERS!$F$2:$F$13,D120))</f>
        <v/>
      </c>
      <c r="M120" s="61" t="str">
        <f t="shared" si="4"/>
        <v/>
      </c>
      <c r="N120" s="56" t="str">
        <f t="shared" si="5"/>
        <v/>
      </c>
      <c r="O120" s="26">
        <f>IF(D120=2025,IFERROR(VLOOKUP(A120,OFFICIAL_ALLOCATIONS!$A$2:$F$111,5,FALSE),""),IFERROR(VLOOKUP(A120,OFFICIAL_ALLOCATIONS!$A$2:$F$111,6,FALSE),""))</f>
        <v>109943</v>
      </c>
      <c r="P120" s="42" t="str">
        <f t="shared" si="6"/>
        <v/>
      </c>
      <c r="Q120" s="28" t="str">
        <f t="shared" si="7"/>
        <v/>
      </c>
      <c r="R120" s="5" t="str">
        <f t="shared" si="8"/>
        <v>MISSING HISTORICAL DATA</v>
      </c>
      <c r="S120" s="5" t="s">
        <v>179</v>
      </c>
      <c r="T120" s="5" t="s">
        <v>59</v>
      </c>
    </row>
    <row r="121" ht="15.75" customHeight="1">
      <c r="A121" s="5" t="s">
        <v>1032</v>
      </c>
      <c r="B121" s="5" t="s">
        <v>339</v>
      </c>
      <c r="C121" s="5" t="s">
        <v>123</v>
      </c>
      <c r="D121" s="5">
        <v>2026.0</v>
      </c>
      <c r="E121" s="5">
        <f t="shared" si="1"/>
        <v>2023</v>
      </c>
      <c r="F121" s="8">
        <f t="shared" si="2"/>
        <v>2025</v>
      </c>
      <c r="G121" s="31" t="str">
        <f>IF(COUNTIFS(HISTORICAL_DATA!$A$2:$A$441,$A121,HISTORICAL_DATA!$D$2:$D$441,"&gt;="&amp;$E121,HISTORICAL_DATA!$D$2:$D$441,"&lt;="&amp;$F121,HISTORICAL_DATA!$E$2:$E$441,"&lt;&gt;")&lt;3,"",SUMIFS(HISTORICAL_DATA!$E$2:$E$441,HISTORICAL_DATA!$A$2:$A$441,$A121,HISTORICAL_DATA!$D$2:$D$441,"&gt;="&amp;$E121,HISTORICAL_DATA!$D$2:$D$441,"&lt;="&amp;$F121)/3)</f>
        <v/>
      </c>
      <c r="H121" s="31" t="str">
        <f>IF(COUNTIFS(HISTORICAL_DATA!$A$2:$A$441,$A121,HISTORICAL_DATA!$D$2:$D$441,"&gt;="&amp;$E121,HISTORICAL_DATA!$D$2:$D$441,"&lt;="&amp;$F121,HISTORICAL_DATA!$G$2:$G$441,"&lt;&gt;")&lt;3,"",SUMIFS(HISTORICAL_DATA!$G$2:$G$441,HISTORICAL_DATA!$A$2:$A$441,$A121,HISTORICAL_DATA!$D$2:$D$441,"&gt;="&amp;$E121,HISTORICAL_DATA!$D$2:$D$441,"&lt;="&amp;$F121)/3)</f>
        <v/>
      </c>
      <c r="I121" s="31" t="str">
        <f>IF(OR(G121="",H121=""),"FACILITY DATA MISSING",IF(AND(COUNTIFS($C$2:$C$221,C121,$D$2:$D$221,D121,$G$2:$G$221,"&lt;&gt;")=COUNTIF(OFFICIAL_ALLOCATIONS!$C$2:$C$111,C121),COUNTIFS($C$2:$C$221,C121,$D$2:$D$221,D121,$H$2:$H$221,"&lt;&gt;")=COUNTIF(OFFICIAL_ALLOCATIONS!$C$2:$C$111,C121)),"COMPLETE","SECTOR DATA INCOMPLETE"))</f>
        <v>FACILITY DATA MISSING</v>
      </c>
      <c r="J121" s="31" t="str">
        <f t="shared" si="3"/>
        <v/>
      </c>
      <c r="K121" s="62" t="str">
        <f>IF(COUNTIFS(POLICY_PARAMETERS!$B$2:$B$13,"g",POLICY_PARAMETERS!$E$2:$E$13,C121,POLICY_PARAMETERS!$F$2:$F$13,D121,POLICY_PARAMETERS!$G$2:$G$13,"&lt;&gt;")=0,"",SUMIFS(POLICY_PARAMETERS!$G$2:$G$13,POLICY_PARAMETERS!$B$2:$B$13,"g",POLICY_PARAMETERS!$E$2:$E$13,C121,POLICY_PARAMETERS!$F$2:$F$13,D121))</f>
        <v/>
      </c>
      <c r="L121" s="62" t="str">
        <f>IF(COUNTIFS(POLICY_PARAMETERS!$B$2:$B$13,"r",POLICY_PARAMETERS!$E$2:$E$13,C121,POLICY_PARAMETERS!$F$2:$F$13,D121,POLICY_PARAMETERS!$G$2:$G$13,"&lt;&gt;")=0,"",SUMIFS(POLICY_PARAMETERS!$G$2:$G$13,POLICY_PARAMETERS!$B$2:$B$13,"r",POLICY_PARAMETERS!$E$2:$E$13,C121,POLICY_PARAMETERS!$F$2:$F$13,D121))</f>
        <v/>
      </c>
      <c r="M121" s="61" t="str">
        <f t="shared" si="4"/>
        <v/>
      </c>
      <c r="N121" s="56" t="str">
        <f t="shared" si="5"/>
        <v/>
      </c>
      <c r="O121" s="26">
        <f>IF(D121=2025,IFERROR(VLOOKUP(A121,OFFICIAL_ALLOCATIONS!$A$2:$F$111,5,FALSE),""),IFERROR(VLOOKUP(A121,OFFICIAL_ALLOCATIONS!$A$2:$F$111,6,FALSE),""))</f>
        <v>120305</v>
      </c>
      <c r="P121" s="42" t="str">
        <f t="shared" si="6"/>
        <v/>
      </c>
      <c r="Q121" s="28" t="str">
        <f t="shared" si="7"/>
        <v/>
      </c>
      <c r="R121" s="5" t="str">
        <f t="shared" si="8"/>
        <v>MISSING HISTORICAL DATA</v>
      </c>
      <c r="S121" s="5" t="s">
        <v>179</v>
      </c>
      <c r="T121" s="5" t="s">
        <v>59</v>
      </c>
    </row>
    <row r="122" ht="15.75" customHeight="1">
      <c r="A122" s="5" t="s">
        <v>1033</v>
      </c>
      <c r="B122" s="5" t="s">
        <v>343</v>
      </c>
      <c r="C122" s="5" t="s">
        <v>123</v>
      </c>
      <c r="D122" s="5">
        <v>2025.0</v>
      </c>
      <c r="E122" s="5">
        <f t="shared" si="1"/>
        <v>2022</v>
      </c>
      <c r="F122" s="8">
        <f t="shared" si="2"/>
        <v>2024</v>
      </c>
      <c r="G122" s="31" t="str">
        <f>IF(COUNTIFS(HISTORICAL_DATA!$A$2:$A$441,$A122,HISTORICAL_DATA!$D$2:$D$441,"&gt;="&amp;$E122,HISTORICAL_DATA!$D$2:$D$441,"&lt;="&amp;$F122,HISTORICAL_DATA!$E$2:$E$441,"&lt;&gt;")&lt;3,"",SUMIFS(HISTORICAL_DATA!$E$2:$E$441,HISTORICAL_DATA!$A$2:$A$441,$A122,HISTORICAL_DATA!$D$2:$D$441,"&gt;="&amp;$E122,HISTORICAL_DATA!$D$2:$D$441,"&lt;="&amp;$F122)/3)</f>
        <v/>
      </c>
      <c r="H122" s="31" t="str">
        <f>IF(COUNTIFS(HISTORICAL_DATA!$A$2:$A$441,$A122,HISTORICAL_DATA!$D$2:$D$441,"&gt;="&amp;$E122,HISTORICAL_DATA!$D$2:$D$441,"&lt;="&amp;$F122,HISTORICAL_DATA!$G$2:$G$441,"&lt;&gt;")&lt;3,"",SUMIFS(HISTORICAL_DATA!$G$2:$G$441,HISTORICAL_DATA!$A$2:$A$441,$A122,HISTORICAL_DATA!$D$2:$D$441,"&gt;="&amp;$E122,HISTORICAL_DATA!$D$2:$D$441,"&lt;="&amp;$F122)/3)</f>
        <v/>
      </c>
      <c r="I122" s="31" t="str">
        <f>IF(OR(G122="",H122=""),"FACILITY DATA MISSING",IF(AND(COUNTIFS($C$2:$C$221,C122,$D$2:$D$221,D122,$G$2:$G$221,"&lt;&gt;")=COUNTIF(OFFICIAL_ALLOCATIONS!$C$2:$C$111,C122),COUNTIFS($C$2:$C$221,C122,$D$2:$D$221,D122,$H$2:$H$221,"&lt;&gt;")=COUNTIF(OFFICIAL_ALLOCATIONS!$C$2:$C$111,C122)),"COMPLETE","SECTOR DATA INCOMPLETE"))</f>
        <v>FACILITY DATA MISSING</v>
      </c>
      <c r="J122" s="31" t="str">
        <f t="shared" si="3"/>
        <v/>
      </c>
      <c r="K122" s="62" t="str">
        <f>IF(COUNTIFS(POLICY_PARAMETERS!$B$2:$B$13,"g",POLICY_PARAMETERS!$E$2:$E$13,C122,POLICY_PARAMETERS!$F$2:$F$13,D122,POLICY_PARAMETERS!$G$2:$G$13,"&lt;&gt;")=0,"",SUMIFS(POLICY_PARAMETERS!$G$2:$G$13,POLICY_PARAMETERS!$B$2:$B$13,"g",POLICY_PARAMETERS!$E$2:$E$13,C122,POLICY_PARAMETERS!$F$2:$F$13,D122))</f>
        <v/>
      </c>
      <c r="L122" s="62" t="str">
        <f>IF(COUNTIFS(POLICY_PARAMETERS!$B$2:$B$13,"r",POLICY_PARAMETERS!$E$2:$E$13,C122,POLICY_PARAMETERS!$F$2:$F$13,D122,POLICY_PARAMETERS!$G$2:$G$13,"&lt;&gt;")=0,"",SUMIFS(POLICY_PARAMETERS!$G$2:$G$13,POLICY_PARAMETERS!$B$2:$B$13,"r",POLICY_PARAMETERS!$E$2:$E$13,C122,POLICY_PARAMETERS!$F$2:$F$13,D122))</f>
        <v/>
      </c>
      <c r="M122" s="61" t="str">
        <f t="shared" si="4"/>
        <v/>
      </c>
      <c r="N122" s="56" t="str">
        <f t="shared" si="5"/>
        <v/>
      </c>
      <c r="O122" s="26">
        <f>IF(D122=2025,IFERROR(VLOOKUP(A122,OFFICIAL_ALLOCATIONS!$A$2:$F$111,5,FALSE),""),IFERROR(VLOOKUP(A122,OFFICIAL_ALLOCATIONS!$A$2:$F$111,6,FALSE),""))</f>
        <v>648135</v>
      </c>
      <c r="P122" s="42" t="str">
        <f t="shared" si="6"/>
        <v/>
      </c>
      <c r="Q122" s="28" t="str">
        <f t="shared" si="7"/>
        <v/>
      </c>
      <c r="R122" s="5" t="str">
        <f t="shared" si="8"/>
        <v>MISSING HISTORICAL DATA</v>
      </c>
      <c r="S122" s="5" t="s">
        <v>179</v>
      </c>
      <c r="T122" s="5" t="s">
        <v>59</v>
      </c>
    </row>
    <row r="123" ht="15.75" customHeight="1">
      <c r="A123" s="5" t="s">
        <v>1033</v>
      </c>
      <c r="B123" s="5" t="s">
        <v>343</v>
      </c>
      <c r="C123" s="5" t="s">
        <v>123</v>
      </c>
      <c r="D123" s="5">
        <v>2026.0</v>
      </c>
      <c r="E123" s="5">
        <f t="shared" si="1"/>
        <v>2023</v>
      </c>
      <c r="F123" s="8">
        <f t="shared" si="2"/>
        <v>2025</v>
      </c>
      <c r="G123" s="31" t="str">
        <f>IF(COUNTIFS(HISTORICAL_DATA!$A$2:$A$441,$A123,HISTORICAL_DATA!$D$2:$D$441,"&gt;="&amp;$E123,HISTORICAL_DATA!$D$2:$D$441,"&lt;="&amp;$F123,HISTORICAL_DATA!$E$2:$E$441,"&lt;&gt;")&lt;3,"",SUMIFS(HISTORICAL_DATA!$E$2:$E$441,HISTORICAL_DATA!$A$2:$A$441,$A123,HISTORICAL_DATA!$D$2:$D$441,"&gt;="&amp;$E123,HISTORICAL_DATA!$D$2:$D$441,"&lt;="&amp;$F123)/3)</f>
        <v/>
      </c>
      <c r="H123" s="31" t="str">
        <f>IF(COUNTIFS(HISTORICAL_DATA!$A$2:$A$441,$A123,HISTORICAL_DATA!$D$2:$D$441,"&gt;="&amp;$E123,HISTORICAL_DATA!$D$2:$D$441,"&lt;="&amp;$F123,HISTORICAL_DATA!$G$2:$G$441,"&lt;&gt;")&lt;3,"",SUMIFS(HISTORICAL_DATA!$G$2:$G$441,HISTORICAL_DATA!$A$2:$A$441,$A123,HISTORICAL_DATA!$D$2:$D$441,"&gt;="&amp;$E123,HISTORICAL_DATA!$D$2:$D$441,"&lt;="&amp;$F123)/3)</f>
        <v/>
      </c>
      <c r="I123" s="31" t="str">
        <f>IF(OR(G123="",H123=""),"FACILITY DATA MISSING",IF(AND(COUNTIFS($C$2:$C$221,C123,$D$2:$D$221,D123,$G$2:$G$221,"&lt;&gt;")=COUNTIF(OFFICIAL_ALLOCATIONS!$C$2:$C$111,C123),COUNTIFS($C$2:$C$221,C123,$D$2:$D$221,D123,$H$2:$H$221,"&lt;&gt;")=COUNTIF(OFFICIAL_ALLOCATIONS!$C$2:$C$111,C123)),"COMPLETE","SECTOR DATA INCOMPLETE"))</f>
        <v>FACILITY DATA MISSING</v>
      </c>
      <c r="J123" s="31" t="str">
        <f t="shared" si="3"/>
        <v/>
      </c>
      <c r="K123" s="62" t="str">
        <f>IF(COUNTIFS(POLICY_PARAMETERS!$B$2:$B$13,"g",POLICY_PARAMETERS!$E$2:$E$13,C123,POLICY_PARAMETERS!$F$2:$F$13,D123,POLICY_PARAMETERS!$G$2:$G$13,"&lt;&gt;")=0,"",SUMIFS(POLICY_PARAMETERS!$G$2:$G$13,POLICY_PARAMETERS!$B$2:$B$13,"g",POLICY_PARAMETERS!$E$2:$E$13,C123,POLICY_PARAMETERS!$F$2:$F$13,D123))</f>
        <v/>
      </c>
      <c r="L123" s="62" t="str">
        <f>IF(COUNTIFS(POLICY_PARAMETERS!$B$2:$B$13,"r",POLICY_PARAMETERS!$E$2:$E$13,C123,POLICY_PARAMETERS!$F$2:$F$13,D123,POLICY_PARAMETERS!$G$2:$G$13,"&lt;&gt;")=0,"",SUMIFS(POLICY_PARAMETERS!$G$2:$G$13,POLICY_PARAMETERS!$B$2:$B$13,"r",POLICY_PARAMETERS!$E$2:$E$13,C123,POLICY_PARAMETERS!$F$2:$F$13,D123))</f>
        <v/>
      </c>
      <c r="M123" s="61" t="str">
        <f t="shared" si="4"/>
        <v/>
      </c>
      <c r="N123" s="56" t="str">
        <f t="shared" si="5"/>
        <v/>
      </c>
      <c r="O123" s="26">
        <f>IF(D123=2025,IFERROR(VLOOKUP(A123,OFFICIAL_ALLOCATIONS!$A$2:$F$111,5,FALSE),""),IFERROR(VLOOKUP(A123,OFFICIAL_ALLOCATIONS!$A$2:$F$111,6,FALSE),""))</f>
        <v>709220</v>
      </c>
      <c r="P123" s="42" t="str">
        <f t="shared" si="6"/>
        <v/>
      </c>
      <c r="Q123" s="28" t="str">
        <f t="shared" si="7"/>
        <v/>
      </c>
      <c r="R123" s="5" t="str">
        <f t="shared" si="8"/>
        <v>MISSING HISTORICAL DATA</v>
      </c>
      <c r="S123" s="5" t="s">
        <v>179</v>
      </c>
      <c r="T123" s="5" t="s">
        <v>59</v>
      </c>
    </row>
    <row r="124" ht="15.75" customHeight="1">
      <c r="A124" s="5" t="s">
        <v>1034</v>
      </c>
      <c r="B124" s="5" t="s">
        <v>345</v>
      </c>
      <c r="C124" s="5" t="s">
        <v>123</v>
      </c>
      <c r="D124" s="5">
        <v>2025.0</v>
      </c>
      <c r="E124" s="5">
        <f t="shared" si="1"/>
        <v>2022</v>
      </c>
      <c r="F124" s="8">
        <f t="shared" si="2"/>
        <v>2024</v>
      </c>
      <c r="G124" s="31" t="str">
        <f>IF(COUNTIFS(HISTORICAL_DATA!$A$2:$A$441,$A124,HISTORICAL_DATA!$D$2:$D$441,"&gt;="&amp;$E124,HISTORICAL_DATA!$D$2:$D$441,"&lt;="&amp;$F124,HISTORICAL_DATA!$E$2:$E$441,"&lt;&gt;")&lt;3,"",SUMIFS(HISTORICAL_DATA!$E$2:$E$441,HISTORICAL_DATA!$A$2:$A$441,$A124,HISTORICAL_DATA!$D$2:$D$441,"&gt;="&amp;$E124,HISTORICAL_DATA!$D$2:$D$441,"&lt;="&amp;$F124)/3)</f>
        <v/>
      </c>
      <c r="H124" s="31" t="str">
        <f>IF(COUNTIFS(HISTORICAL_DATA!$A$2:$A$441,$A124,HISTORICAL_DATA!$D$2:$D$441,"&gt;="&amp;$E124,HISTORICAL_DATA!$D$2:$D$441,"&lt;="&amp;$F124,HISTORICAL_DATA!$G$2:$G$441,"&lt;&gt;")&lt;3,"",SUMIFS(HISTORICAL_DATA!$G$2:$G$441,HISTORICAL_DATA!$A$2:$A$441,$A124,HISTORICAL_DATA!$D$2:$D$441,"&gt;="&amp;$E124,HISTORICAL_DATA!$D$2:$D$441,"&lt;="&amp;$F124)/3)</f>
        <v/>
      </c>
      <c r="I124" s="31" t="str">
        <f>IF(OR(G124="",H124=""),"FACILITY DATA MISSING",IF(AND(COUNTIFS($C$2:$C$221,C124,$D$2:$D$221,D124,$G$2:$G$221,"&lt;&gt;")=COUNTIF(OFFICIAL_ALLOCATIONS!$C$2:$C$111,C124),COUNTIFS($C$2:$C$221,C124,$D$2:$D$221,D124,$H$2:$H$221,"&lt;&gt;")=COUNTIF(OFFICIAL_ALLOCATIONS!$C$2:$C$111,C124)),"COMPLETE","SECTOR DATA INCOMPLETE"))</f>
        <v>FACILITY DATA MISSING</v>
      </c>
      <c r="J124" s="31" t="str">
        <f t="shared" si="3"/>
        <v/>
      </c>
      <c r="K124" s="62" t="str">
        <f>IF(COUNTIFS(POLICY_PARAMETERS!$B$2:$B$13,"g",POLICY_PARAMETERS!$E$2:$E$13,C124,POLICY_PARAMETERS!$F$2:$F$13,D124,POLICY_PARAMETERS!$G$2:$G$13,"&lt;&gt;")=0,"",SUMIFS(POLICY_PARAMETERS!$G$2:$G$13,POLICY_PARAMETERS!$B$2:$B$13,"g",POLICY_PARAMETERS!$E$2:$E$13,C124,POLICY_PARAMETERS!$F$2:$F$13,D124))</f>
        <v/>
      </c>
      <c r="L124" s="62" t="str">
        <f>IF(COUNTIFS(POLICY_PARAMETERS!$B$2:$B$13,"r",POLICY_PARAMETERS!$E$2:$E$13,C124,POLICY_PARAMETERS!$F$2:$F$13,D124,POLICY_PARAMETERS!$G$2:$G$13,"&lt;&gt;")=0,"",SUMIFS(POLICY_PARAMETERS!$G$2:$G$13,POLICY_PARAMETERS!$B$2:$B$13,"r",POLICY_PARAMETERS!$E$2:$E$13,C124,POLICY_PARAMETERS!$F$2:$F$13,D124))</f>
        <v/>
      </c>
      <c r="M124" s="61" t="str">
        <f t="shared" si="4"/>
        <v/>
      </c>
      <c r="N124" s="56" t="str">
        <f t="shared" si="5"/>
        <v/>
      </c>
      <c r="O124" s="26">
        <f>IF(D124=2025,IFERROR(VLOOKUP(A124,OFFICIAL_ALLOCATIONS!$A$2:$F$111,5,FALSE),""),IFERROR(VLOOKUP(A124,OFFICIAL_ALLOCATIONS!$A$2:$F$111,6,FALSE),""))</f>
        <v>369109</v>
      </c>
      <c r="P124" s="42" t="str">
        <f t="shared" si="6"/>
        <v/>
      </c>
      <c r="Q124" s="28" t="str">
        <f t="shared" si="7"/>
        <v/>
      </c>
      <c r="R124" s="5" t="str">
        <f t="shared" si="8"/>
        <v>MISSING HISTORICAL DATA</v>
      </c>
      <c r="S124" s="5" t="s">
        <v>179</v>
      </c>
      <c r="T124" s="5" t="s">
        <v>59</v>
      </c>
    </row>
    <row r="125" ht="15.75" customHeight="1">
      <c r="A125" s="5" t="s">
        <v>1034</v>
      </c>
      <c r="B125" s="5" t="s">
        <v>345</v>
      </c>
      <c r="C125" s="5" t="s">
        <v>123</v>
      </c>
      <c r="D125" s="5">
        <v>2026.0</v>
      </c>
      <c r="E125" s="5">
        <f t="shared" si="1"/>
        <v>2023</v>
      </c>
      <c r="F125" s="8">
        <f t="shared" si="2"/>
        <v>2025</v>
      </c>
      <c r="G125" s="31" t="str">
        <f>IF(COUNTIFS(HISTORICAL_DATA!$A$2:$A$441,$A125,HISTORICAL_DATA!$D$2:$D$441,"&gt;="&amp;$E125,HISTORICAL_DATA!$D$2:$D$441,"&lt;="&amp;$F125,HISTORICAL_DATA!$E$2:$E$441,"&lt;&gt;")&lt;3,"",SUMIFS(HISTORICAL_DATA!$E$2:$E$441,HISTORICAL_DATA!$A$2:$A$441,$A125,HISTORICAL_DATA!$D$2:$D$441,"&gt;="&amp;$E125,HISTORICAL_DATA!$D$2:$D$441,"&lt;="&amp;$F125)/3)</f>
        <v/>
      </c>
      <c r="H125" s="31" t="str">
        <f>IF(COUNTIFS(HISTORICAL_DATA!$A$2:$A$441,$A125,HISTORICAL_DATA!$D$2:$D$441,"&gt;="&amp;$E125,HISTORICAL_DATA!$D$2:$D$441,"&lt;="&amp;$F125,HISTORICAL_DATA!$G$2:$G$441,"&lt;&gt;")&lt;3,"",SUMIFS(HISTORICAL_DATA!$G$2:$G$441,HISTORICAL_DATA!$A$2:$A$441,$A125,HISTORICAL_DATA!$D$2:$D$441,"&gt;="&amp;$E125,HISTORICAL_DATA!$D$2:$D$441,"&lt;="&amp;$F125)/3)</f>
        <v/>
      </c>
      <c r="I125" s="31" t="str">
        <f>IF(OR(G125="",H125=""),"FACILITY DATA MISSING",IF(AND(COUNTIFS($C$2:$C$221,C125,$D$2:$D$221,D125,$G$2:$G$221,"&lt;&gt;")=COUNTIF(OFFICIAL_ALLOCATIONS!$C$2:$C$111,C125),COUNTIFS($C$2:$C$221,C125,$D$2:$D$221,D125,$H$2:$H$221,"&lt;&gt;")=COUNTIF(OFFICIAL_ALLOCATIONS!$C$2:$C$111,C125)),"COMPLETE","SECTOR DATA INCOMPLETE"))</f>
        <v>FACILITY DATA MISSING</v>
      </c>
      <c r="J125" s="31" t="str">
        <f t="shared" si="3"/>
        <v/>
      </c>
      <c r="K125" s="62" t="str">
        <f>IF(COUNTIFS(POLICY_PARAMETERS!$B$2:$B$13,"g",POLICY_PARAMETERS!$E$2:$E$13,C125,POLICY_PARAMETERS!$F$2:$F$13,D125,POLICY_PARAMETERS!$G$2:$G$13,"&lt;&gt;")=0,"",SUMIFS(POLICY_PARAMETERS!$G$2:$G$13,POLICY_PARAMETERS!$B$2:$B$13,"g",POLICY_PARAMETERS!$E$2:$E$13,C125,POLICY_PARAMETERS!$F$2:$F$13,D125))</f>
        <v/>
      </c>
      <c r="L125" s="62" t="str">
        <f>IF(COUNTIFS(POLICY_PARAMETERS!$B$2:$B$13,"r",POLICY_PARAMETERS!$E$2:$E$13,C125,POLICY_PARAMETERS!$F$2:$F$13,D125,POLICY_PARAMETERS!$G$2:$G$13,"&lt;&gt;")=0,"",SUMIFS(POLICY_PARAMETERS!$G$2:$G$13,POLICY_PARAMETERS!$B$2:$B$13,"r",POLICY_PARAMETERS!$E$2:$E$13,C125,POLICY_PARAMETERS!$F$2:$F$13,D125))</f>
        <v/>
      </c>
      <c r="M125" s="61" t="str">
        <f t="shared" si="4"/>
        <v/>
      </c>
      <c r="N125" s="56" t="str">
        <f t="shared" si="5"/>
        <v/>
      </c>
      <c r="O125" s="26">
        <f>IF(D125=2025,IFERROR(VLOOKUP(A125,OFFICIAL_ALLOCATIONS!$A$2:$F$111,5,FALSE),""),IFERROR(VLOOKUP(A125,OFFICIAL_ALLOCATIONS!$A$2:$F$111,6,FALSE),""))</f>
        <v>403897</v>
      </c>
      <c r="P125" s="42" t="str">
        <f t="shared" si="6"/>
        <v/>
      </c>
      <c r="Q125" s="28" t="str">
        <f t="shared" si="7"/>
        <v/>
      </c>
      <c r="R125" s="5" t="str">
        <f t="shared" si="8"/>
        <v>MISSING HISTORICAL DATA</v>
      </c>
      <c r="S125" s="5" t="s">
        <v>179</v>
      </c>
      <c r="T125" s="5" t="s">
        <v>59</v>
      </c>
    </row>
    <row r="126" ht="15.75" customHeight="1">
      <c r="A126" s="5" t="s">
        <v>1035</v>
      </c>
      <c r="B126" s="5" t="s">
        <v>347</v>
      </c>
      <c r="C126" s="5" t="s">
        <v>123</v>
      </c>
      <c r="D126" s="5">
        <v>2025.0</v>
      </c>
      <c r="E126" s="5">
        <f t="shared" si="1"/>
        <v>2022</v>
      </c>
      <c r="F126" s="8">
        <f t="shared" si="2"/>
        <v>2024</v>
      </c>
      <c r="G126" s="31" t="str">
        <f>IF(COUNTIFS(HISTORICAL_DATA!$A$2:$A$441,$A126,HISTORICAL_DATA!$D$2:$D$441,"&gt;="&amp;$E126,HISTORICAL_DATA!$D$2:$D$441,"&lt;="&amp;$F126,HISTORICAL_DATA!$E$2:$E$441,"&lt;&gt;")&lt;3,"",SUMIFS(HISTORICAL_DATA!$E$2:$E$441,HISTORICAL_DATA!$A$2:$A$441,$A126,HISTORICAL_DATA!$D$2:$D$441,"&gt;="&amp;$E126,HISTORICAL_DATA!$D$2:$D$441,"&lt;="&amp;$F126)/3)</f>
        <v/>
      </c>
      <c r="H126" s="31" t="str">
        <f>IF(COUNTIFS(HISTORICAL_DATA!$A$2:$A$441,$A126,HISTORICAL_DATA!$D$2:$D$441,"&gt;="&amp;$E126,HISTORICAL_DATA!$D$2:$D$441,"&lt;="&amp;$F126,HISTORICAL_DATA!$G$2:$G$441,"&lt;&gt;")&lt;3,"",SUMIFS(HISTORICAL_DATA!$G$2:$G$441,HISTORICAL_DATA!$A$2:$A$441,$A126,HISTORICAL_DATA!$D$2:$D$441,"&gt;="&amp;$E126,HISTORICAL_DATA!$D$2:$D$441,"&lt;="&amp;$F126)/3)</f>
        <v/>
      </c>
      <c r="I126" s="31" t="str">
        <f>IF(OR(G126="",H126=""),"FACILITY DATA MISSING",IF(AND(COUNTIFS($C$2:$C$221,C126,$D$2:$D$221,D126,$G$2:$G$221,"&lt;&gt;")=COUNTIF(OFFICIAL_ALLOCATIONS!$C$2:$C$111,C126),COUNTIFS($C$2:$C$221,C126,$D$2:$D$221,D126,$H$2:$H$221,"&lt;&gt;")=COUNTIF(OFFICIAL_ALLOCATIONS!$C$2:$C$111,C126)),"COMPLETE","SECTOR DATA INCOMPLETE"))</f>
        <v>FACILITY DATA MISSING</v>
      </c>
      <c r="J126" s="31" t="str">
        <f t="shared" si="3"/>
        <v/>
      </c>
      <c r="K126" s="62" t="str">
        <f>IF(COUNTIFS(POLICY_PARAMETERS!$B$2:$B$13,"g",POLICY_PARAMETERS!$E$2:$E$13,C126,POLICY_PARAMETERS!$F$2:$F$13,D126,POLICY_PARAMETERS!$G$2:$G$13,"&lt;&gt;")=0,"",SUMIFS(POLICY_PARAMETERS!$G$2:$G$13,POLICY_PARAMETERS!$B$2:$B$13,"g",POLICY_PARAMETERS!$E$2:$E$13,C126,POLICY_PARAMETERS!$F$2:$F$13,D126))</f>
        <v/>
      </c>
      <c r="L126" s="62" t="str">
        <f>IF(COUNTIFS(POLICY_PARAMETERS!$B$2:$B$13,"r",POLICY_PARAMETERS!$E$2:$E$13,C126,POLICY_PARAMETERS!$F$2:$F$13,D126,POLICY_PARAMETERS!$G$2:$G$13,"&lt;&gt;")=0,"",SUMIFS(POLICY_PARAMETERS!$G$2:$G$13,POLICY_PARAMETERS!$B$2:$B$13,"r",POLICY_PARAMETERS!$E$2:$E$13,C126,POLICY_PARAMETERS!$F$2:$F$13,D126))</f>
        <v/>
      </c>
      <c r="M126" s="61" t="str">
        <f t="shared" si="4"/>
        <v/>
      </c>
      <c r="N126" s="56" t="str">
        <f t="shared" si="5"/>
        <v/>
      </c>
      <c r="O126" s="26">
        <f>IF(D126=2025,IFERROR(VLOOKUP(A126,OFFICIAL_ALLOCATIONS!$A$2:$F$111,5,FALSE),""),IFERROR(VLOOKUP(A126,OFFICIAL_ALLOCATIONS!$A$2:$F$111,6,FALSE),""))</f>
        <v>359956</v>
      </c>
      <c r="P126" s="42" t="str">
        <f t="shared" si="6"/>
        <v/>
      </c>
      <c r="Q126" s="28" t="str">
        <f t="shared" si="7"/>
        <v/>
      </c>
      <c r="R126" s="5" t="str">
        <f t="shared" si="8"/>
        <v>MISSING HISTORICAL DATA</v>
      </c>
      <c r="S126" s="5" t="s">
        <v>179</v>
      </c>
      <c r="T126" s="5" t="s">
        <v>59</v>
      </c>
    </row>
    <row r="127" ht="15.75" customHeight="1">
      <c r="A127" s="5" t="s">
        <v>1035</v>
      </c>
      <c r="B127" s="5" t="s">
        <v>347</v>
      </c>
      <c r="C127" s="5" t="s">
        <v>123</v>
      </c>
      <c r="D127" s="5">
        <v>2026.0</v>
      </c>
      <c r="E127" s="5">
        <f t="shared" si="1"/>
        <v>2023</v>
      </c>
      <c r="F127" s="8">
        <f t="shared" si="2"/>
        <v>2025</v>
      </c>
      <c r="G127" s="31" t="str">
        <f>IF(COUNTIFS(HISTORICAL_DATA!$A$2:$A$441,$A127,HISTORICAL_DATA!$D$2:$D$441,"&gt;="&amp;$E127,HISTORICAL_DATA!$D$2:$D$441,"&lt;="&amp;$F127,HISTORICAL_DATA!$E$2:$E$441,"&lt;&gt;")&lt;3,"",SUMIFS(HISTORICAL_DATA!$E$2:$E$441,HISTORICAL_DATA!$A$2:$A$441,$A127,HISTORICAL_DATA!$D$2:$D$441,"&gt;="&amp;$E127,HISTORICAL_DATA!$D$2:$D$441,"&lt;="&amp;$F127)/3)</f>
        <v/>
      </c>
      <c r="H127" s="31" t="str">
        <f>IF(COUNTIFS(HISTORICAL_DATA!$A$2:$A$441,$A127,HISTORICAL_DATA!$D$2:$D$441,"&gt;="&amp;$E127,HISTORICAL_DATA!$D$2:$D$441,"&lt;="&amp;$F127,HISTORICAL_DATA!$G$2:$G$441,"&lt;&gt;")&lt;3,"",SUMIFS(HISTORICAL_DATA!$G$2:$G$441,HISTORICAL_DATA!$A$2:$A$441,$A127,HISTORICAL_DATA!$D$2:$D$441,"&gt;="&amp;$E127,HISTORICAL_DATA!$D$2:$D$441,"&lt;="&amp;$F127)/3)</f>
        <v/>
      </c>
      <c r="I127" s="31" t="str">
        <f>IF(OR(G127="",H127=""),"FACILITY DATA MISSING",IF(AND(COUNTIFS($C$2:$C$221,C127,$D$2:$D$221,D127,$G$2:$G$221,"&lt;&gt;")=COUNTIF(OFFICIAL_ALLOCATIONS!$C$2:$C$111,C127),COUNTIFS($C$2:$C$221,C127,$D$2:$D$221,D127,$H$2:$H$221,"&lt;&gt;")=COUNTIF(OFFICIAL_ALLOCATIONS!$C$2:$C$111,C127)),"COMPLETE","SECTOR DATA INCOMPLETE"))</f>
        <v>FACILITY DATA MISSING</v>
      </c>
      <c r="J127" s="31" t="str">
        <f t="shared" si="3"/>
        <v/>
      </c>
      <c r="K127" s="62" t="str">
        <f>IF(COUNTIFS(POLICY_PARAMETERS!$B$2:$B$13,"g",POLICY_PARAMETERS!$E$2:$E$13,C127,POLICY_PARAMETERS!$F$2:$F$13,D127,POLICY_PARAMETERS!$G$2:$G$13,"&lt;&gt;")=0,"",SUMIFS(POLICY_PARAMETERS!$G$2:$G$13,POLICY_PARAMETERS!$B$2:$B$13,"g",POLICY_PARAMETERS!$E$2:$E$13,C127,POLICY_PARAMETERS!$F$2:$F$13,D127))</f>
        <v/>
      </c>
      <c r="L127" s="62" t="str">
        <f>IF(COUNTIFS(POLICY_PARAMETERS!$B$2:$B$13,"r",POLICY_PARAMETERS!$E$2:$E$13,C127,POLICY_PARAMETERS!$F$2:$F$13,D127,POLICY_PARAMETERS!$G$2:$G$13,"&lt;&gt;")=0,"",SUMIFS(POLICY_PARAMETERS!$G$2:$G$13,POLICY_PARAMETERS!$B$2:$B$13,"r",POLICY_PARAMETERS!$E$2:$E$13,C127,POLICY_PARAMETERS!$F$2:$F$13,D127))</f>
        <v/>
      </c>
      <c r="M127" s="61" t="str">
        <f t="shared" si="4"/>
        <v/>
      </c>
      <c r="N127" s="56" t="str">
        <f t="shared" si="5"/>
        <v/>
      </c>
      <c r="O127" s="26">
        <f>IF(D127=2025,IFERROR(VLOOKUP(A127,OFFICIAL_ALLOCATIONS!$A$2:$F$111,5,FALSE),""),IFERROR(VLOOKUP(A127,OFFICIAL_ALLOCATIONS!$A$2:$F$111,6,FALSE),""))</f>
        <v>393882</v>
      </c>
      <c r="P127" s="42" t="str">
        <f t="shared" si="6"/>
        <v/>
      </c>
      <c r="Q127" s="28" t="str">
        <f t="shared" si="7"/>
        <v/>
      </c>
      <c r="R127" s="5" t="str">
        <f t="shared" si="8"/>
        <v>MISSING HISTORICAL DATA</v>
      </c>
      <c r="S127" s="5" t="s">
        <v>179</v>
      </c>
      <c r="T127" s="5" t="s">
        <v>59</v>
      </c>
    </row>
    <row r="128" ht="15.75" customHeight="1">
      <c r="A128" s="5" t="s">
        <v>1036</v>
      </c>
      <c r="B128" s="5" t="s">
        <v>349</v>
      </c>
      <c r="C128" s="5" t="s">
        <v>123</v>
      </c>
      <c r="D128" s="5">
        <v>2025.0</v>
      </c>
      <c r="E128" s="5">
        <f t="shared" si="1"/>
        <v>2022</v>
      </c>
      <c r="F128" s="8">
        <f t="shared" si="2"/>
        <v>2024</v>
      </c>
      <c r="G128" s="31" t="str">
        <f>IF(COUNTIFS(HISTORICAL_DATA!$A$2:$A$441,$A128,HISTORICAL_DATA!$D$2:$D$441,"&gt;="&amp;$E128,HISTORICAL_DATA!$D$2:$D$441,"&lt;="&amp;$F128,HISTORICAL_DATA!$E$2:$E$441,"&lt;&gt;")&lt;3,"",SUMIFS(HISTORICAL_DATA!$E$2:$E$441,HISTORICAL_DATA!$A$2:$A$441,$A128,HISTORICAL_DATA!$D$2:$D$441,"&gt;="&amp;$E128,HISTORICAL_DATA!$D$2:$D$441,"&lt;="&amp;$F128)/3)</f>
        <v/>
      </c>
      <c r="H128" s="31" t="str">
        <f>IF(COUNTIFS(HISTORICAL_DATA!$A$2:$A$441,$A128,HISTORICAL_DATA!$D$2:$D$441,"&gt;="&amp;$E128,HISTORICAL_DATA!$D$2:$D$441,"&lt;="&amp;$F128,HISTORICAL_DATA!$G$2:$G$441,"&lt;&gt;")&lt;3,"",SUMIFS(HISTORICAL_DATA!$G$2:$G$441,HISTORICAL_DATA!$A$2:$A$441,$A128,HISTORICAL_DATA!$D$2:$D$441,"&gt;="&amp;$E128,HISTORICAL_DATA!$D$2:$D$441,"&lt;="&amp;$F128)/3)</f>
        <v/>
      </c>
      <c r="I128" s="31" t="str">
        <f>IF(OR(G128="",H128=""),"FACILITY DATA MISSING",IF(AND(COUNTIFS($C$2:$C$221,C128,$D$2:$D$221,D128,$G$2:$G$221,"&lt;&gt;")=COUNTIF(OFFICIAL_ALLOCATIONS!$C$2:$C$111,C128),COUNTIFS($C$2:$C$221,C128,$D$2:$D$221,D128,$H$2:$H$221,"&lt;&gt;")=COUNTIF(OFFICIAL_ALLOCATIONS!$C$2:$C$111,C128)),"COMPLETE","SECTOR DATA INCOMPLETE"))</f>
        <v>FACILITY DATA MISSING</v>
      </c>
      <c r="J128" s="31" t="str">
        <f t="shared" si="3"/>
        <v/>
      </c>
      <c r="K128" s="62" t="str">
        <f>IF(COUNTIFS(POLICY_PARAMETERS!$B$2:$B$13,"g",POLICY_PARAMETERS!$E$2:$E$13,C128,POLICY_PARAMETERS!$F$2:$F$13,D128,POLICY_PARAMETERS!$G$2:$G$13,"&lt;&gt;")=0,"",SUMIFS(POLICY_PARAMETERS!$G$2:$G$13,POLICY_PARAMETERS!$B$2:$B$13,"g",POLICY_PARAMETERS!$E$2:$E$13,C128,POLICY_PARAMETERS!$F$2:$F$13,D128))</f>
        <v/>
      </c>
      <c r="L128" s="62" t="str">
        <f>IF(COUNTIFS(POLICY_PARAMETERS!$B$2:$B$13,"r",POLICY_PARAMETERS!$E$2:$E$13,C128,POLICY_PARAMETERS!$F$2:$F$13,D128,POLICY_PARAMETERS!$G$2:$G$13,"&lt;&gt;")=0,"",SUMIFS(POLICY_PARAMETERS!$G$2:$G$13,POLICY_PARAMETERS!$B$2:$B$13,"r",POLICY_PARAMETERS!$E$2:$E$13,C128,POLICY_PARAMETERS!$F$2:$F$13,D128))</f>
        <v/>
      </c>
      <c r="M128" s="61" t="str">
        <f t="shared" si="4"/>
        <v/>
      </c>
      <c r="N128" s="56" t="str">
        <f t="shared" si="5"/>
        <v/>
      </c>
      <c r="O128" s="26">
        <f>IF(D128=2025,IFERROR(VLOOKUP(A128,OFFICIAL_ALLOCATIONS!$A$2:$F$111,5,FALSE),""),IFERROR(VLOOKUP(A128,OFFICIAL_ALLOCATIONS!$A$2:$F$111,6,FALSE),""))</f>
        <v>171860</v>
      </c>
      <c r="P128" s="42" t="str">
        <f t="shared" si="6"/>
        <v/>
      </c>
      <c r="Q128" s="28" t="str">
        <f t="shared" si="7"/>
        <v/>
      </c>
      <c r="R128" s="5" t="str">
        <f t="shared" si="8"/>
        <v>MISSING HISTORICAL DATA</v>
      </c>
      <c r="S128" s="5" t="s">
        <v>179</v>
      </c>
      <c r="T128" s="5" t="s">
        <v>59</v>
      </c>
    </row>
    <row r="129" ht="15.75" customHeight="1">
      <c r="A129" s="5" t="s">
        <v>1036</v>
      </c>
      <c r="B129" s="5" t="s">
        <v>349</v>
      </c>
      <c r="C129" s="5" t="s">
        <v>123</v>
      </c>
      <c r="D129" s="5">
        <v>2026.0</v>
      </c>
      <c r="E129" s="5">
        <f t="shared" si="1"/>
        <v>2023</v>
      </c>
      <c r="F129" s="8">
        <f t="shared" si="2"/>
        <v>2025</v>
      </c>
      <c r="G129" s="31" t="str">
        <f>IF(COUNTIFS(HISTORICAL_DATA!$A$2:$A$441,$A129,HISTORICAL_DATA!$D$2:$D$441,"&gt;="&amp;$E129,HISTORICAL_DATA!$D$2:$D$441,"&lt;="&amp;$F129,HISTORICAL_DATA!$E$2:$E$441,"&lt;&gt;")&lt;3,"",SUMIFS(HISTORICAL_DATA!$E$2:$E$441,HISTORICAL_DATA!$A$2:$A$441,$A129,HISTORICAL_DATA!$D$2:$D$441,"&gt;="&amp;$E129,HISTORICAL_DATA!$D$2:$D$441,"&lt;="&amp;$F129)/3)</f>
        <v/>
      </c>
      <c r="H129" s="31" t="str">
        <f>IF(COUNTIFS(HISTORICAL_DATA!$A$2:$A$441,$A129,HISTORICAL_DATA!$D$2:$D$441,"&gt;="&amp;$E129,HISTORICAL_DATA!$D$2:$D$441,"&lt;="&amp;$F129,HISTORICAL_DATA!$G$2:$G$441,"&lt;&gt;")&lt;3,"",SUMIFS(HISTORICAL_DATA!$G$2:$G$441,HISTORICAL_DATA!$A$2:$A$441,$A129,HISTORICAL_DATA!$D$2:$D$441,"&gt;="&amp;$E129,HISTORICAL_DATA!$D$2:$D$441,"&lt;="&amp;$F129)/3)</f>
        <v/>
      </c>
      <c r="I129" s="31" t="str">
        <f>IF(OR(G129="",H129=""),"FACILITY DATA MISSING",IF(AND(COUNTIFS($C$2:$C$221,C129,$D$2:$D$221,D129,$G$2:$G$221,"&lt;&gt;")=COUNTIF(OFFICIAL_ALLOCATIONS!$C$2:$C$111,C129),COUNTIFS($C$2:$C$221,C129,$D$2:$D$221,D129,$H$2:$H$221,"&lt;&gt;")=COUNTIF(OFFICIAL_ALLOCATIONS!$C$2:$C$111,C129)),"COMPLETE","SECTOR DATA INCOMPLETE"))</f>
        <v>FACILITY DATA MISSING</v>
      </c>
      <c r="J129" s="31" t="str">
        <f t="shared" si="3"/>
        <v/>
      </c>
      <c r="K129" s="62" t="str">
        <f>IF(COUNTIFS(POLICY_PARAMETERS!$B$2:$B$13,"g",POLICY_PARAMETERS!$E$2:$E$13,C129,POLICY_PARAMETERS!$F$2:$F$13,D129,POLICY_PARAMETERS!$G$2:$G$13,"&lt;&gt;")=0,"",SUMIFS(POLICY_PARAMETERS!$G$2:$G$13,POLICY_PARAMETERS!$B$2:$B$13,"g",POLICY_PARAMETERS!$E$2:$E$13,C129,POLICY_PARAMETERS!$F$2:$F$13,D129))</f>
        <v/>
      </c>
      <c r="L129" s="62" t="str">
        <f>IF(COUNTIFS(POLICY_PARAMETERS!$B$2:$B$13,"r",POLICY_PARAMETERS!$E$2:$E$13,C129,POLICY_PARAMETERS!$F$2:$F$13,D129,POLICY_PARAMETERS!$G$2:$G$13,"&lt;&gt;")=0,"",SUMIFS(POLICY_PARAMETERS!$G$2:$G$13,POLICY_PARAMETERS!$B$2:$B$13,"r",POLICY_PARAMETERS!$E$2:$E$13,C129,POLICY_PARAMETERS!$F$2:$F$13,D129))</f>
        <v/>
      </c>
      <c r="M129" s="61" t="str">
        <f t="shared" si="4"/>
        <v/>
      </c>
      <c r="N129" s="56" t="str">
        <f t="shared" si="5"/>
        <v/>
      </c>
      <c r="O129" s="26">
        <f>IF(D129=2025,IFERROR(VLOOKUP(A129,OFFICIAL_ALLOCATIONS!$A$2:$F$111,5,FALSE),""),IFERROR(VLOOKUP(A129,OFFICIAL_ALLOCATIONS!$A$2:$F$111,6,FALSE),""))</f>
        <v>188058</v>
      </c>
      <c r="P129" s="42" t="str">
        <f t="shared" si="6"/>
        <v/>
      </c>
      <c r="Q129" s="28" t="str">
        <f t="shared" si="7"/>
        <v/>
      </c>
      <c r="R129" s="5" t="str">
        <f t="shared" si="8"/>
        <v>MISSING HISTORICAL DATA</v>
      </c>
      <c r="S129" s="5" t="s">
        <v>179</v>
      </c>
      <c r="T129" s="5" t="s">
        <v>59</v>
      </c>
    </row>
    <row r="130" ht="15.75" customHeight="1">
      <c r="A130" s="5" t="s">
        <v>1037</v>
      </c>
      <c r="B130" s="5" t="s">
        <v>351</v>
      </c>
      <c r="C130" s="5" t="s">
        <v>123</v>
      </c>
      <c r="D130" s="5">
        <v>2025.0</v>
      </c>
      <c r="E130" s="5">
        <f t="shared" si="1"/>
        <v>2022</v>
      </c>
      <c r="F130" s="8">
        <f t="shared" si="2"/>
        <v>2024</v>
      </c>
      <c r="G130" s="31" t="str">
        <f>IF(COUNTIFS(HISTORICAL_DATA!$A$2:$A$441,$A130,HISTORICAL_DATA!$D$2:$D$441,"&gt;="&amp;$E130,HISTORICAL_DATA!$D$2:$D$441,"&lt;="&amp;$F130,HISTORICAL_DATA!$E$2:$E$441,"&lt;&gt;")&lt;3,"",SUMIFS(HISTORICAL_DATA!$E$2:$E$441,HISTORICAL_DATA!$A$2:$A$441,$A130,HISTORICAL_DATA!$D$2:$D$441,"&gt;="&amp;$E130,HISTORICAL_DATA!$D$2:$D$441,"&lt;="&amp;$F130)/3)</f>
        <v/>
      </c>
      <c r="H130" s="31" t="str">
        <f>IF(COUNTIFS(HISTORICAL_DATA!$A$2:$A$441,$A130,HISTORICAL_DATA!$D$2:$D$441,"&gt;="&amp;$E130,HISTORICAL_DATA!$D$2:$D$441,"&lt;="&amp;$F130,HISTORICAL_DATA!$G$2:$G$441,"&lt;&gt;")&lt;3,"",SUMIFS(HISTORICAL_DATA!$G$2:$G$441,HISTORICAL_DATA!$A$2:$A$441,$A130,HISTORICAL_DATA!$D$2:$D$441,"&gt;="&amp;$E130,HISTORICAL_DATA!$D$2:$D$441,"&lt;="&amp;$F130)/3)</f>
        <v/>
      </c>
      <c r="I130" s="31" t="str">
        <f>IF(OR(G130="",H130=""),"FACILITY DATA MISSING",IF(AND(COUNTIFS($C$2:$C$221,C130,$D$2:$D$221,D130,$G$2:$G$221,"&lt;&gt;")=COUNTIF(OFFICIAL_ALLOCATIONS!$C$2:$C$111,C130),COUNTIFS($C$2:$C$221,C130,$D$2:$D$221,D130,$H$2:$H$221,"&lt;&gt;")=COUNTIF(OFFICIAL_ALLOCATIONS!$C$2:$C$111,C130)),"COMPLETE","SECTOR DATA INCOMPLETE"))</f>
        <v>FACILITY DATA MISSING</v>
      </c>
      <c r="J130" s="31" t="str">
        <f t="shared" si="3"/>
        <v/>
      </c>
      <c r="K130" s="62" t="str">
        <f>IF(COUNTIFS(POLICY_PARAMETERS!$B$2:$B$13,"g",POLICY_PARAMETERS!$E$2:$E$13,C130,POLICY_PARAMETERS!$F$2:$F$13,D130,POLICY_PARAMETERS!$G$2:$G$13,"&lt;&gt;")=0,"",SUMIFS(POLICY_PARAMETERS!$G$2:$G$13,POLICY_PARAMETERS!$B$2:$B$13,"g",POLICY_PARAMETERS!$E$2:$E$13,C130,POLICY_PARAMETERS!$F$2:$F$13,D130))</f>
        <v/>
      </c>
      <c r="L130" s="62" t="str">
        <f>IF(COUNTIFS(POLICY_PARAMETERS!$B$2:$B$13,"r",POLICY_PARAMETERS!$E$2:$E$13,C130,POLICY_PARAMETERS!$F$2:$F$13,D130,POLICY_PARAMETERS!$G$2:$G$13,"&lt;&gt;")=0,"",SUMIFS(POLICY_PARAMETERS!$G$2:$G$13,POLICY_PARAMETERS!$B$2:$B$13,"r",POLICY_PARAMETERS!$E$2:$E$13,C130,POLICY_PARAMETERS!$F$2:$F$13,D130))</f>
        <v/>
      </c>
      <c r="M130" s="61" t="str">
        <f t="shared" si="4"/>
        <v/>
      </c>
      <c r="N130" s="56" t="str">
        <f t="shared" si="5"/>
        <v/>
      </c>
      <c r="O130" s="26">
        <f>IF(D130=2025,IFERROR(VLOOKUP(A130,OFFICIAL_ALLOCATIONS!$A$2:$F$111,5,FALSE),""),IFERROR(VLOOKUP(A130,OFFICIAL_ALLOCATIONS!$A$2:$F$111,6,FALSE),""))</f>
        <v>400233</v>
      </c>
      <c r="P130" s="42" t="str">
        <f t="shared" si="6"/>
        <v/>
      </c>
      <c r="Q130" s="28" t="str">
        <f t="shared" si="7"/>
        <v/>
      </c>
      <c r="R130" s="5" t="str">
        <f t="shared" si="8"/>
        <v>MISSING HISTORICAL DATA</v>
      </c>
      <c r="S130" s="5" t="s">
        <v>179</v>
      </c>
      <c r="T130" s="5" t="s">
        <v>59</v>
      </c>
    </row>
    <row r="131" ht="15.75" customHeight="1">
      <c r="A131" s="5" t="s">
        <v>1037</v>
      </c>
      <c r="B131" s="5" t="s">
        <v>351</v>
      </c>
      <c r="C131" s="5" t="s">
        <v>123</v>
      </c>
      <c r="D131" s="5">
        <v>2026.0</v>
      </c>
      <c r="E131" s="5">
        <f t="shared" si="1"/>
        <v>2023</v>
      </c>
      <c r="F131" s="8">
        <f t="shared" si="2"/>
        <v>2025</v>
      </c>
      <c r="G131" s="31" t="str">
        <f>IF(COUNTIFS(HISTORICAL_DATA!$A$2:$A$441,$A131,HISTORICAL_DATA!$D$2:$D$441,"&gt;="&amp;$E131,HISTORICAL_DATA!$D$2:$D$441,"&lt;="&amp;$F131,HISTORICAL_DATA!$E$2:$E$441,"&lt;&gt;")&lt;3,"",SUMIFS(HISTORICAL_DATA!$E$2:$E$441,HISTORICAL_DATA!$A$2:$A$441,$A131,HISTORICAL_DATA!$D$2:$D$441,"&gt;="&amp;$E131,HISTORICAL_DATA!$D$2:$D$441,"&lt;="&amp;$F131)/3)</f>
        <v/>
      </c>
      <c r="H131" s="31" t="str">
        <f>IF(COUNTIFS(HISTORICAL_DATA!$A$2:$A$441,$A131,HISTORICAL_DATA!$D$2:$D$441,"&gt;="&amp;$E131,HISTORICAL_DATA!$D$2:$D$441,"&lt;="&amp;$F131,HISTORICAL_DATA!$G$2:$G$441,"&lt;&gt;")&lt;3,"",SUMIFS(HISTORICAL_DATA!$G$2:$G$441,HISTORICAL_DATA!$A$2:$A$441,$A131,HISTORICAL_DATA!$D$2:$D$441,"&gt;="&amp;$E131,HISTORICAL_DATA!$D$2:$D$441,"&lt;="&amp;$F131)/3)</f>
        <v/>
      </c>
      <c r="I131" s="31" t="str">
        <f>IF(OR(G131="",H131=""),"FACILITY DATA MISSING",IF(AND(COUNTIFS($C$2:$C$221,C131,$D$2:$D$221,D131,$G$2:$G$221,"&lt;&gt;")=COUNTIF(OFFICIAL_ALLOCATIONS!$C$2:$C$111,C131),COUNTIFS($C$2:$C$221,C131,$D$2:$D$221,D131,$H$2:$H$221,"&lt;&gt;")=COUNTIF(OFFICIAL_ALLOCATIONS!$C$2:$C$111,C131)),"COMPLETE","SECTOR DATA INCOMPLETE"))</f>
        <v>FACILITY DATA MISSING</v>
      </c>
      <c r="J131" s="31" t="str">
        <f t="shared" si="3"/>
        <v/>
      </c>
      <c r="K131" s="62" t="str">
        <f>IF(COUNTIFS(POLICY_PARAMETERS!$B$2:$B$13,"g",POLICY_PARAMETERS!$E$2:$E$13,C131,POLICY_PARAMETERS!$F$2:$F$13,D131,POLICY_PARAMETERS!$G$2:$G$13,"&lt;&gt;")=0,"",SUMIFS(POLICY_PARAMETERS!$G$2:$G$13,POLICY_PARAMETERS!$B$2:$B$13,"g",POLICY_PARAMETERS!$E$2:$E$13,C131,POLICY_PARAMETERS!$F$2:$F$13,D131))</f>
        <v/>
      </c>
      <c r="L131" s="62" t="str">
        <f>IF(COUNTIFS(POLICY_PARAMETERS!$B$2:$B$13,"r",POLICY_PARAMETERS!$E$2:$E$13,C131,POLICY_PARAMETERS!$F$2:$F$13,D131,POLICY_PARAMETERS!$G$2:$G$13,"&lt;&gt;")=0,"",SUMIFS(POLICY_PARAMETERS!$G$2:$G$13,POLICY_PARAMETERS!$B$2:$B$13,"r",POLICY_PARAMETERS!$E$2:$E$13,C131,POLICY_PARAMETERS!$F$2:$F$13,D131))</f>
        <v/>
      </c>
      <c r="M131" s="61" t="str">
        <f t="shared" si="4"/>
        <v/>
      </c>
      <c r="N131" s="56" t="str">
        <f t="shared" si="5"/>
        <v/>
      </c>
      <c r="O131" s="26">
        <f>IF(D131=2025,IFERROR(VLOOKUP(A131,OFFICIAL_ALLOCATIONS!$A$2:$F$111,5,FALSE),""),IFERROR(VLOOKUP(A131,OFFICIAL_ALLOCATIONS!$A$2:$F$111,6,FALSE),""))</f>
        <v>437954</v>
      </c>
      <c r="P131" s="42" t="str">
        <f t="shared" si="6"/>
        <v/>
      </c>
      <c r="Q131" s="28" t="str">
        <f t="shared" si="7"/>
        <v/>
      </c>
      <c r="R131" s="5" t="str">
        <f t="shared" si="8"/>
        <v>MISSING HISTORICAL DATA</v>
      </c>
      <c r="S131" s="5" t="s">
        <v>179</v>
      </c>
      <c r="T131" s="5" t="s">
        <v>59</v>
      </c>
    </row>
    <row r="132" ht="15.75" customHeight="1">
      <c r="A132" s="5" t="s">
        <v>1038</v>
      </c>
      <c r="B132" s="5" t="s">
        <v>353</v>
      </c>
      <c r="C132" s="5" t="s">
        <v>123</v>
      </c>
      <c r="D132" s="5">
        <v>2025.0</v>
      </c>
      <c r="E132" s="5">
        <f t="shared" si="1"/>
        <v>2022</v>
      </c>
      <c r="F132" s="8">
        <f t="shared" si="2"/>
        <v>2024</v>
      </c>
      <c r="G132" s="31" t="str">
        <f>IF(COUNTIFS(HISTORICAL_DATA!$A$2:$A$441,$A132,HISTORICAL_DATA!$D$2:$D$441,"&gt;="&amp;$E132,HISTORICAL_DATA!$D$2:$D$441,"&lt;="&amp;$F132,HISTORICAL_DATA!$E$2:$E$441,"&lt;&gt;")&lt;3,"",SUMIFS(HISTORICAL_DATA!$E$2:$E$441,HISTORICAL_DATA!$A$2:$A$441,$A132,HISTORICAL_DATA!$D$2:$D$441,"&gt;="&amp;$E132,HISTORICAL_DATA!$D$2:$D$441,"&lt;="&amp;$F132)/3)</f>
        <v/>
      </c>
      <c r="H132" s="31" t="str">
        <f>IF(COUNTIFS(HISTORICAL_DATA!$A$2:$A$441,$A132,HISTORICAL_DATA!$D$2:$D$441,"&gt;="&amp;$E132,HISTORICAL_DATA!$D$2:$D$441,"&lt;="&amp;$F132,HISTORICAL_DATA!$G$2:$G$441,"&lt;&gt;")&lt;3,"",SUMIFS(HISTORICAL_DATA!$G$2:$G$441,HISTORICAL_DATA!$A$2:$A$441,$A132,HISTORICAL_DATA!$D$2:$D$441,"&gt;="&amp;$E132,HISTORICAL_DATA!$D$2:$D$441,"&lt;="&amp;$F132)/3)</f>
        <v/>
      </c>
      <c r="I132" s="31" t="str">
        <f>IF(OR(G132="",H132=""),"FACILITY DATA MISSING",IF(AND(COUNTIFS($C$2:$C$221,C132,$D$2:$D$221,D132,$G$2:$G$221,"&lt;&gt;")=COUNTIF(OFFICIAL_ALLOCATIONS!$C$2:$C$111,C132),COUNTIFS($C$2:$C$221,C132,$D$2:$D$221,D132,$H$2:$H$221,"&lt;&gt;")=COUNTIF(OFFICIAL_ALLOCATIONS!$C$2:$C$111,C132)),"COMPLETE","SECTOR DATA INCOMPLETE"))</f>
        <v>FACILITY DATA MISSING</v>
      </c>
      <c r="J132" s="31" t="str">
        <f t="shared" si="3"/>
        <v/>
      </c>
      <c r="K132" s="62" t="str">
        <f>IF(COUNTIFS(POLICY_PARAMETERS!$B$2:$B$13,"g",POLICY_PARAMETERS!$E$2:$E$13,C132,POLICY_PARAMETERS!$F$2:$F$13,D132,POLICY_PARAMETERS!$G$2:$G$13,"&lt;&gt;")=0,"",SUMIFS(POLICY_PARAMETERS!$G$2:$G$13,POLICY_PARAMETERS!$B$2:$B$13,"g",POLICY_PARAMETERS!$E$2:$E$13,C132,POLICY_PARAMETERS!$F$2:$F$13,D132))</f>
        <v/>
      </c>
      <c r="L132" s="62" t="str">
        <f>IF(COUNTIFS(POLICY_PARAMETERS!$B$2:$B$13,"r",POLICY_PARAMETERS!$E$2:$E$13,C132,POLICY_PARAMETERS!$F$2:$F$13,D132,POLICY_PARAMETERS!$G$2:$G$13,"&lt;&gt;")=0,"",SUMIFS(POLICY_PARAMETERS!$G$2:$G$13,POLICY_PARAMETERS!$B$2:$B$13,"r",POLICY_PARAMETERS!$E$2:$E$13,C132,POLICY_PARAMETERS!$F$2:$F$13,D132))</f>
        <v/>
      </c>
      <c r="M132" s="61" t="str">
        <f t="shared" si="4"/>
        <v/>
      </c>
      <c r="N132" s="56" t="str">
        <f t="shared" si="5"/>
        <v/>
      </c>
      <c r="O132" s="26">
        <f>IF(D132=2025,IFERROR(VLOOKUP(A132,OFFICIAL_ALLOCATIONS!$A$2:$F$111,5,FALSE),""),IFERROR(VLOOKUP(A132,OFFICIAL_ALLOCATIONS!$A$2:$F$111,6,FALSE),""))</f>
        <v>598709</v>
      </c>
      <c r="P132" s="42" t="str">
        <f t="shared" si="6"/>
        <v/>
      </c>
      <c r="Q132" s="28" t="str">
        <f t="shared" si="7"/>
        <v/>
      </c>
      <c r="R132" s="5" t="str">
        <f t="shared" si="8"/>
        <v>MISSING HISTORICAL DATA</v>
      </c>
      <c r="S132" s="5" t="s">
        <v>179</v>
      </c>
      <c r="T132" s="5" t="s">
        <v>59</v>
      </c>
    </row>
    <row r="133" ht="15.75" customHeight="1">
      <c r="A133" s="5" t="s">
        <v>1038</v>
      </c>
      <c r="B133" s="5" t="s">
        <v>353</v>
      </c>
      <c r="C133" s="5" t="s">
        <v>123</v>
      </c>
      <c r="D133" s="5">
        <v>2026.0</v>
      </c>
      <c r="E133" s="5">
        <f t="shared" si="1"/>
        <v>2023</v>
      </c>
      <c r="F133" s="8">
        <f t="shared" si="2"/>
        <v>2025</v>
      </c>
      <c r="G133" s="31" t="str">
        <f>IF(COUNTIFS(HISTORICAL_DATA!$A$2:$A$441,$A133,HISTORICAL_DATA!$D$2:$D$441,"&gt;="&amp;$E133,HISTORICAL_DATA!$D$2:$D$441,"&lt;="&amp;$F133,HISTORICAL_DATA!$E$2:$E$441,"&lt;&gt;")&lt;3,"",SUMIFS(HISTORICAL_DATA!$E$2:$E$441,HISTORICAL_DATA!$A$2:$A$441,$A133,HISTORICAL_DATA!$D$2:$D$441,"&gt;="&amp;$E133,HISTORICAL_DATA!$D$2:$D$441,"&lt;="&amp;$F133)/3)</f>
        <v/>
      </c>
      <c r="H133" s="31" t="str">
        <f>IF(COUNTIFS(HISTORICAL_DATA!$A$2:$A$441,$A133,HISTORICAL_DATA!$D$2:$D$441,"&gt;="&amp;$E133,HISTORICAL_DATA!$D$2:$D$441,"&lt;="&amp;$F133,HISTORICAL_DATA!$G$2:$G$441,"&lt;&gt;")&lt;3,"",SUMIFS(HISTORICAL_DATA!$G$2:$G$441,HISTORICAL_DATA!$A$2:$A$441,$A133,HISTORICAL_DATA!$D$2:$D$441,"&gt;="&amp;$E133,HISTORICAL_DATA!$D$2:$D$441,"&lt;="&amp;$F133)/3)</f>
        <v/>
      </c>
      <c r="I133" s="31" t="str">
        <f>IF(OR(G133="",H133=""),"FACILITY DATA MISSING",IF(AND(COUNTIFS($C$2:$C$221,C133,$D$2:$D$221,D133,$G$2:$G$221,"&lt;&gt;")=COUNTIF(OFFICIAL_ALLOCATIONS!$C$2:$C$111,C133),COUNTIFS($C$2:$C$221,C133,$D$2:$D$221,D133,$H$2:$H$221,"&lt;&gt;")=COUNTIF(OFFICIAL_ALLOCATIONS!$C$2:$C$111,C133)),"COMPLETE","SECTOR DATA INCOMPLETE"))</f>
        <v>FACILITY DATA MISSING</v>
      </c>
      <c r="J133" s="31" t="str">
        <f t="shared" si="3"/>
        <v/>
      </c>
      <c r="K133" s="62" t="str">
        <f>IF(COUNTIFS(POLICY_PARAMETERS!$B$2:$B$13,"g",POLICY_PARAMETERS!$E$2:$E$13,C133,POLICY_PARAMETERS!$F$2:$F$13,D133,POLICY_PARAMETERS!$G$2:$G$13,"&lt;&gt;")=0,"",SUMIFS(POLICY_PARAMETERS!$G$2:$G$13,POLICY_PARAMETERS!$B$2:$B$13,"g",POLICY_PARAMETERS!$E$2:$E$13,C133,POLICY_PARAMETERS!$F$2:$F$13,D133))</f>
        <v/>
      </c>
      <c r="L133" s="62" t="str">
        <f>IF(COUNTIFS(POLICY_PARAMETERS!$B$2:$B$13,"r",POLICY_PARAMETERS!$E$2:$E$13,C133,POLICY_PARAMETERS!$F$2:$F$13,D133,POLICY_PARAMETERS!$G$2:$G$13,"&lt;&gt;")=0,"",SUMIFS(POLICY_PARAMETERS!$G$2:$G$13,POLICY_PARAMETERS!$B$2:$B$13,"r",POLICY_PARAMETERS!$E$2:$E$13,C133,POLICY_PARAMETERS!$F$2:$F$13,D133))</f>
        <v/>
      </c>
      <c r="M133" s="61" t="str">
        <f t="shared" si="4"/>
        <v/>
      </c>
      <c r="N133" s="56" t="str">
        <f t="shared" si="5"/>
        <v/>
      </c>
      <c r="O133" s="26">
        <f>IF(D133=2025,IFERROR(VLOOKUP(A133,OFFICIAL_ALLOCATIONS!$A$2:$F$111,5,FALSE),""),IFERROR(VLOOKUP(A133,OFFICIAL_ALLOCATIONS!$A$2:$F$111,6,FALSE),""))</f>
        <v>655136</v>
      </c>
      <c r="P133" s="42" t="str">
        <f t="shared" si="6"/>
        <v/>
      </c>
      <c r="Q133" s="28" t="str">
        <f t="shared" si="7"/>
        <v/>
      </c>
      <c r="R133" s="5" t="str">
        <f t="shared" si="8"/>
        <v>MISSING HISTORICAL DATA</v>
      </c>
      <c r="S133" s="5" t="s">
        <v>179</v>
      </c>
      <c r="T133" s="5" t="s">
        <v>59</v>
      </c>
    </row>
    <row r="134" ht="15.75" customHeight="1">
      <c r="A134" s="5" t="s">
        <v>1039</v>
      </c>
      <c r="B134" s="5" t="s">
        <v>355</v>
      </c>
      <c r="C134" s="5" t="s">
        <v>123</v>
      </c>
      <c r="D134" s="5">
        <v>2025.0</v>
      </c>
      <c r="E134" s="5">
        <f t="shared" si="1"/>
        <v>2022</v>
      </c>
      <c r="F134" s="8">
        <f t="shared" si="2"/>
        <v>2024</v>
      </c>
      <c r="G134" s="31" t="str">
        <f>IF(COUNTIFS(HISTORICAL_DATA!$A$2:$A$441,$A134,HISTORICAL_DATA!$D$2:$D$441,"&gt;="&amp;$E134,HISTORICAL_DATA!$D$2:$D$441,"&lt;="&amp;$F134,HISTORICAL_DATA!$E$2:$E$441,"&lt;&gt;")&lt;3,"",SUMIFS(HISTORICAL_DATA!$E$2:$E$441,HISTORICAL_DATA!$A$2:$A$441,$A134,HISTORICAL_DATA!$D$2:$D$441,"&gt;="&amp;$E134,HISTORICAL_DATA!$D$2:$D$441,"&lt;="&amp;$F134)/3)</f>
        <v/>
      </c>
      <c r="H134" s="31" t="str">
        <f>IF(COUNTIFS(HISTORICAL_DATA!$A$2:$A$441,$A134,HISTORICAL_DATA!$D$2:$D$441,"&gt;="&amp;$E134,HISTORICAL_DATA!$D$2:$D$441,"&lt;="&amp;$F134,HISTORICAL_DATA!$G$2:$G$441,"&lt;&gt;")&lt;3,"",SUMIFS(HISTORICAL_DATA!$G$2:$G$441,HISTORICAL_DATA!$A$2:$A$441,$A134,HISTORICAL_DATA!$D$2:$D$441,"&gt;="&amp;$E134,HISTORICAL_DATA!$D$2:$D$441,"&lt;="&amp;$F134)/3)</f>
        <v/>
      </c>
      <c r="I134" s="31" t="str">
        <f>IF(OR(G134="",H134=""),"FACILITY DATA MISSING",IF(AND(COUNTIFS($C$2:$C$221,C134,$D$2:$D$221,D134,$G$2:$G$221,"&lt;&gt;")=COUNTIF(OFFICIAL_ALLOCATIONS!$C$2:$C$111,C134),COUNTIFS($C$2:$C$221,C134,$D$2:$D$221,D134,$H$2:$H$221,"&lt;&gt;")=COUNTIF(OFFICIAL_ALLOCATIONS!$C$2:$C$111,C134)),"COMPLETE","SECTOR DATA INCOMPLETE"))</f>
        <v>FACILITY DATA MISSING</v>
      </c>
      <c r="J134" s="31" t="str">
        <f t="shared" si="3"/>
        <v/>
      </c>
      <c r="K134" s="62" t="str">
        <f>IF(COUNTIFS(POLICY_PARAMETERS!$B$2:$B$13,"g",POLICY_PARAMETERS!$E$2:$E$13,C134,POLICY_PARAMETERS!$F$2:$F$13,D134,POLICY_PARAMETERS!$G$2:$G$13,"&lt;&gt;")=0,"",SUMIFS(POLICY_PARAMETERS!$G$2:$G$13,POLICY_PARAMETERS!$B$2:$B$13,"g",POLICY_PARAMETERS!$E$2:$E$13,C134,POLICY_PARAMETERS!$F$2:$F$13,D134))</f>
        <v/>
      </c>
      <c r="L134" s="62" t="str">
        <f>IF(COUNTIFS(POLICY_PARAMETERS!$B$2:$B$13,"r",POLICY_PARAMETERS!$E$2:$E$13,C134,POLICY_PARAMETERS!$F$2:$F$13,D134,POLICY_PARAMETERS!$G$2:$G$13,"&lt;&gt;")=0,"",SUMIFS(POLICY_PARAMETERS!$G$2:$G$13,POLICY_PARAMETERS!$B$2:$B$13,"r",POLICY_PARAMETERS!$E$2:$E$13,C134,POLICY_PARAMETERS!$F$2:$F$13,D134))</f>
        <v/>
      </c>
      <c r="M134" s="61" t="str">
        <f t="shared" si="4"/>
        <v/>
      </c>
      <c r="N134" s="56" t="str">
        <f t="shared" si="5"/>
        <v/>
      </c>
      <c r="O134" s="26">
        <f>IF(D134=2025,IFERROR(VLOOKUP(A134,OFFICIAL_ALLOCATIONS!$A$2:$F$111,5,FALSE),""),IFERROR(VLOOKUP(A134,OFFICIAL_ALLOCATIONS!$A$2:$F$111,6,FALSE),""))</f>
        <v>126022</v>
      </c>
      <c r="P134" s="42" t="str">
        <f t="shared" si="6"/>
        <v/>
      </c>
      <c r="Q134" s="28" t="str">
        <f t="shared" si="7"/>
        <v/>
      </c>
      <c r="R134" s="5" t="str">
        <f t="shared" si="8"/>
        <v>MISSING HISTORICAL DATA</v>
      </c>
      <c r="S134" s="5" t="s">
        <v>179</v>
      </c>
      <c r="T134" s="5" t="s">
        <v>59</v>
      </c>
    </row>
    <row r="135" ht="15.75" customHeight="1">
      <c r="A135" s="5" t="s">
        <v>1039</v>
      </c>
      <c r="B135" s="5" t="s">
        <v>355</v>
      </c>
      <c r="C135" s="5" t="s">
        <v>123</v>
      </c>
      <c r="D135" s="5">
        <v>2026.0</v>
      </c>
      <c r="E135" s="5">
        <f t="shared" si="1"/>
        <v>2023</v>
      </c>
      <c r="F135" s="8">
        <f t="shared" si="2"/>
        <v>2025</v>
      </c>
      <c r="G135" s="31" t="str">
        <f>IF(COUNTIFS(HISTORICAL_DATA!$A$2:$A$441,$A135,HISTORICAL_DATA!$D$2:$D$441,"&gt;="&amp;$E135,HISTORICAL_DATA!$D$2:$D$441,"&lt;="&amp;$F135,HISTORICAL_DATA!$E$2:$E$441,"&lt;&gt;")&lt;3,"",SUMIFS(HISTORICAL_DATA!$E$2:$E$441,HISTORICAL_DATA!$A$2:$A$441,$A135,HISTORICAL_DATA!$D$2:$D$441,"&gt;="&amp;$E135,HISTORICAL_DATA!$D$2:$D$441,"&lt;="&amp;$F135)/3)</f>
        <v/>
      </c>
      <c r="H135" s="31" t="str">
        <f>IF(COUNTIFS(HISTORICAL_DATA!$A$2:$A$441,$A135,HISTORICAL_DATA!$D$2:$D$441,"&gt;="&amp;$E135,HISTORICAL_DATA!$D$2:$D$441,"&lt;="&amp;$F135,HISTORICAL_DATA!$G$2:$G$441,"&lt;&gt;")&lt;3,"",SUMIFS(HISTORICAL_DATA!$G$2:$G$441,HISTORICAL_DATA!$A$2:$A$441,$A135,HISTORICAL_DATA!$D$2:$D$441,"&gt;="&amp;$E135,HISTORICAL_DATA!$D$2:$D$441,"&lt;="&amp;$F135)/3)</f>
        <v/>
      </c>
      <c r="I135" s="31" t="str">
        <f>IF(OR(G135="",H135=""),"FACILITY DATA MISSING",IF(AND(COUNTIFS($C$2:$C$221,C135,$D$2:$D$221,D135,$G$2:$G$221,"&lt;&gt;")=COUNTIF(OFFICIAL_ALLOCATIONS!$C$2:$C$111,C135),COUNTIFS($C$2:$C$221,C135,$D$2:$D$221,D135,$H$2:$H$221,"&lt;&gt;")=COUNTIF(OFFICIAL_ALLOCATIONS!$C$2:$C$111,C135)),"COMPLETE","SECTOR DATA INCOMPLETE"))</f>
        <v>FACILITY DATA MISSING</v>
      </c>
      <c r="J135" s="31" t="str">
        <f t="shared" si="3"/>
        <v/>
      </c>
      <c r="K135" s="62" t="str">
        <f>IF(COUNTIFS(POLICY_PARAMETERS!$B$2:$B$13,"g",POLICY_PARAMETERS!$E$2:$E$13,C135,POLICY_PARAMETERS!$F$2:$F$13,D135,POLICY_PARAMETERS!$G$2:$G$13,"&lt;&gt;")=0,"",SUMIFS(POLICY_PARAMETERS!$G$2:$G$13,POLICY_PARAMETERS!$B$2:$B$13,"g",POLICY_PARAMETERS!$E$2:$E$13,C135,POLICY_PARAMETERS!$F$2:$F$13,D135))</f>
        <v/>
      </c>
      <c r="L135" s="62" t="str">
        <f>IF(COUNTIFS(POLICY_PARAMETERS!$B$2:$B$13,"r",POLICY_PARAMETERS!$E$2:$E$13,C135,POLICY_PARAMETERS!$F$2:$F$13,D135,POLICY_PARAMETERS!$G$2:$G$13,"&lt;&gt;")=0,"",SUMIFS(POLICY_PARAMETERS!$G$2:$G$13,POLICY_PARAMETERS!$B$2:$B$13,"r",POLICY_PARAMETERS!$E$2:$E$13,C135,POLICY_PARAMETERS!$F$2:$F$13,D135))</f>
        <v/>
      </c>
      <c r="M135" s="61" t="str">
        <f t="shared" si="4"/>
        <v/>
      </c>
      <c r="N135" s="56" t="str">
        <f t="shared" si="5"/>
        <v/>
      </c>
      <c r="O135" s="26">
        <f>IF(D135=2025,IFERROR(VLOOKUP(A135,OFFICIAL_ALLOCATIONS!$A$2:$F$111,5,FALSE),""),IFERROR(VLOOKUP(A135,OFFICIAL_ALLOCATIONS!$A$2:$F$111,6,FALSE),""))</f>
        <v>137899</v>
      </c>
      <c r="P135" s="42" t="str">
        <f t="shared" si="6"/>
        <v/>
      </c>
      <c r="Q135" s="28" t="str">
        <f t="shared" si="7"/>
        <v/>
      </c>
      <c r="R135" s="5" t="str">
        <f t="shared" si="8"/>
        <v>MISSING HISTORICAL DATA</v>
      </c>
      <c r="S135" s="5" t="s">
        <v>179</v>
      </c>
      <c r="T135" s="5" t="s">
        <v>59</v>
      </c>
    </row>
    <row r="136" ht="15.75" customHeight="1">
      <c r="A136" s="5" t="s">
        <v>1040</v>
      </c>
      <c r="B136" s="5" t="s">
        <v>357</v>
      </c>
      <c r="C136" s="5" t="s">
        <v>123</v>
      </c>
      <c r="D136" s="5">
        <v>2025.0</v>
      </c>
      <c r="E136" s="5">
        <f t="shared" si="1"/>
        <v>2022</v>
      </c>
      <c r="F136" s="8">
        <f t="shared" si="2"/>
        <v>2024</v>
      </c>
      <c r="G136" s="31" t="str">
        <f>IF(COUNTIFS(HISTORICAL_DATA!$A$2:$A$441,$A136,HISTORICAL_DATA!$D$2:$D$441,"&gt;="&amp;$E136,HISTORICAL_DATA!$D$2:$D$441,"&lt;="&amp;$F136,HISTORICAL_DATA!$E$2:$E$441,"&lt;&gt;")&lt;3,"",SUMIFS(HISTORICAL_DATA!$E$2:$E$441,HISTORICAL_DATA!$A$2:$A$441,$A136,HISTORICAL_DATA!$D$2:$D$441,"&gt;="&amp;$E136,HISTORICAL_DATA!$D$2:$D$441,"&lt;="&amp;$F136)/3)</f>
        <v/>
      </c>
      <c r="H136" s="31" t="str">
        <f>IF(COUNTIFS(HISTORICAL_DATA!$A$2:$A$441,$A136,HISTORICAL_DATA!$D$2:$D$441,"&gt;="&amp;$E136,HISTORICAL_DATA!$D$2:$D$441,"&lt;="&amp;$F136,HISTORICAL_DATA!$G$2:$G$441,"&lt;&gt;")&lt;3,"",SUMIFS(HISTORICAL_DATA!$G$2:$G$441,HISTORICAL_DATA!$A$2:$A$441,$A136,HISTORICAL_DATA!$D$2:$D$441,"&gt;="&amp;$E136,HISTORICAL_DATA!$D$2:$D$441,"&lt;="&amp;$F136)/3)</f>
        <v/>
      </c>
      <c r="I136" s="31" t="str">
        <f>IF(OR(G136="",H136=""),"FACILITY DATA MISSING",IF(AND(COUNTIFS($C$2:$C$221,C136,$D$2:$D$221,D136,$G$2:$G$221,"&lt;&gt;")=COUNTIF(OFFICIAL_ALLOCATIONS!$C$2:$C$111,C136),COUNTIFS($C$2:$C$221,C136,$D$2:$D$221,D136,$H$2:$H$221,"&lt;&gt;")=COUNTIF(OFFICIAL_ALLOCATIONS!$C$2:$C$111,C136)),"COMPLETE","SECTOR DATA INCOMPLETE"))</f>
        <v>FACILITY DATA MISSING</v>
      </c>
      <c r="J136" s="31" t="str">
        <f t="shared" si="3"/>
        <v/>
      </c>
      <c r="K136" s="62" t="str">
        <f>IF(COUNTIFS(POLICY_PARAMETERS!$B$2:$B$13,"g",POLICY_PARAMETERS!$E$2:$E$13,C136,POLICY_PARAMETERS!$F$2:$F$13,D136,POLICY_PARAMETERS!$G$2:$G$13,"&lt;&gt;")=0,"",SUMIFS(POLICY_PARAMETERS!$G$2:$G$13,POLICY_PARAMETERS!$B$2:$B$13,"g",POLICY_PARAMETERS!$E$2:$E$13,C136,POLICY_PARAMETERS!$F$2:$F$13,D136))</f>
        <v/>
      </c>
      <c r="L136" s="62" t="str">
        <f>IF(COUNTIFS(POLICY_PARAMETERS!$B$2:$B$13,"r",POLICY_PARAMETERS!$E$2:$E$13,C136,POLICY_PARAMETERS!$F$2:$F$13,D136,POLICY_PARAMETERS!$G$2:$G$13,"&lt;&gt;")=0,"",SUMIFS(POLICY_PARAMETERS!$G$2:$G$13,POLICY_PARAMETERS!$B$2:$B$13,"r",POLICY_PARAMETERS!$E$2:$E$13,C136,POLICY_PARAMETERS!$F$2:$F$13,D136))</f>
        <v/>
      </c>
      <c r="M136" s="61" t="str">
        <f t="shared" si="4"/>
        <v/>
      </c>
      <c r="N136" s="56" t="str">
        <f t="shared" si="5"/>
        <v/>
      </c>
      <c r="O136" s="26">
        <f>IF(D136=2025,IFERROR(VLOOKUP(A136,OFFICIAL_ALLOCATIONS!$A$2:$F$111,5,FALSE),""),IFERROR(VLOOKUP(A136,OFFICIAL_ALLOCATIONS!$A$2:$F$111,6,FALSE),""))</f>
        <v>836948</v>
      </c>
      <c r="P136" s="42" t="str">
        <f t="shared" si="6"/>
        <v/>
      </c>
      <c r="Q136" s="28" t="str">
        <f t="shared" si="7"/>
        <v/>
      </c>
      <c r="R136" s="5" t="str">
        <f t="shared" si="8"/>
        <v>MISSING HISTORICAL DATA</v>
      </c>
      <c r="S136" s="5" t="s">
        <v>179</v>
      </c>
      <c r="T136" s="5" t="s">
        <v>59</v>
      </c>
    </row>
    <row r="137" ht="15.75" customHeight="1">
      <c r="A137" s="5" t="s">
        <v>1040</v>
      </c>
      <c r="B137" s="5" t="s">
        <v>357</v>
      </c>
      <c r="C137" s="5" t="s">
        <v>123</v>
      </c>
      <c r="D137" s="5">
        <v>2026.0</v>
      </c>
      <c r="E137" s="5">
        <f t="shared" si="1"/>
        <v>2023</v>
      </c>
      <c r="F137" s="8">
        <f t="shared" si="2"/>
        <v>2025</v>
      </c>
      <c r="G137" s="31" t="str">
        <f>IF(COUNTIFS(HISTORICAL_DATA!$A$2:$A$441,$A137,HISTORICAL_DATA!$D$2:$D$441,"&gt;="&amp;$E137,HISTORICAL_DATA!$D$2:$D$441,"&lt;="&amp;$F137,HISTORICAL_DATA!$E$2:$E$441,"&lt;&gt;")&lt;3,"",SUMIFS(HISTORICAL_DATA!$E$2:$E$441,HISTORICAL_DATA!$A$2:$A$441,$A137,HISTORICAL_DATA!$D$2:$D$441,"&gt;="&amp;$E137,HISTORICAL_DATA!$D$2:$D$441,"&lt;="&amp;$F137)/3)</f>
        <v/>
      </c>
      <c r="H137" s="31" t="str">
        <f>IF(COUNTIFS(HISTORICAL_DATA!$A$2:$A$441,$A137,HISTORICAL_DATA!$D$2:$D$441,"&gt;="&amp;$E137,HISTORICAL_DATA!$D$2:$D$441,"&lt;="&amp;$F137,HISTORICAL_DATA!$G$2:$G$441,"&lt;&gt;")&lt;3,"",SUMIFS(HISTORICAL_DATA!$G$2:$G$441,HISTORICAL_DATA!$A$2:$A$441,$A137,HISTORICAL_DATA!$D$2:$D$441,"&gt;="&amp;$E137,HISTORICAL_DATA!$D$2:$D$441,"&lt;="&amp;$F137)/3)</f>
        <v/>
      </c>
      <c r="I137" s="31" t="str">
        <f>IF(OR(G137="",H137=""),"FACILITY DATA MISSING",IF(AND(COUNTIFS($C$2:$C$221,C137,$D$2:$D$221,D137,$G$2:$G$221,"&lt;&gt;")=COUNTIF(OFFICIAL_ALLOCATIONS!$C$2:$C$111,C137),COUNTIFS($C$2:$C$221,C137,$D$2:$D$221,D137,$H$2:$H$221,"&lt;&gt;")=COUNTIF(OFFICIAL_ALLOCATIONS!$C$2:$C$111,C137)),"COMPLETE","SECTOR DATA INCOMPLETE"))</f>
        <v>FACILITY DATA MISSING</v>
      </c>
      <c r="J137" s="31" t="str">
        <f t="shared" si="3"/>
        <v/>
      </c>
      <c r="K137" s="62" t="str">
        <f>IF(COUNTIFS(POLICY_PARAMETERS!$B$2:$B$13,"g",POLICY_PARAMETERS!$E$2:$E$13,C137,POLICY_PARAMETERS!$F$2:$F$13,D137,POLICY_PARAMETERS!$G$2:$G$13,"&lt;&gt;")=0,"",SUMIFS(POLICY_PARAMETERS!$G$2:$G$13,POLICY_PARAMETERS!$B$2:$B$13,"g",POLICY_PARAMETERS!$E$2:$E$13,C137,POLICY_PARAMETERS!$F$2:$F$13,D137))</f>
        <v/>
      </c>
      <c r="L137" s="62" t="str">
        <f>IF(COUNTIFS(POLICY_PARAMETERS!$B$2:$B$13,"r",POLICY_PARAMETERS!$E$2:$E$13,C137,POLICY_PARAMETERS!$F$2:$F$13,D137,POLICY_PARAMETERS!$G$2:$G$13,"&lt;&gt;")=0,"",SUMIFS(POLICY_PARAMETERS!$G$2:$G$13,POLICY_PARAMETERS!$B$2:$B$13,"r",POLICY_PARAMETERS!$E$2:$E$13,C137,POLICY_PARAMETERS!$F$2:$F$13,D137))</f>
        <v/>
      </c>
      <c r="M137" s="61" t="str">
        <f t="shared" si="4"/>
        <v/>
      </c>
      <c r="N137" s="56" t="str">
        <f t="shared" si="5"/>
        <v/>
      </c>
      <c r="O137" s="26">
        <f>IF(D137=2025,IFERROR(VLOOKUP(A137,OFFICIAL_ALLOCATIONS!$A$2:$F$111,5,FALSE),""),IFERROR(VLOOKUP(A137,OFFICIAL_ALLOCATIONS!$A$2:$F$111,6,FALSE),""))</f>
        <v>915828</v>
      </c>
      <c r="P137" s="42" t="str">
        <f t="shared" si="6"/>
        <v/>
      </c>
      <c r="Q137" s="28" t="str">
        <f t="shared" si="7"/>
        <v/>
      </c>
      <c r="R137" s="5" t="str">
        <f t="shared" si="8"/>
        <v>MISSING HISTORICAL DATA</v>
      </c>
      <c r="S137" s="5" t="s">
        <v>179</v>
      </c>
      <c r="T137" s="5" t="s">
        <v>59</v>
      </c>
    </row>
    <row r="138" ht="15.75" customHeight="1">
      <c r="A138" s="5" t="s">
        <v>1041</v>
      </c>
      <c r="B138" s="5" t="s">
        <v>359</v>
      </c>
      <c r="C138" s="5" t="s">
        <v>123</v>
      </c>
      <c r="D138" s="5">
        <v>2025.0</v>
      </c>
      <c r="E138" s="5">
        <f t="shared" si="1"/>
        <v>2022</v>
      </c>
      <c r="F138" s="8">
        <f t="shared" si="2"/>
        <v>2024</v>
      </c>
      <c r="G138" s="31" t="str">
        <f>IF(COUNTIFS(HISTORICAL_DATA!$A$2:$A$441,$A138,HISTORICAL_DATA!$D$2:$D$441,"&gt;="&amp;$E138,HISTORICAL_DATA!$D$2:$D$441,"&lt;="&amp;$F138,HISTORICAL_DATA!$E$2:$E$441,"&lt;&gt;")&lt;3,"",SUMIFS(HISTORICAL_DATA!$E$2:$E$441,HISTORICAL_DATA!$A$2:$A$441,$A138,HISTORICAL_DATA!$D$2:$D$441,"&gt;="&amp;$E138,HISTORICAL_DATA!$D$2:$D$441,"&lt;="&amp;$F138)/3)</f>
        <v/>
      </c>
      <c r="H138" s="31" t="str">
        <f>IF(COUNTIFS(HISTORICAL_DATA!$A$2:$A$441,$A138,HISTORICAL_DATA!$D$2:$D$441,"&gt;="&amp;$E138,HISTORICAL_DATA!$D$2:$D$441,"&lt;="&amp;$F138,HISTORICAL_DATA!$G$2:$G$441,"&lt;&gt;")&lt;3,"",SUMIFS(HISTORICAL_DATA!$G$2:$G$441,HISTORICAL_DATA!$A$2:$A$441,$A138,HISTORICAL_DATA!$D$2:$D$441,"&gt;="&amp;$E138,HISTORICAL_DATA!$D$2:$D$441,"&lt;="&amp;$F138)/3)</f>
        <v/>
      </c>
      <c r="I138" s="31" t="str">
        <f>IF(OR(G138="",H138=""),"FACILITY DATA MISSING",IF(AND(COUNTIFS($C$2:$C$221,C138,$D$2:$D$221,D138,$G$2:$G$221,"&lt;&gt;")=COUNTIF(OFFICIAL_ALLOCATIONS!$C$2:$C$111,C138),COUNTIFS($C$2:$C$221,C138,$D$2:$D$221,D138,$H$2:$H$221,"&lt;&gt;")=COUNTIF(OFFICIAL_ALLOCATIONS!$C$2:$C$111,C138)),"COMPLETE","SECTOR DATA INCOMPLETE"))</f>
        <v>FACILITY DATA MISSING</v>
      </c>
      <c r="J138" s="31" t="str">
        <f t="shared" si="3"/>
        <v/>
      </c>
      <c r="K138" s="62" t="str">
        <f>IF(COUNTIFS(POLICY_PARAMETERS!$B$2:$B$13,"g",POLICY_PARAMETERS!$E$2:$E$13,C138,POLICY_PARAMETERS!$F$2:$F$13,D138,POLICY_PARAMETERS!$G$2:$G$13,"&lt;&gt;")=0,"",SUMIFS(POLICY_PARAMETERS!$G$2:$G$13,POLICY_PARAMETERS!$B$2:$B$13,"g",POLICY_PARAMETERS!$E$2:$E$13,C138,POLICY_PARAMETERS!$F$2:$F$13,D138))</f>
        <v/>
      </c>
      <c r="L138" s="62" t="str">
        <f>IF(COUNTIFS(POLICY_PARAMETERS!$B$2:$B$13,"r",POLICY_PARAMETERS!$E$2:$E$13,C138,POLICY_PARAMETERS!$F$2:$F$13,D138,POLICY_PARAMETERS!$G$2:$G$13,"&lt;&gt;")=0,"",SUMIFS(POLICY_PARAMETERS!$G$2:$G$13,POLICY_PARAMETERS!$B$2:$B$13,"r",POLICY_PARAMETERS!$E$2:$E$13,C138,POLICY_PARAMETERS!$F$2:$F$13,D138))</f>
        <v/>
      </c>
      <c r="M138" s="61" t="str">
        <f t="shared" si="4"/>
        <v/>
      </c>
      <c r="N138" s="56" t="str">
        <f t="shared" si="5"/>
        <v/>
      </c>
      <c r="O138" s="26">
        <f>IF(D138=2025,IFERROR(VLOOKUP(A138,OFFICIAL_ALLOCATIONS!$A$2:$F$111,5,FALSE),""),IFERROR(VLOOKUP(A138,OFFICIAL_ALLOCATIONS!$A$2:$F$111,6,FALSE),""))</f>
        <v>124008</v>
      </c>
      <c r="P138" s="42" t="str">
        <f t="shared" si="6"/>
        <v/>
      </c>
      <c r="Q138" s="28" t="str">
        <f t="shared" si="7"/>
        <v/>
      </c>
      <c r="R138" s="5" t="str">
        <f t="shared" si="8"/>
        <v>MISSING HISTORICAL DATA</v>
      </c>
      <c r="S138" s="5" t="s">
        <v>179</v>
      </c>
      <c r="T138" s="5" t="s">
        <v>59</v>
      </c>
    </row>
    <row r="139" ht="15.75" customHeight="1">
      <c r="A139" s="5" t="s">
        <v>1041</v>
      </c>
      <c r="B139" s="5" t="s">
        <v>359</v>
      </c>
      <c r="C139" s="5" t="s">
        <v>123</v>
      </c>
      <c r="D139" s="5">
        <v>2026.0</v>
      </c>
      <c r="E139" s="5">
        <f t="shared" si="1"/>
        <v>2023</v>
      </c>
      <c r="F139" s="8">
        <f t="shared" si="2"/>
        <v>2025</v>
      </c>
      <c r="G139" s="31" t="str">
        <f>IF(COUNTIFS(HISTORICAL_DATA!$A$2:$A$441,$A139,HISTORICAL_DATA!$D$2:$D$441,"&gt;="&amp;$E139,HISTORICAL_DATA!$D$2:$D$441,"&lt;="&amp;$F139,HISTORICAL_DATA!$E$2:$E$441,"&lt;&gt;")&lt;3,"",SUMIFS(HISTORICAL_DATA!$E$2:$E$441,HISTORICAL_DATA!$A$2:$A$441,$A139,HISTORICAL_DATA!$D$2:$D$441,"&gt;="&amp;$E139,HISTORICAL_DATA!$D$2:$D$441,"&lt;="&amp;$F139)/3)</f>
        <v/>
      </c>
      <c r="H139" s="31" t="str">
        <f>IF(COUNTIFS(HISTORICAL_DATA!$A$2:$A$441,$A139,HISTORICAL_DATA!$D$2:$D$441,"&gt;="&amp;$E139,HISTORICAL_DATA!$D$2:$D$441,"&lt;="&amp;$F139,HISTORICAL_DATA!$G$2:$G$441,"&lt;&gt;")&lt;3,"",SUMIFS(HISTORICAL_DATA!$G$2:$G$441,HISTORICAL_DATA!$A$2:$A$441,$A139,HISTORICAL_DATA!$D$2:$D$441,"&gt;="&amp;$E139,HISTORICAL_DATA!$D$2:$D$441,"&lt;="&amp;$F139)/3)</f>
        <v/>
      </c>
      <c r="I139" s="31" t="str">
        <f>IF(OR(G139="",H139=""),"FACILITY DATA MISSING",IF(AND(COUNTIFS($C$2:$C$221,C139,$D$2:$D$221,D139,$G$2:$G$221,"&lt;&gt;")=COUNTIF(OFFICIAL_ALLOCATIONS!$C$2:$C$111,C139),COUNTIFS($C$2:$C$221,C139,$D$2:$D$221,D139,$H$2:$H$221,"&lt;&gt;")=COUNTIF(OFFICIAL_ALLOCATIONS!$C$2:$C$111,C139)),"COMPLETE","SECTOR DATA INCOMPLETE"))</f>
        <v>FACILITY DATA MISSING</v>
      </c>
      <c r="J139" s="31" t="str">
        <f t="shared" si="3"/>
        <v/>
      </c>
      <c r="K139" s="62" t="str">
        <f>IF(COUNTIFS(POLICY_PARAMETERS!$B$2:$B$13,"g",POLICY_PARAMETERS!$E$2:$E$13,C139,POLICY_PARAMETERS!$F$2:$F$13,D139,POLICY_PARAMETERS!$G$2:$G$13,"&lt;&gt;")=0,"",SUMIFS(POLICY_PARAMETERS!$G$2:$G$13,POLICY_PARAMETERS!$B$2:$B$13,"g",POLICY_PARAMETERS!$E$2:$E$13,C139,POLICY_PARAMETERS!$F$2:$F$13,D139))</f>
        <v/>
      </c>
      <c r="L139" s="62" t="str">
        <f>IF(COUNTIFS(POLICY_PARAMETERS!$B$2:$B$13,"r",POLICY_PARAMETERS!$E$2:$E$13,C139,POLICY_PARAMETERS!$F$2:$F$13,D139,POLICY_PARAMETERS!$G$2:$G$13,"&lt;&gt;")=0,"",SUMIFS(POLICY_PARAMETERS!$G$2:$G$13,POLICY_PARAMETERS!$B$2:$B$13,"r",POLICY_PARAMETERS!$E$2:$E$13,C139,POLICY_PARAMETERS!$F$2:$F$13,D139))</f>
        <v/>
      </c>
      <c r="M139" s="61" t="str">
        <f t="shared" si="4"/>
        <v/>
      </c>
      <c r="N139" s="56" t="str">
        <f t="shared" si="5"/>
        <v/>
      </c>
      <c r="O139" s="26">
        <f>IF(D139=2025,IFERROR(VLOOKUP(A139,OFFICIAL_ALLOCATIONS!$A$2:$F$111,5,FALSE),""),IFERROR(VLOOKUP(A139,OFFICIAL_ALLOCATIONS!$A$2:$F$111,6,FALSE),""))</f>
        <v>135696</v>
      </c>
      <c r="P139" s="42" t="str">
        <f t="shared" si="6"/>
        <v/>
      </c>
      <c r="Q139" s="28" t="str">
        <f t="shared" si="7"/>
        <v/>
      </c>
      <c r="R139" s="5" t="str">
        <f t="shared" si="8"/>
        <v>MISSING HISTORICAL DATA</v>
      </c>
      <c r="S139" s="5" t="s">
        <v>179</v>
      </c>
      <c r="T139" s="5" t="s">
        <v>59</v>
      </c>
    </row>
    <row r="140" ht="15.75" customHeight="1">
      <c r="A140" s="5" t="s">
        <v>1042</v>
      </c>
      <c r="B140" s="5" t="s">
        <v>361</v>
      </c>
      <c r="C140" s="5" t="s">
        <v>123</v>
      </c>
      <c r="D140" s="5">
        <v>2025.0</v>
      </c>
      <c r="E140" s="5">
        <f t="shared" si="1"/>
        <v>2022</v>
      </c>
      <c r="F140" s="8">
        <f t="shared" si="2"/>
        <v>2024</v>
      </c>
      <c r="G140" s="31" t="str">
        <f>IF(COUNTIFS(HISTORICAL_DATA!$A$2:$A$441,$A140,HISTORICAL_DATA!$D$2:$D$441,"&gt;="&amp;$E140,HISTORICAL_DATA!$D$2:$D$441,"&lt;="&amp;$F140,HISTORICAL_DATA!$E$2:$E$441,"&lt;&gt;")&lt;3,"",SUMIFS(HISTORICAL_DATA!$E$2:$E$441,HISTORICAL_DATA!$A$2:$A$441,$A140,HISTORICAL_DATA!$D$2:$D$441,"&gt;="&amp;$E140,HISTORICAL_DATA!$D$2:$D$441,"&lt;="&amp;$F140)/3)</f>
        <v/>
      </c>
      <c r="H140" s="31" t="str">
        <f>IF(COUNTIFS(HISTORICAL_DATA!$A$2:$A$441,$A140,HISTORICAL_DATA!$D$2:$D$441,"&gt;="&amp;$E140,HISTORICAL_DATA!$D$2:$D$441,"&lt;="&amp;$F140,HISTORICAL_DATA!$G$2:$G$441,"&lt;&gt;")&lt;3,"",SUMIFS(HISTORICAL_DATA!$G$2:$G$441,HISTORICAL_DATA!$A$2:$A$441,$A140,HISTORICAL_DATA!$D$2:$D$441,"&gt;="&amp;$E140,HISTORICAL_DATA!$D$2:$D$441,"&lt;="&amp;$F140)/3)</f>
        <v/>
      </c>
      <c r="I140" s="31" t="str">
        <f>IF(OR(G140="",H140=""),"FACILITY DATA MISSING",IF(AND(COUNTIFS($C$2:$C$221,C140,$D$2:$D$221,D140,$G$2:$G$221,"&lt;&gt;")=COUNTIF(OFFICIAL_ALLOCATIONS!$C$2:$C$111,C140),COUNTIFS($C$2:$C$221,C140,$D$2:$D$221,D140,$H$2:$H$221,"&lt;&gt;")=COUNTIF(OFFICIAL_ALLOCATIONS!$C$2:$C$111,C140)),"COMPLETE","SECTOR DATA INCOMPLETE"))</f>
        <v>FACILITY DATA MISSING</v>
      </c>
      <c r="J140" s="31" t="str">
        <f t="shared" si="3"/>
        <v/>
      </c>
      <c r="K140" s="62" t="str">
        <f>IF(COUNTIFS(POLICY_PARAMETERS!$B$2:$B$13,"g",POLICY_PARAMETERS!$E$2:$E$13,C140,POLICY_PARAMETERS!$F$2:$F$13,D140,POLICY_PARAMETERS!$G$2:$G$13,"&lt;&gt;")=0,"",SUMIFS(POLICY_PARAMETERS!$G$2:$G$13,POLICY_PARAMETERS!$B$2:$B$13,"g",POLICY_PARAMETERS!$E$2:$E$13,C140,POLICY_PARAMETERS!$F$2:$F$13,D140))</f>
        <v/>
      </c>
      <c r="L140" s="62" t="str">
        <f>IF(COUNTIFS(POLICY_PARAMETERS!$B$2:$B$13,"r",POLICY_PARAMETERS!$E$2:$E$13,C140,POLICY_PARAMETERS!$F$2:$F$13,D140,POLICY_PARAMETERS!$G$2:$G$13,"&lt;&gt;")=0,"",SUMIFS(POLICY_PARAMETERS!$G$2:$G$13,POLICY_PARAMETERS!$B$2:$B$13,"r",POLICY_PARAMETERS!$E$2:$E$13,C140,POLICY_PARAMETERS!$F$2:$F$13,D140))</f>
        <v/>
      </c>
      <c r="M140" s="61" t="str">
        <f t="shared" si="4"/>
        <v/>
      </c>
      <c r="N140" s="56" t="str">
        <f t="shared" si="5"/>
        <v/>
      </c>
      <c r="O140" s="26">
        <f>IF(D140=2025,IFERROR(VLOOKUP(A140,OFFICIAL_ALLOCATIONS!$A$2:$F$111,5,FALSE),""),IFERROR(VLOOKUP(A140,OFFICIAL_ALLOCATIONS!$A$2:$F$111,6,FALSE),""))</f>
        <v>638702</v>
      </c>
      <c r="P140" s="42" t="str">
        <f t="shared" si="6"/>
        <v/>
      </c>
      <c r="Q140" s="28" t="str">
        <f t="shared" si="7"/>
        <v/>
      </c>
      <c r="R140" s="5" t="str">
        <f t="shared" si="8"/>
        <v>MISSING HISTORICAL DATA</v>
      </c>
      <c r="S140" s="5" t="s">
        <v>179</v>
      </c>
      <c r="T140" s="5" t="s">
        <v>59</v>
      </c>
    </row>
    <row r="141" ht="15.75" customHeight="1">
      <c r="A141" s="5" t="s">
        <v>1042</v>
      </c>
      <c r="B141" s="5" t="s">
        <v>361</v>
      </c>
      <c r="C141" s="5" t="s">
        <v>123</v>
      </c>
      <c r="D141" s="5">
        <v>2026.0</v>
      </c>
      <c r="E141" s="5">
        <f t="shared" si="1"/>
        <v>2023</v>
      </c>
      <c r="F141" s="8">
        <f t="shared" si="2"/>
        <v>2025</v>
      </c>
      <c r="G141" s="31" t="str">
        <f>IF(COUNTIFS(HISTORICAL_DATA!$A$2:$A$441,$A141,HISTORICAL_DATA!$D$2:$D$441,"&gt;="&amp;$E141,HISTORICAL_DATA!$D$2:$D$441,"&lt;="&amp;$F141,HISTORICAL_DATA!$E$2:$E$441,"&lt;&gt;")&lt;3,"",SUMIFS(HISTORICAL_DATA!$E$2:$E$441,HISTORICAL_DATA!$A$2:$A$441,$A141,HISTORICAL_DATA!$D$2:$D$441,"&gt;="&amp;$E141,HISTORICAL_DATA!$D$2:$D$441,"&lt;="&amp;$F141)/3)</f>
        <v/>
      </c>
      <c r="H141" s="31" t="str">
        <f>IF(COUNTIFS(HISTORICAL_DATA!$A$2:$A$441,$A141,HISTORICAL_DATA!$D$2:$D$441,"&gt;="&amp;$E141,HISTORICAL_DATA!$D$2:$D$441,"&lt;="&amp;$F141,HISTORICAL_DATA!$G$2:$G$441,"&lt;&gt;")&lt;3,"",SUMIFS(HISTORICAL_DATA!$G$2:$G$441,HISTORICAL_DATA!$A$2:$A$441,$A141,HISTORICAL_DATA!$D$2:$D$441,"&gt;="&amp;$E141,HISTORICAL_DATA!$D$2:$D$441,"&lt;="&amp;$F141)/3)</f>
        <v/>
      </c>
      <c r="I141" s="31" t="str">
        <f>IF(OR(G141="",H141=""),"FACILITY DATA MISSING",IF(AND(COUNTIFS($C$2:$C$221,C141,$D$2:$D$221,D141,$G$2:$G$221,"&lt;&gt;")=COUNTIF(OFFICIAL_ALLOCATIONS!$C$2:$C$111,C141),COUNTIFS($C$2:$C$221,C141,$D$2:$D$221,D141,$H$2:$H$221,"&lt;&gt;")=COUNTIF(OFFICIAL_ALLOCATIONS!$C$2:$C$111,C141)),"COMPLETE","SECTOR DATA INCOMPLETE"))</f>
        <v>FACILITY DATA MISSING</v>
      </c>
      <c r="J141" s="31" t="str">
        <f t="shared" si="3"/>
        <v/>
      </c>
      <c r="K141" s="62" t="str">
        <f>IF(COUNTIFS(POLICY_PARAMETERS!$B$2:$B$13,"g",POLICY_PARAMETERS!$E$2:$E$13,C141,POLICY_PARAMETERS!$F$2:$F$13,D141,POLICY_PARAMETERS!$G$2:$G$13,"&lt;&gt;")=0,"",SUMIFS(POLICY_PARAMETERS!$G$2:$G$13,POLICY_PARAMETERS!$B$2:$B$13,"g",POLICY_PARAMETERS!$E$2:$E$13,C141,POLICY_PARAMETERS!$F$2:$F$13,D141))</f>
        <v/>
      </c>
      <c r="L141" s="62" t="str">
        <f>IF(COUNTIFS(POLICY_PARAMETERS!$B$2:$B$13,"r",POLICY_PARAMETERS!$E$2:$E$13,C141,POLICY_PARAMETERS!$F$2:$F$13,D141,POLICY_PARAMETERS!$G$2:$G$13,"&lt;&gt;")=0,"",SUMIFS(POLICY_PARAMETERS!$G$2:$G$13,POLICY_PARAMETERS!$B$2:$B$13,"r",POLICY_PARAMETERS!$E$2:$E$13,C141,POLICY_PARAMETERS!$F$2:$F$13,D141))</f>
        <v/>
      </c>
      <c r="M141" s="61" t="str">
        <f t="shared" si="4"/>
        <v/>
      </c>
      <c r="N141" s="56" t="str">
        <f t="shared" si="5"/>
        <v/>
      </c>
      <c r="O141" s="26">
        <f>IF(D141=2025,IFERROR(VLOOKUP(A141,OFFICIAL_ALLOCATIONS!$A$2:$F$111,5,FALSE),""),IFERROR(VLOOKUP(A141,OFFICIAL_ALLOCATIONS!$A$2:$F$111,6,FALSE),""))</f>
        <v>698898</v>
      </c>
      <c r="P141" s="42" t="str">
        <f t="shared" si="6"/>
        <v/>
      </c>
      <c r="Q141" s="28" t="str">
        <f t="shared" si="7"/>
        <v/>
      </c>
      <c r="R141" s="5" t="str">
        <f t="shared" si="8"/>
        <v>MISSING HISTORICAL DATA</v>
      </c>
      <c r="S141" s="5" t="s">
        <v>179</v>
      </c>
      <c r="T141" s="5" t="s">
        <v>59</v>
      </c>
    </row>
    <row r="142" ht="15.75" customHeight="1">
      <c r="A142" s="5" t="s">
        <v>1043</v>
      </c>
      <c r="B142" s="5" t="s">
        <v>363</v>
      </c>
      <c r="C142" s="5" t="s">
        <v>123</v>
      </c>
      <c r="D142" s="5">
        <v>2025.0</v>
      </c>
      <c r="E142" s="5">
        <f t="shared" si="1"/>
        <v>2022</v>
      </c>
      <c r="F142" s="8">
        <f t="shared" si="2"/>
        <v>2024</v>
      </c>
      <c r="G142" s="31" t="str">
        <f>IF(COUNTIFS(HISTORICAL_DATA!$A$2:$A$441,$A142,HISTORICAL_DATA!$D$2:$D$441,"&gt;="&amp;$E142,HISTORICAL_DATA!$D$2:$D$441,"&lt;="&amp;$F142,HISTORICAL_DATA!$E$2:$E$441,"&lt;&gt;")&lt;3,"",SUMIFS(HISTORICAL_DATA!$E$2:$E$441,HISTORICAL_DATA!$A$2:$A$441,$A142,HISTORICAL_DATA!$D$2:$D$441,"&gt;="&amp;$E142,HISTORICAL_DATA!$D$2:$D$441,"&lt;="&amp;$F142)/3)</f>
        <v/>
      </c>
      <c r="H142" s="31" t="str">
        <f>IF(COUNTIFS(HISTORICAL_DATA!$A$2:$A$441,$A142,HISTORICAL_DATA!$D$2:$D$441,"&gt;="&amp;$E142,HISTORICAL_DATA!$D$2:$D$441,"&lt;="&amp;$F142,HISTORICAL_DATA!$G$2:$G$441,"&lt;&gt;")&lt;3,"",SUMIFS(HISTORICAL_DATA!$G$2:$G$441,HISTORICAL_DATA!$A$2:$A$441,$A142,HISTORICAL_DATA!$D$2:$D$441,"&gt;="&amp;$E142,HISTORICAL_DATA!$D$2:$D$441,"&lt;="&amp;$F142)/3)</f>
        <v/>
      </c>
      <c r="I142" s="31" t="str">
        <f>IF(OR(G142="",H142=""),"FACILITY DATA MISSING",IF(AND(COUNTIFS($C$2:$C$221,C142,$D$2:$D$221,D142,$G$2:$G$221,"&lt;&gt;")=COUNTIF(OFFICIAL_ALLOCATIONS!$C$2:$C$111,C142),COUNTIFS($C$2:$C$221,C142,$D$2:$D$221,D142,$H$2:$H$221,"&lt;&gt;")=COUNTIF(OFFICIAL_ALLOCATIONS!$C$2:$C$111,C142)),"COMPLETE","SECTOR DATA INCOMPLETE"))</f>
        <v>FACILITY DATA MISSING</v>
      </c>
      <c r="J142" s="31" t="str">
        <f t="shared" si="3"/>
        <v/>
      </c>
      <c r="K142" s="62" t="str">
        <f>IF(COUNTIFS(POLICY_PARAMETERS!$B$2:$B$13,"g",POLICY_PARAMETERS!$E$2:$E$13,C142,POLICY_PARAMETERS!$F$2:$F$13,D142,POLICY_PARAMETERS!$G$2:$G$13,"&lt;&gt;")=0,"",SUMIFS(POLICY_PARAMETERS!$G$2:$G$13,POLICY_PARAMETERS!$B$2:$B$13,"g",POLICY_PARAMETERS!$E$2:$E$13,C142,POLICY_PARAMETERS!$F$2:$F$13,D142))</f>
        <v/>
      </c>
      <c r="L142" s="62" t="str">
        <f>IF(COUNTIFS(POLICY_PARAMETERS!$B$2:$B$13,"r",POLICY_PARAMETERS!$E$2:$E$13,C142,POLICY_PARAMETERS!$F$2:$F$13,D142,POLICY_PARAMETERS!$G$2:$G$13,"&lt;&gt;")=0,"",SUMIFS(POLICY_PARAMETERS!$G$2:$G$13,POLICY_PARAMETERS!$B$2:$B$13,"r",POLICY_PARAMETERS!$E$2:$E$13,C142,POLICY_PARAMETERS!$F$2:$F$13,D142))</f>
        <v/>
      </c>
      <c r="M142" s="61" t="str">
        <f t="shared" si="4"/>
        <v/>
      </c>
      <c r="N142" s="56" t="str">
        <f t="shared" si="5"/>
        <v/>
      </c>
      <c r="O142" s="26">
        <f>IF(D142=2025,IFERROR(VLOOKUP(A142,OFFICIAL_ALLOCATIONS!$A$2:$F$111,5,FALSE),""),IFERROR(VLOOKUP(A142,OFFICIAL_ALLOCATIONS!$A$2:$F$111,6,FALSE),""))</f>
        <v>592455</v>
      </c>
      <c r="P142" s="42" t="str">
        <f t="shared" si="6"/>
        <v/>
      </c>
      <c r="Q142" s="28" t="str">
        <f t="shared" si="7"/>
        <v/>
      </c>
      <c r="R142" s="5" t="str">
        <f t="shared" si="8"/>
        <v>MISSING HISTORICAL DATA</v>
      </c>
      <c r="S142" s="5" t="s">
        <v>179</v>
      </c>
      <c r="T142" s="5" t="s">
        <v>59</v>
      </c>
    </row>
    <row r="143" ht="15.75" customHeight="1">
      <c r="A143" s="5" t="s">
        <v>1043</v>
      </c>
      <c r="B143" s="5" t="s">
        <v>363</v>
      </c>
      <c r="C143" s="5" t="s">
        <v>123</v>
      </c>
      <c r="D143" s="5">
        <v>2026.0</v>
      </c>
      <c r="E143" s="5">
        <f t="shared" si="1"/>
        <v>2023</v>
      </c>
      <c r="F143" s="8">
        <f t="shared" si="2"/>
        <v>2025</v>
      </c>
      <c r="G143" s="31" t="str">
        <f>IF(COUNTIFS(HISTORICAL_DATA!$A$2:$A$441,$A143,HISTORICAL_DATA!$D$2:$D$441,"&gt;="&amp;$E143,HISTORICAL_DATA!$D$2:$D$441,"&lt;="&amp;$F143,HISTORICAL_DATA!$E$2:$E$441,"&lt;&gt;")&lt;3,"",SUMIFS(HISTORICAL_DATA!$E$2:$E$441,HISTORICAL_DATA!$A$2:$A$441,$A143,HISTORICAL_DATA!$D$2:$D$441,"&gt;="&amp;$E143,HISTORICAL_DATA!$D$2:$D$441,"&lt;="&amp;$F143)/3)</f>
        <v/>
      </c>
      <c r="H143" s="31" t="str">
        <f>IF(COUNTIFS(HISTORICAL_DATA!$A$2:$A$441,$A143,HISTORICAL_DATA!$D$2:$D$441,"&gt;="&amp;$E143,HISTORICAL_DATA!$D$2:$D$441,"&lt;="&amp;$F143,HISTORICAL_DATA!$G$2:$G$441,"&lt;&gt;")&lt;3,"",SUMIFS(HISTORICAL_DATA!$G$2:$G$441,HISTORICAL_DATA!$A$2:$A$441,$A143,HISTORICAL_DATA!$D$2:$D$441,"&gt;="&amp;$E143,HISTORICAL_DATA!$D$2:$D$441,"&lt;="&amp;$F143)/3)</f>
        <v/>
      </c>
      <c r="I143" s="31" t="str">
        <f>IF(OR(G143="",H143=""),"FACILITY DATA MISSING",IF(AND(COUNTIFS($C$2:$C$221,C143,$D$2:$D$221,D143,$G$2:$G$221,"&lt;&gt;")=COUNTIF(OFFICIAL_ALLOCATIONS!$C$2:$C$111,C143),COUNTIFS($C$2:$C$221,C143,$D$2:$D$221,D143,$H$2:$H$221,"&lt;&gt;")=COUNTIF(OFFICIAL_ALLOCATIONS!$C$2:$C$111,C143)),"COMPLETE","SECTOR DATA INCOMPLETE"))</f>
        <v>FACILITY DATA MISSING</v>
      </c>
      <c r="J143" s="31" t="str">
        <f t="shared" si="3"/>
        <v/>
      </c>
      <c r="K143" s="62" t="str">
        <f>IF(COUNTIFS(POLICY_PARAMETERS!$B$2:$B$13,"g",POLICY_PARAMETERS!$E$2:$E$13,C143,POLICY_PARAMETERS!$F$2:$F$13,D143,POLICY_PARAMETERS!$G$2:$G$13,"&lt;&gt;")=0,"",SUMIFS(POLICY_PARAMETERS!$G$2:$G$13,POLICY_PARAMETERS!$B$2:$B$13,"g",POLICY_PARAMETERS!$E$2:$E$13,C143,POLICY_PARAMETERS!$F$2:$F$13,D143))</f>
        <v/>
      </c>
      <c r="L143" s="62" t="str">
        <f>IF(COUNTIFS(POLICY_PARAMETERS!$B$2:$B$13,"r",POLICY_PARAMETERS!$E$2:$E$13,C143,POLICY_PARAMETERS!$F$2:$F$13,D143,POLICY_PARAMETERS!$G$2:$G$13,"&lt;&gt;")=0,"",SUMIFS(POLICY_PARAMETERS!$G$2:$G$13,POLICY_PARAMETERS!$B$2:$B$13,"r",POLICY_PARAMETERS!$E$2:$E$13,C143,POLICY_PARAMETERS!$F$2:$F$13,D143))</f>
        <v/>
      </c>
      <c r="M143" s="61" t="str">
        <f t="shared" si="4"/>
        <v/>
      </c>
      <c r="N143" s="56" t="str">
        <f t="shared" si="5"/>
        <v/>
      </c>
      <c r="O143" s="26">
        <f>IF(D143=2025,IFERROR(VLOOKUP(A143,OFFICIAL_ALLOCATIONS!$A$2:$F$111,5,FALSE),""),IFERROR(VLOOKUP(A143,OFFICIAL_ALLOCATIONS!$A$2:$F$111,6,FALSE),""))</f>
        <v>648292</v>
      </c>
      <c r="P143" s="42" t="str">
        <f t="shared" si="6"/>
        <v/>
      </c>
      <c r="Q143" s="28" t="str">
        <f t="shared" si="7"/>
        <v/>
      </c>
      <c r="R143" s="5" t="str">
        <f t="shared" si="8"/>
        <v>MISSING HISTORICAL DATA</v>
      </c>
      <c r="S143" s="5" t="s">
        <v>179</v>
      </c>
      <c r="T143" s="5" t="s">
        <v>59</v>
      </c>
    </row>
    <row r="144" ht="15.75" customHeight="1">
      <c r="A144" s="5" t="s">
        <v>1044</v>
      </c>
      <c r="B144" s="5" t="s">
        <v>365</v>
      </c>
      <c r="C144" s="5" t="s">
        <v>123</v>
      </c>
      <c r="D144" s="5">
        <v>2025.0</v>
      </c>
      <c r="E144" s="5">
        <f t="shared" si="1"/>
        <v>2022</v>
      </c>
      <c r="F144" s="8">
        <f t="shared" si="2"/>
        <v>2024</v>
      </c>
      <c r="G144" s="31" t="str">
        <f>IF(COUNTIFS(HISTORICAL_DATA!$A$2:$A$441,$A144,HISTORICAL_DATA!$D$2:$D$441,"&gt;="&amp;$E144,HISTORICAL_DATA!$D$2:$D$441,"&lt;="&amp;$F144,HISTORICAL_DATA!$E$2:$E$441,"&lt;&gt;")&lt;3,"",SUMIFS(HISTORICAL_DATA!$E$2:$E$441,HISTORICAL_DATA!$A$2:$A$441,$A144,HISTORICAL_DATA!$D$2:$D$441,"&gt;="&amp;$E144,HISTORICAL_DATA!$D$2:$D$441,"&lt;="&amp;$F144)/3)</f>
        <v/>
      </c>
      <c r="H144" s="31" t="str">
        <f>IF(COUNTIFS(HISTORICAL_DATA!$A$2:$A$441,$A144,HISTORICAL_DATA!$D$2:$D$441,"&gt;="&amp;$E144,HISTORICAL_DATA!$D$2:$D$441,"&lt;="&amp;$F144,HISTORICAL_DATA!$G$2:$G$441,"&lt;&gt;")&lt;3,"",SUMIFS(HISTORICAL_DATA!$G$2:$G$441,HISTORICAL_DATA!$A$2:$A$441,$A144,HISTORICAL_DATA!$D$2:$D$441,"&gt;="&amp;$E144,HISTORICAL_DATA!$D$2:$D$441,"&lt;="&amp;$F144)/3)</f>
        <v/>
      </c>
      <c r="I144" s="31" t="str">
        <f>IF(OR(G144="",H144=""),"FACILITY DATA MISSING",IF(AND(COUNTIFS($C$2:$C$221,C144,$D$2:$D$221,D144,$G$2:$G$221,"&lt;&gt;")=COUNTIF(OFFICIAL_ALLOCATIONS!$C$2:$C$111,C144),COUNTIFS($C$2:$C$221,C144,$D$2:$D$221,D144,$H$2:$H$221,"&lt;&gt;")=COUNTIF(OFFICIAL_ALLOCATIONS!$C$2:$C$111,C144)),"COMPLETE","SECTOR DATA INCOMPLETE"))</f>
        <v>FACILITY DATA MISSING</v>
      </c>
      <c r="J144" s="31" t="str">
        <f t="shared" si="3"/>
        <v/>
      </c>
      <c r="K144" s="62" t="str">
        <f>IF(COUNTIFS(POLICY_PARAMETERS!$B$2:$B$13,"g",POLICY_PARAMETERS!$E$2:$E$13,C144,POLICY_PARAMETERS!$F$2:$F$13,D144,POLICY_PARAMETERS!$G$2:$G$13,"&lt;&gt;")=0,"",SUMIFS(POLICY_PARAMETERS!$G$2:$G$13,POLICY_PARAMETERS!$B$2:$B$13,"g",POLICY_PARAMETERS!$E$2:$E$13,C144,POLICY_PARAMETERS!$F$2:$F$13,D144))</f>
        <v/>
      </c>
      <c r="L144" s="62" t="str">
        <f>IF(COUNTIFS(POLICY_PARAMETERS!$B$2:$B$13,"r",POLICY_PARAMETERS!$E$2:$E$13,C144,POLICY_PARAMETERS!$F$2:$F$13,D144,POLICY_PARAMETERS!$G$2:$G$13,"&lt;&gt;")=0,"",SUMIFS(POLICY_PARAMETERS!$G$2:$G$13,POLICY_PARAMETERS!$B$2:$B$13,"r",POLICY_PARAMETERS!$E$2:$E$13,C144,POLICY_PARAMETERS!$F$2:$F$13,D144))</f>
        <v/>
      </c>
      <c r="M144" s="61" t="str">
        <f t="shared" si="4"/>
        <v/>
      </c>
      <c r="N144" s="56" t="str">
        <f t="shared" si="5"/>
        <v/>
      </c>
      <c r="O144" s="26">
        <f>IF(D144=2025,IFERROR(VLOOKUP(A144,OFFICIAL_ALLOCATIONS!$A$2:$F$111,5,FALSE),""),IFERROR(VLOOKUP(A144,OFFICIAL_ALLOCATIONS!$A$2:$F$111,6,FALSE),""))</f>
        <v>480806</v>
      </c>
      <c r="P144" s="42" t="str">
        <f t="shared" si="6"/>
        <v/>
      </c>
      <c r="Q144" s="28" t="str">
        <f t="shared" si="7"/>
        <v/>
      </c>
      <c r="R144" s="5" t="str">
        <f t="shared" si="8"/>
        <v>MISSING HISTORICAL DATA</v>
      </c>
      <c r="S144" s="5" t="s">
        <v>179</v>
      </c>
      <c r="T144" s="5" t="s">
        <v>59</v>
      </c>
    </row>
    <row r="145" ht="15.75" customHeight="1">
      <c r="A145" s="5" t="s">
        <v>1044</v>
      </c>
      <c r="B145" s="5" t="s">
        <v>365</v>
      </c>
      <c r="C145" s="5" t="s">
        <v>123</v>
      </c>
      <c r="D145" s="5">
        <v>2026.0</v>
      </c>
      <c r="E145" s="5">
        <f t="shared" si="1"/>
        <v>2023</v>
      </c>
      <c r="F145" s="8">
        <f t="shared" si="2"/>
        <v>2025</v>
      </c>
      <c r="G145" s="31" t="str">
        <f>IF(COUNTIFS(HISTORICAL_DATA!$A$2:$A$441,$A145,HISTORICAL_DATA!$D$2:$D$441,"&gt;="&amp;$E145,HISTORICAL_DATA!$D$2:$D$441,"&lt;="&amp;$F145,HISTORICAL_DATA!$E$2:$E$441,"&lt;&gt;")&lt;3,"",SUMIFS(HISTORICAL_DATA!$E$2:$E$441,HISTORICAL_DATA!$A$2:$A$441,$A145,HISTORICAL_DATA!$D$2:$D$441,"&gt;="&amp;$E145,HISTORICAL_DATA!$D$2:$D$441,"&lt;="&amp;$F145)/3)</f>
        <v/>
      </c>
      <c r="H145" s="31" t="str">
        <f>IF(COUNTIFS(HISTORICAL_DATA!$A$2:$A$441,$A145,HISTORICAL_DATA!$D$2:$D$441,"&gt;="&amp;$E145,HISTORICAL_DATA!$D$2:$D$441,"&lt;="&amp;$F145,HISTORICAL_DATA!$G$2:$G$441,"&lt;&gt;")&lt;3,"",SUMIFS(HISTORICAL_DATA!$G$2:$G$441,HISTORICAL_DATA!$A$2:$A$441,$A145,HISTORICAL_DATA!$D$2:$D$441,"&gt;="&amp;$E145,HISTORICAL_DATA!$D$2:$D$441,"&lt;="&amp;$F145)/3)</f>
        <v/>
      </c>
      <c r="I145" s="31" t="str">
        <f>IF(OR(G145="",H145=""),"FACILITY DATA MISSING",IF(AND(COUNTIFS($C$2:$C$221,C145,$D$2:$D$221,D145,$G$2:$G$221,"&lt;&gt;")=COUNTIF(OFFICIAL_ALLOCATIONS!$C$2:$C$111,C145),COUNTIFS($C$2:$C$221,C145,$D$2:$D$221,D145,$H$2:$H$221,"&lt;&gt;")=COUNTIF(OFFICIAL_ALLOCATIONS!$C$2:$C$111,C145)),"COMPLETE","SECTOR DATA INCOMPLETE"))</f>
        <v>FACILITY DATA MISSING</v>
      </c>
      <c r="J145" s="31" t="str">
        <f t="shared" si="3"/>
        <v/>
      </c>
      <c r="K145" s="62" t="str">
        <f>IF(COUNTIFS(POLICY_PARAMETERS!$B$2:$B$13,"g",POLICY_PARAMETERS!$E$2:$E$13,C145,POLICY_PARAMETERS!$F$2:$F$13,D145,POLICY_PARAMETERS!$G$2:$G$13,"&lt;&gt;")=0,"",SUMIFS(POLICY_PARAMETERS!$G$2:$G$13,POLICY_PARAMETERS!$B$2:$B$13,"g",POLICY_PARAMETERS!$E$2:$E$13,C145,POLICY_PARAMETERS!$F$2:$F$13,D145))</f>
        <v/>
      </c>
      <c r="L145" s="62" t="str">
        <f>IF(COUNTIFS(POLICY_PARAMETERS!$B$2:$B$13,"r",POLICY_PARAMETERS!$E$2:$E$13,C145,POLICY_PARAMETERS!$F$2:$F$13,D145,POLICY_PARAMETERS!$G$2:$G$13,"&lt;&gt;")=0,"",SUMIFS(POLICY_PARAMETERS!$G$2:$G$13,POLICY_PARAMETERS!$B$2:$B$13,"r",POLICY_PARAMETERS!$E$2:$E$13,C145,POLICY_PARAMETERS!$F$2:$F$13,D145))</f>
        <v/>
      </c>
      <c r="M145" s="61" t="str">
        <f t="shared" si="4"/>
        <v/>
      </c>
      <c r="N145" s="56" t="str">
        <f t="shared" si="5"/>
        <v/>
      </c>
      <c r="O145" s="26">
        <f>IF(D145=2025,IFERROR(VLOOKUP(A145,OFFICIAL_ALLOCATIONS!$A$2:$F$111,5,FALSE),""),IFERROR(VLOOKUP(A145,OFFICIAL_ALLOCATIONS!$A$2:$F$111,6,FALSE),""))</f>
        <v>526121</v>
      </c>
      <c r="P145" s="42" t="str">
        <f t="shared" si="6"/>
        <v/>
      </c>
      <c r="Q145" s="28" t="str">
        <f t="shared" si="7"/>
        <v/>
      </c>
      <c r="R145" s="5" t="str">
        <f t="shared" si="8"/>
        <v>MISSING HISTORICAL DATA</v>
      </c>
      <c r="S145" s="5" t="s">
        <v>179</v>
      </c>
      <c r="T145" s="5" t="s">
        <v>59</v>
      </c>
    </row>
    <row r="146" ht="15.75" customHeight="1">
      <c r="A146" s="5" t="s">
        <v>1045</v>
      </c>
      <c r="B146" s="5" t="s">
        <v>367</v>
      </c>
      <c r="C146" s="5" t="s">
        <v>123</v>
      </c>
      <c r="D146" s="5">
        <v>2025.0</v>
      </c>
      <c r="E146" s="5">
        <f t="shared" si="1"/>
        <v>2022</v>
      </c>
      <c r="F146" s="8">
        <f t="shared" si="2"/>
        <v>2024</v>
      </c>
      <c r="G146" s="31" t="str">
        <f>IF(COUNTIFS(HISTORICAL_DATA!$A$2:$A$441,$A146,HISTORICAL_DATA!$D$2:$D$441,"&gt;="&amp;$E146,HISTORICAL_DATA!$D$2:$D$441,"&lt;="&amp;$F146,HISTORICAL_DATA!$E$2:$E$441,"&lt;&gt;")&lt;3,"",SUMIFS(HISTORICAL_DATA!$E$2:$E$441,HISTORICAL_DATA!$A$2:$A$441,$A146,HISTORICAL_DATA!$D$2:$D$441,"&gt;="&amp;$E146,HISTORICAL_DATA!$D$2:$D$441,"&lt;="&amp;$F146)/3)</f>
        <v/>
      </c>
      <c r="H146" s="31" t="str">
        <f>IF(COUNTIFS(HISTORICAL_DATA!$A$2:$A$441,$A146,HISTORICAL_DATA!$D$2:$D$441,"&gt;="&amp;$E146,HISTORICAL_DATA!$D$2:$D$441,"&lt;="&amp;$F146,HISTORICAL_DATA!$G$2:$G$441,"&lt;&gt;")&lt;3,"",SUMIFS(HISTORICAL_DATA!$G$2:$G$441,HISTORICAL_DATA!$A$2:$A$441,$A146,HISTORICAL_DATA!$D$2:$D$441,"&gt;="&amp;$E146,HISTORICAL_DATA!$D$2:$D$441,"&lt;="&amp;$F146)/3)</f>
        <v/>
      </c>
      <c r="I146" s="31" t="str">
        <f>IF(OR(G146="",H146=""),"FACILITY DATA MISSING",IF(AND(COUNTIFS($C$2:$C$221,C146,$D$2:$D$221,D146,$G$2:$G$221,"&lt;&gt;")=COUNTIF(OFFICIAL_ALLOCATIONS!$C$2:$C$111,C146),COUNTIFS($C$2:$C$221,C146,$D$2:$D$221,D146,$H$2:$H$221,"&lt;&gt;")=COUNTIF(OFFICIAL_ALLOCATIONS!$C$2:$C$111,C146)),"COMPLETE","SECTOR DATA INCOMPLETE"))</f>
        <v>FACILITY DATA MISSING</v>
      </c>
      <c r="J146" s="31" t="str">
        <f t="shared" si="3"/>
        <v/>
      </c>
      <c r="K146" s="62" t="str">
        <f>IF(COUNTIFS(POLICY_PARAMETERS!$B$2:$B$13,"g",POLICY_PARAMETERS!$E$2:$E$13,C146,POLICY_PARAMETERS!$F$2:$F$13,D146,POLICY_PARAMETERS!$G$2:$G$13,"&lt;&gt;")=0,"",SUMIFS(POLICY_PARAMETERS!$G$2:$G$13,POLICY_PARAMETERS!$B$2:$B$13,"g",POLICY_PARAMETERS!$E$2:$E$13,C146,POLICY_PARAMETERS!$F$2:$F$13,D146))</f>
        <v/>
      </c>
      <c r="L146" s="62" t="str">
        <f>IF(COUNTIFS(POLICY_PARAMETERS!$B$2:$B$13,"r",POLICY_PARAMETERS!$E$2:$E$13,C146,POLICY_PARAMETERS!$F$2:$F$13,D146,POLICY_PARAMETERS!$G$2:$G$13,"&lt;&gt;")=0,"",SUMIFS(POLICY_PARAMETERS!$G$2:$G$13,POLICY_PARAMETERS!$B$2:$B$13,"r",POLICY_PARAMETERS!$E$2:$E$13,C146,POLICY_PARAMETERS!$F$2:$F$13,D146))</f>
        <v/>
      </c>
      <c r="M146" s="61" t="str">
        <f t="shared" si="4"/>
        <v/>
      </c>
      <c r="N146" s="56" t="str">
        <f t="shared" si="5"/>
        <v/>
      </c>
      <c r="O146" s="26">
        <f>IF(D146=2025,IFERROR(VLOOKUP(A146,OFFICIAL_ALLOCATIONS!$A$2:$F$111,5,FALSE),""),IFERROR(VLOOKUP(A146,OFFICIAL_ALLOCATIONS!$A$2:$F$111,6,FALSE),""))</f>
        <v>404692</v>
      </c>
      <c r="P146" s="42" t="str">
        <f t="shared" si="6"/>
        <v/>
      </c>
      <c r="Q146" s="28" t="str">
        <f t="shared" si="7"/>
        <v/>
      </c>
      <c r="R146" s="5" t="str">
        <f t="shared" si="8"/>
        <v>MISSING HISTORICAL DATA</v>
      </c>
      <c r="S146" s="5" t="s">
        <v>179</v>
      </c>
      <c r="T146" s="5" t="s">
        <v>59</v>
      </c>
    </row>
    <row r="147" ht="15.75" customHeight="1">
      <c r="A147" s="5" t="s">
        <v>1045</v>
      </c>
      <c r="B147" s="5" t="s">
        <v>367</v>
      </c>
      <c r="C147" s="5" t="s">
        <v>123</v>
      </c>
      <c r="D147" s="5">
        <v>2026.0</v>
      </c>
      <c r="E147" s="5">
        <f t="shared" si="1"/>
        <v>2023</v>
      </c>
      <c r="F147" s="8">
        <f t="shared" si="2"/>
        <v>2025</v>
      </c>
      <c r="G147" s="31" t="str">
        <f>IF(COUNTIFS(HISTORICAL_DATA!$A$2:$A$441,$A147,HISTORICAL_DATA!$D$2:$D$441,"&gt;="&amp;$E147,HISTORICAL_DATA!$D$2:$D$441,"&lt;="&amp;$F147,HISTORICAL_DATA!$E$2:$E$441,"&lt;&gt;")&lt;3,"",SUMIFS(HISTORICAL_DATA!$E$2:$E$441,HISTORICAL_DATA!$A$2:$A$441,$A147,HISTORICAL_DATA!$D$2:$D$441,"&gt;="&amp;$E147,HISTORICAL_DATA!$D$2:$D$441,"&lt;="&amp;$F147)/3)</f>
        <v/>
      </c>
      <c r="H147" s="31" t="str">
        <f>IF(COUNTIFS(HISTORICAL_DATA!$A$2:$A$441,$A147,HISTORICAL_DATA!$D$2:$D$441,"&gt;="&amp;$E147,HISTORICAL_DATA!$D$2:$D$441,"&lt;="&amp;$F147,HISTORICAL_DATA!$G$2:$G$441,"&lt;&gt;")&lt;3,"",SUMIFS(HISTORICAL_DATA!$G$2:$G$441,HISTORICAL_DATA!$A$2:$A$441,$A147,HISTORICAL_DATA!$D$2:$D$441,"&gt;="&amp;$E147,HISTORICAL_DATA!$D$2:$D$441,"&lt;="&amp;$F147)/3)</f>
        <v/>
      </c>
      <c r="I147" s="31" t="str">
        <f>IF(OR(G147="",H147=""),"FACILITY DATA MISSING",IF(AND(COUNTIFS($C$2:$C$221,C147,$D$2:$D$221,D147,$G$2:$G$221,"&lt;&gt;")=COUNTIF(OFFICIAL_ALLOCATIONS!$C$2:$C$111,C147),COUNTIFS($C$2:$C$221,C147,$D$2:$D$221,D147,$H$2:$H$221,"&lt;&gt;")=COUNTIF(OFFICIAL_ALLOCATIONS!$C$2:$C$111,C147)),"COMPLETE","SECTOR DATA INCOMPLETE"))</f>
        <v>FACILITY DATA MISSING</v>
      </c>
      <c r="J147" s="31" t="str">
        <f t="shared" si="3"/>
        <v/>
      </c>
      <c r="K147" s="62" t="str">
        <f>IF(COUNTIFS(POLICY_PARAMETERS!$B$2:$B$13,"g",POLICY_PARAMETERS!$E$2:$E$13,C147,POLICY_PARAMETERS!$F$2:$F$13,D147,POLICY_PARAMETERS!$G$2:$G$13,"&lt;&gt;")=0,"",SUMIFS(POLICY_PARAMETERS!$G$2:$G$13,POLICY_PARAMETERS!$B$2:$B$13,"g",POLICY_PARAMETERS!$E$2:$E$13,C147,POLICY_PARAMETERS!$F$2:$F$13,D147))</f>
        <v/>
      </c>
      <c r="L147" s="62" t="str">
        <f>IF(COUNTIFS(POLICY_PARAMETERS!$B$2:$B$13,"r",POLICY_PARAMETERS!$E$2:$E$13,C147,POLICY_PARAMETERS!$F$2:$F$13,D147,POLICY_PARAMETERS!$G$2:$G$13,"&lt;&gt;")=0,"",SUMIFS(POLICY_PARAMETERS!$G$2:$G$13,POLICY_PARAMETERS!$B$2:$B$13,"r",POLICY_PARAMETERS!$E$2:$E$13,C147,POLICY_PARAMETERS!$F$2:$F$13,D147))</f>
        <v/>
      </c>
      <c r="M147" s="61" t="str">
        <f t="shared" si="4"/>
        <v/>
      </c>
      <c r="N147" s="56" t="str">
        <f t="shared" si="5"/>
        <v/>
      </c>
      <c r="O147" s="26">
        <f>IF(D147=2025,IFERROR(VLOOKUP(A147,OFFICIAL_ALLOCATIONS!$A$2:$F$111,5,FALSE),""),IFERROR(VLOOKUP(A147,OFFICIAL_ALLOCATIONS!$A$2:$F$111,6,FALSE),""))</f>
        <v>442833</v>
      </c>
      <c r="P147" s="42" t="str">
        <f t="shared" si="6"/>
        <v/>
      </c>
      <c r="Q147" s="28" t="str">
        <f t="shared" si="7"/>
        <v/>
      </c>
      <c r="R147" s="5" t="str">
        <f t="shared" si="8"/>
        <v>MISSING HISTORICAL DATA</v>
      </c>
      <c r="S147" s="5" t="s">
        <v>179</v>
      </c>
      <c r="T147" s="5" t="s">
        <v>59</v>
      </c>
    </row>
    <row r="148" ht="15.75" customHeight="1">
      <c r="A148" s="5" t="s">
        <v>1046</v>
      </c>
      <c r="B148" s="5" t="s">
        <v>369</v>
      </c>
      <c r="C148" s="5" t="s">
        <v>123</v>
      </c>
      <c r="D148" s="5">
        <v>2025.0</v>
      </c>
      <c r="E148" s="5">
        <f t="shared" si="1"/>
        <v>2022</v>
      </c>
      <c r="F148" s="8">
        <f t="shared" si="2"/>
        <v>2024</v>
      </c>
      <c r="G148" s="31" t="str">
        <f>IF(COUNTIFS(HISTORICAL_DATA!$A$2:$A$441,$A148,HISTORICAL_DATA!$D$2:$D$441,"&gt;="&amp;$E148,HISTORICAL_DATA!$D$2:$D$441,"&lt;="&amp;$F148,HISTORICAL_DATA!$E$2:$E$441,"&lt;&gt;")&lt;3,"",SUMIFS(HISTORICAL_DATA!$E$2:$E$441,HISTORICAL_DATA!$A$2:$A$441,$A148,HISTORICAL_DATA!$D$2:$D$441,"&gt;="&amp;$E148,HISTORICAL_DATA!$D$2:$D$441,"&lt;="&amp;$F148)/3)</f>
        <v/>
      </c>
      <c r="H148" s="31" t="str">
        <f>IF(COUNTIFS(HISTORICAL_DATA!$A$2:$A$441,$A148,HISTORICAL_DATA!$D$2:$D$441,"&gt;="&amp;$E148,HISTORICAL_DATA!$D$2:$D$441,"&lt;="&amp;$F148,HISTORICAL_DATA!$G$2:$G$441,"&lt;&gt;")&lt;3,"",SUMIFS(HISTORICAL_DATA!$G$2:$G$441,HISTORICAL_DATA!$A$2:$A$441,$A148,HISTORICAL_DATA!$D$2:$D$441,"&gt;="&amp;$E148,HISTORICAL_DATA!$D$2:$D$441,"&lt;="&amp;$F148)/3)</f>
        <v/>
      </c>
      <c r="I148" s="31" t="str">
        <f>IF(OR(G148="",H148=""),"FACILITY DATA MISSING",IF(AND(COUNTIFS($C$2:$C$221,C148,$D$2:$D$221,D148,$G$2:$G$221,"&lt;&gt;")=COUNTIF(OFFICIAL_ALLOCATIONS!$C$2:$C$111,C148),COUNTIFS($C$2:$C$221,C148,$D$2:$D$221,D148,$H$2:$H$221,"&lt;&gt;")=COUNTIF(OFFICIAL_ALLOCATIONS!$C$2:$C$111,C148)),"COMPLETE","SECTOR DATA INCOMPLETE"))</f>
        <v>FACILITY DATA MISSING</v>
      </c>
      <c r="J148" s="31" t="str">
        <f t="shared" si="3"/>
        <v/>
      </c>
      <c r="K148" s="62" t="str">
        <f>IF(COUNTIFS(POLICY_PARAMETERS!$B$2:$B$13,"g",POLICY_PARAMETERS!$E$2:$E$13,C148,POLICY_PARAMETERS!$F$2:$F$13,D148,POLICY_PARAMETERS!$G$2:$G$13,"&lt;&gt;")=0,"",SUMIFS(POLICY_PARAMETERS!$G$2:$G$13,POLICY_PARAMETERS!$B$2:$B$13,"g",POLICY_PARAMETERS!$E$2:$E$13,C148,POLICY_PARAMETERS!$F$2:$F$13,D148))</f>
        <v/>
      </c>
      <c r="L148" s="62" t="str">
        <f>IF(COUNTIFS(POLICY_PARAMETERS!$B$2:$B$13,"r",POLICY_PARAMETERS!$E$2:$E$13,C148,POLICY_PARAMETERS!$F$2:$F$13,D148,POLICY_PARAMETERS!$G$2:$G$13,"&lt;&gt;")=0,"",SUMIFS(POLICY_PARAMETERS!$G$2:$G$13,POLICY_PARAMETERS!$B$2:$B$13,"r",POLICY_PARAMETERS!$E$2:$E$13,C148,POLICY_PARAMETERS!$F$2:$F$13,D148))</f>
        <v/>
      </c>
      <c r="M148" s="61" t="str">
        <f t="shared" si="4"/>
        <v/>
      </c>
      <c r="N148" s="56" t="str">
        <f t="shared" si="5"/>
        <v/>
      </c>
      <c r="O148" s="26">
        <f>IF(D148=2025,IFERROR(VLOOKUP(A148,OFFICIAL_ALLOCATIONS!$A$2:$F$111,5,FALSE),""),IFERROR(VLOOKUP(A148,OFFICIAL_ALLOCATIONS!$A$2:$F$111,6,FALSE),""))</f>
        <v>679217</v>
      </c>
      <c r="P148" s="42" t="str">
        <f t="shared" si="6"/>
        <v/>
      </c>
      <c r="Q148" s="28" t="str">
        <f t="shared" si="7"/>
        <v/>
      </c>
      <c r="R148" s="5" t="str">
        <f t="shared" si="8"/>
        <v>MISSING HISTORICAL DATA</v>
      </c>
      <c r="S148" s="5" t="s">
        <v>179</v>
      </c>
      <c r="T148" s="5" t="s">
        <v>59</v>
      </c>
    </row>
    <row r="149" ht="15.75" customHeight="1">
      <c r="A149" s="5" t="s">
        <v>1046</v>
      </c>
      <c r="B149" s="5" t="s">
        <v>369</v>
      </c>
      <c r="C149" s="5" t="s">
        <v>123</v>
      </c>
      <c r="D149" s="5">
        <v>2026.0</v>
      </c>
      <c r="E149" s="5">
        <f t="shared" si="1"/>
        <v>2023</v>
      </c>
      <c r="F149" s="8">
        <f t="shared" si="2"/>
        <v>2025</v>
      </c>
      <c r="G149" s="31" t="str">
        <f>IF(COUNTIFS(HISTORICAL_DATA!$A$2:$A$441,$A149,HISTORICAL_DATA!$D$2:$D$441,"&gt;="&amp;$E149,HISTORICAL_DATA!$D$2:$D$441,"&lt;="&amp;$F149,HISTORICAL_DATA!$E$2:$E$441,"&lt;&gt;")&lt;3,"",SUMIFS(HISTORICAL_DATA!$E$2:$E$441,HISTORICAL_DATA!$A$2:$A$441,$A149,HISTORICAL_DATA!$D$2:$D$441,"&gt;="&amp;$E149,HISTORICAL_DATA!$D$2:$D$441,"&lt;="&amp;$F149)/3)</f>
        <v/>
      </c>
      <c r="H149" s="31" t="str">
        <f>IF(COUNTIFS(HISTORICAL_DATA!$A$2:$A$441,$A149,HISTORICAL_DATA!$D$2:$D$441,"&gt;="&amp;$E149,HISTORICAL_DATA!$D$2:$D$441,"&lt;="&amp;$F149,HISTORICAL_DATA!$G$2:$G$441,"&lt;&gt;")&lt;3,"",SUMIFS(HISTORICAL_DATA!$G$2:$G$441,HISTORICAL_DATA!$A$2:$A$441,$A149,HISTORICAL_DATA!$D$2:$D$441,"&gt;="&amp;$E149,HISTORICAL_DATA!$D$2:$D$441,"&lt;="&amp;$F149)/3)</f>
        <v/>
      </c>
      <c r="I149" s="31" t="str">
        <f>IF(OR(G149="",H149=""),"FACILITY DATA MISSING",IF(AND(COUNTIFS($C$2:$C$221,C149,$D$2:$D$221,D149,$G$2:$G$221,"&lt;&gt;")=COUNTIF(OFFICIAL_ALLOCATIONS!$C$2:$C$111,C149),COUNTIFS($C$2:$C$221,C149,$D$2:$D$221,D149,$H$2:$H$221,"&lt;&gt;")=COUNTIF(OFFICIAL_ALLOCATIONS!$C$2:$C$111,C149)),"COMPLETE","SECTOR DATA INCOMPLETE"))</f>
        <v>FACILITY DATA MISSING</v>
      </c>
      <c r="J149" s="31" t="str">
        <f t="shared" si="3"/>
        <v/>
      </c>
      <c r="K149" s="62" t="str">
        <f>IF(COUNTIFS(POLICY_PARAMETERS!$B$2:$B$13,"g",POLICY_PARAMETERS!$E$2:$E$13,C149,POLICY_PARAMETERS!$F$2:$F$13,D149,POLICY_PARAMETERS!$G$2:$G$13,"&lt;&gt;")=0,"",SUMIFS(POLICY_PARAMETERS!$G$2:$G$13,POLICY_PARAMETERS!$B$2:$B$13,"g",POLICY_PARAMETERS!$E$2:$E$13,C149,POLICY_PARAMETERS!$F$2:$F$13,D149))</f>
        <v/>
      </c>
      <c r="L149" s="62" t="str">
        <f>IF(COUNTIFS(POLICY_PARAMETERS!$B$2:$B$13,"r",POLICY_PARAMETERS!$E$2:$E$13,C149,POLICY_PARAMETERS!$F$2:$F$13,D149,POLICY_PARAMETERS!$G$2:$G$13,"&lt;&gt;")=0,"",SUMIFS(POLICY_PARAMETERS!$G$2:$G$13,POLICY_PARAMETERS!$B$2:$B$13,"r",POLICY_PARAMETERS!$E$2:$E$13,C149,POLICY_PARAMETERS!$F$2:$F$13,D149))</f>
        <v/>
      </c>
      <c r="M149" s="61" t="str">
        <f t="shared" si="4"/>
        <v/>
      </c>
      <c r="N149" s="56" t="str">
        <f t="shared" si="5"/>
        <v/>
      </c>
      <c r="O149" s="26">
        <f>IF(D149=2025,IFERROR(VLOOKUP(A149,OFFICIAL_ALLOCATIONS!$A$2:$F$111,5,FALSE),""),IFERROR(VLOOKUP(A149,OFFICIAL_ALLOCATIONS!$A$2:$F$111,6,FALSE),""))</f>
        <v>743232</v>
      </c>
      <c r="P149" s="42" t="str">
        <f t="shared" si="6"/>
        <v/>
      </c>
      <c r="Q149" s="28" t="str">
        <f t="shared" si="7"/>
        <v/>
      </c>
      <c r="R149" s="5" t="str">
        <f t="shared" si="8"/>
        <v>MISSING HISTORICAL DATA</v>
      </c>
      <c r="S149" s="5" t="s">
        <v>179</v>
      </c>
      <c r="T149" s="5" t="s">
        <v>59</v>
      </c>
    </row>
    <row r="150" ht="15.75" customHeight="1">
      <c r="A150" s="5" t="s">
        <v>1047</v>
      </c>
      <c r="B150" s="5" t="s">
        <v>371</v>
      </c>
      <c r="C150" s="5" t="s">
        <v>123</v>
      </c>
      <c r="D150" s="5">
        <v>2025.0</v>
      </c>
      <c r="E150" s="5">
        <f t="shared" si="1"/>
        <v>2022</v>
      </c>
      <c r="F150" s="8">
        <f t="shared" si="2"/>
        <v>2024</v>
      </c>
      <c r="G150" s="31" t="str">
        <f>IF(COUNTIFS(HISTORICAL_DATA!$A$2:$A$441,$A150,HISTORICAL_DATA!$D$2:$D$441,"&gt;="&amp;$E150,HISTORICAL_DATA!$D$2:$D$441,"&lt;="&amp;$F150,HISTORICAL_DATA!$E$2:$E$441,"&lt;&gt;")&lt;3,"",SUMIFS(HISTORICAL_DATA!$E$2:$E$441,HISTORICAL_DATA!$A$2:$A$441,$A150,HISTORICAL_DATA!$D$2:$D$441,"&gt;="&amp;$E150,HISTORICAL_DATA!$D$2:$D$441,"&lt;="&amp;$F150)/3)</f>
        <v/>
      </c>
      <c r="H150" s="31" t="str">
        <f>IF(COUNTIFS(HISTORICAL_DATA!$A$2:$A$441,$A150,HISTORICAL_DATA!$D$2:$D$441,"&gt;="&amp;$E150,HISTORICAL_DATA!$D$2:$D$441,"&lt;="&amp;$F150,HISTORICAL_DATA!$G$2:$G$441,"&lt;&gt;")&lt;3,"",SUMIFS(HISTORICAL_DATA!$G$2:$G$441,HISTORICAL_DATA!$A$2:$A$441,$A150,HISTORICAL_DATA!$D$2:$D$441,"&gt;="&amp;$E150,HISTORICAL_DATA!$D$2:$D$441,"&lt;="&amp;$F150)/3)</f>
        <v/>
      </c>
      <c r="I150" s="31" t="str">
        <f>IF(OR(G150="",H150=""),"FACILITY DATA MISSING",IF(AND(COUNTIFS($C$2:$C$221,C150,$D$2:$D$221,D150,$G$2:$G$221,"&lt;&gt;")=COUNTIF(OFFICIAL_ALLOCATIONS!$C$2:$C$111,C150),COUNTIFS($C$2:$C$221,C150,$D$2:$D$221,D150,$H$2:$H$221,"&lt;&gt;")=COUNTIF(OFFICIAL_ALLOCATIONS!$C$2:$C$111,C150)),"COMPLETE","SECTOR DATA INCOMPLETE"))</f>
        <v>FACILITY DATA MISSING</v>
      </c>
      <c r="J150" s="31" t="str">
        <f t="shared" si="3"/>
        <v/>
      </c>
      <c r="K150" s="62" t="str">
        <f>IF(COUNTIFS(POLICY_PARAMETERS!$B$2:$B$13,"g",POLICY_PARAMETERS!$E$2:$E$13,C150,POLICY_PARAMETERS!$F$2:$F$13,D150,POLICY_PARAMETERS!$G$2:$G$13,"&lt;&gt;")=0,"",SUMIFS(POLICY_PARAMETERS!$G$2:$G$13,POLICY_PARAMETERS!$B$2:$B$13,"g",POLICY_PARAMETERS!$E$2:$E$13,C150,POLICY_PARAMETERS!$F$2:$F$13,D150))</f>
        <v/>
      </c>
      <c r="L150" s="62" t="str">
        <f>IF(COUNTIFS(POLICY_PARAMETERS!$B$2:$B$13,"r",POLICY_PARAMETERS!$E$2:$E$13,C150,POLICY_PARAMETERS!$F$2:$F$13,D150,POLICY_PARAMETERS!$G$2:$G$13,"&lt;&gt;")=0,"",SUMIFS(POLICY_PARAMETERS!$G$2:$G$13,POLICY_PARAMETERS!$B$2:$B$13,"r",POLICY_PARAMETERS!$E$2:$E$13,C150,POLICY_PARAMETERS!$F$2:$F$13,D150))</f>
        <v/>
      </c>
      <c r="M150" s="61" t="str">
        <f t="shared" si="4"/>
        <v/>
      </c>
      <c r="N150" s="56" t="str">
        <f t="shared" si="5"/>
        <v/>
      </c>
      <c r="O150" s="26">
        <f>IF(D150=2025,IFERROR(VLOOKUP(A150,OFFICIAL_ALLOCATIONS!$A$2:$F$111,5,FALSE),""),IFERROR(VLOOKUP(A150,OFFICIAL_ALLOCATIONS!$A$2:$F$111,6,FALSE),""))</f>
        <v>104067</v>
      </c>
      <c r="P150" s="42" t="str">
        <f t="shared" si="6"/>
        <v/>
      </c>
      <c r="Q150" s="28" t="str">
        <f t="shared" si="7"/>
        <v/>
      </c>
      <c r="R150" s="5" t="str">
        <f t="shared" si="8"/>
        <v>MISSING HISTORICAL DATA</v>
      </c>
      <c r="S150" s="5" t="s">
        <v>179</v>
      </c>
      <c r="T150" s="5" t="s">
        <v>59</v>
      </c>
    </row>
    <row r="151" ht="15.75" customHeight="1">
      <c r="A151" s="5" t="s">
        <v>1047</v>
      </c>
      <c r="B151" s="5" t="s">
        <v>371</v>
      </c>
      <c r="C151" s="5" t="s">
        <v>123</v>
      </c>
      <c r="D151" s="5">
        <v>2026.0</v>
      </c>
      <c r="E151" s="5">
        <f t="shared" si="1"/>
        <v>2023</v>
      </c>
      <c r="F151" s="8">
        <f t="shared" si="2"/>
        <v>2025</v>
      </c>
      <c r="G151" s="31" t="str">
        <f>IF(COUNTIFS(HISTORICAL_DATA!$A$2:$A$441,$A151,HISTORICAL_DATA!$D$2:$D$441,"&gt;="&amp;$E151,HISTORICAL_DATA!$D$2:$D$441,"&lt;="&amp;$F151,HISTORICAL_DATA!$E$2:$E$441,"&lt;&gt;")&lt;3,"",SUMIFS(HISTORICAL_DATA!$E$2:$E$441,HISTORICAL_DATA!$A$2:$A$441,$A151,HISTORICAL_DATA!$D$2:$D$441,"&gt;="&amp;$E151,HISTORICAL_DATA!$D$2:$D$441,"&lt;="&amp;$F151)/3)</f>
        <v/>
      </c>
      <c r="H151" s="31" t="str">
        <f>IF(COUNTIFS(HISTORICAL_DATA!$A$2:$A$441,$A151,HISTORICAL_DATA!$D$2:$D$441,"&gt;="&amp;$E151,HISTORICAL_DATA!$D$2:$D$441,"&lt;="&amp;$F151,HISTORICAL_DATA!$G$2:$G$441,"&lt;&gt;")&lt;3,"",SUMIFS(HISTORICAL_DATA!$G$2:$G$441,HISTORICAL_DATA!$A$2:$A$441,$A151,HISTORICAL_DATA!$D$2:$D$441,"&gt;="&amp;$E151,HISTORICAL_DATA!$D$2:$D$441,"&lt;="&amp;$F151)/3)</f>
        <v/>
      </c>
      <c r="I151" s="31" t="str">
        <f>IF(OR(G151="",H151=""),"FACILITY DATA MISSING",IF(AND(COUNTIFS($C$2:$C$221,C151,$D$2:$D$221,D151,$G$2:$G$221,"&lt;&gt;")=COUNTIF(OFFICIAL_ALLOCATIONS!$C$2:$C$111,C151),COUNTIFS($C$2:$C$221,C151,$D$2:$D$221,D151,$H$2:$H$221,"&lt;&gt;")=COUNTIF(OFFICIAL_ALLOCATIONS!$C$2:$C$111,C151)),"COMPLETE","SECTOR DATA INCOMPLETE"))</f>
        <v>FACILITY DATA MISSING</v>
      </c>
      <c r="J151" s="31" t="str">
        <f t="shared" si="3"/>
        <v/>
      </c>
      <c r="K151" s="62" t="str">
        <f>IF(COUNTIFS(POLICY_PARAMETERS!$B$2:$B$13,"g",POLICY_PARAMETERS!$E$2:$E$13,C151,POLICY_PARAMETERS!$F$2:$F$13,D151,POLICY_PARAMETERS!$G$2:$G$13,"&lt;&gt;")=0,"",SUMIFS(POLICY_PARAMETERS!$G$2:$G$13,POLICY_PARAMETERS!$B$2:$B$13,"g",POLICY_PARAMETERS!$E$2:$E$13,C151,POLICY_PARAMETERS!$F$2:$F$13,D151))</f>
        <v/>
      </c>
      <c r="L151" s="62" t="str">
        <f>IF(COUNTIFS(POLICY_PARAMETERS!$B$2:$B$13,"r",POLICY_PARAMETERS!$E$2:$E$13,C151,POLICY_PARAMETERS!$F$2:$F$13,D151,POLICY_PARAMETERS!$G$2:$G$13,"&lt;&gt;")=0,"",SUMIFS(POLICY_PARAMETERS!$G$2:$G$13,POLICY_PARAMETERS!$B$2:$B$13,"r",POLICY_PARAMETERS!$E$2:$E$13,C151,POLICY_PARAMETERS!$F$2:$F$13,D151))</f>
        <v/>
      </c>
      <c r="M151" s="61" t="str">
        <f t="shared" si="4"/>
        <v/>
      </c>
      <c r="N151" s="56" t="str">
        <f t="shared" si="5"/>
        <v/>
      </c>
      <c r="O151" s="26">
        <f>IF(D151=2025,IFERROR(VLOOKUP(A151,OFFICIAL_ALLOCATIONS!$A$2:$F$111,5,FALSE),""),IFERROR(VLOOKUP(A151,OFFICIAL_ALLOCATIONS!$A$2:$F$111,6,FALSE),""))</f>
        <v>113875</v>
      </c>
      <c r="P151" s="42" t="str">
        <f t="shared" si="6"/>
        <v/>
      </c>
      <c r="Q151" s="28" t="str">
        <f t="shared" si="7"/>
        <v/>
      </c>
      <c r="R151" s="5" t="str">
        <f t="shared" si="8"/>
        <v>MISSING HISTORICAL DATA</v>
      </c>
      <c r="S151" s="5" t="s">
        <v>179</v>
      </c>
      <c r="T151" s="5" t="s">
        <v>59</v>
      </c>
    </row>
    <row r="152" ht="15.75" customHeight="1">
      <c r="A152" s="5" t="s">
        <v>1048</v>
      </c>
      <c r="B152" s="5" t="s">
        <v>373</v>
      </c>
      <c r="C152" s="5" t="s">
        <v>123</v>
      </c>
      <c r="D152" s="5">
        <v>2025.0</v>
      </c>
      <c r="E152" s="5">
        <f t="shared" si="1"/>
        <v>2022</v>
      </c>
      <c r="F152" s="8">
        <f t="shared" si="2"/>
        <v>2024</v>
      </c>
      <c r="G152" s="31" t="str">
        <f>IF(COUNTIFS(HISTORICAL_DATA!$A$2:$A$441,$A152,HISTORICAL_DATA!$D$2:$D$441,"&gt;="&amp;$E152,HISTORICAL_DATA!$D$2:$D$441,"&lt;="&amp;$F152,HISTORICAL_DATA!$E$2:$E$441,"&lt;&gt;")&lt;3,"",SUMIFS(HISTORICAL_DATA!$E$2:$E$441,HISTORICAL_DATA!$A$2:$A$441,$A152,HISTORICAL_DATA!$D$2:$D$441,"&gt;="&amp;$E152,HISTORICAL_DATA!$D$2:$D$441,"&lt;="&amp;$F152)/3)</f>
        <v/>
      </c>
      <c r="H152" s="31" t="str">
        <f>IF(COUNTIFS(HISTORICAL_DATA!$A$2:$A$441,$A152,HISTORICAL_DATA!$D$2:$D$441,"&gt;="&amp;$E152,HISTORICAL_DATA!$D$2:$D$441,"&lt;="&amp;$F152,HISTORICAL_DATA!$G$2:$G$441,"&lt;&gt;")&lt;3,"",SUMIFS(HISTORICAL_DATA!$G$2:$G$441,HISTORICAL_DATA!$A$2:$A$441,$A152,HISTORICAL_DATA!$D$2:$D$441,"&gt;="&amp;$E152,HISTORICAL_DATA!$D$2:$D$441,"&lt;="&amp;$F152)/3)</f>
        <v/>
      </c>
      <c r="I152" s="31" t="str">
        <f>IF(OR(G152="",H152=""),"FACILITY DATA MISSING",IF(AND(COUNTIFS($C$2:$C$221,C152,$D$2:$D$221,D152,$G$2:$G$221,"&lt;&gt;")=COUNTIF(OFFICIAL_ALLOCATIONS!$C$2:$C$111,C152),COUNTIFS($C$2:$C$221,C152,$D$2:$D$221,D152,$H$2:$H$221,"&lt;&gt;")=COUNTIF(OFFICIAL_ALLOCATIONS!$C$2:$C$111,C152)),"COMPLETE","SECTOR DATA INCOMPLETE"))</f>
        <v>FACILITY DATA MISSING</v>
      </c>
      <c r="J152" s="31" t="str">
        <f t="shared" si="3"/>
        <v/>
      </c>
      <c r="K152" s="62" t="str">
        <f>IF(COUNTIFS(POLICY_PARAMETERS!$B$2:$B$13,"g",POLICY_PARAMETERS!$E$2:$E$13,C152,POLICY_PARAMETERS!$F$2:$F$13,D152,POLICY_PARAMETERS!$G$2:$G$13,"&lt;&gt;")=0,"",SUMIFS(POLICY_PARAMETERS!$G$2:$G$13,POLICY_PARAMETERS!$B$2:$B$13,"g",POLICY_PARAMETERS!$E$2:$E$13,C152,POLICY_PARAMETERS!$F$2:$F$13,D152))</f>
        <v/>
      </c>
      <c r="L152" s="62" t="str">
        <f>IF(COUNTIFS(POLICY_PARAMETERS!$B$2:$B$13,"r",POLICY_PARAMETERS!$E$2:$E$13,C152,POLICY_PARAMETERS!$F$2:$F$13,D152,POLICY_PARAMETERS!$G$2:$G$13,"&lt;&gt;")=0,"",SUMIFS(POLICY_PARAMETERS!$G$2:$G$13,POLICY_PARAMETERS!$B$2:$B$13,"r",POLICY_PARAMETERS!$E$2:$E$13,C152,POLICY_PARAMETERS!$F$2:$F$13,D152))</f>
        <v/>
      </c>
      <c r="M152" s="61" t="str">
        <f t="shared" si="4"/>
        <v/>
      </c>
      <c r="N152" s="56" t="str">
        <f t="shared" si="5"/>
        <v/>
      </c>
      <c r="O152" s="26">
        <f>IF(D152=2025,IFERROR(VLOOKUP(A152,OFFICIAL_ALLOCATIONS!$A$2:$F$111,5,FALSE),""),IFERROR(VLOOKUP(A152,OFFICIAL_ALLOCATIONS!$A$2:$F$111,6,FALSE),""))</f>
        <v>1616252</v>
      </c>
      <c r="P152" s="42" t="str">
        <f t="shared" si="6"/>
        <v/>
      </c>
      <c r="Q152" s="28" t="str">
        <f t="shared" si="7"/>
        <v/>
      </c>
      <c r="R152" s="5" t="str">
        <f t="shared" si="8"/>
        <v>MISSING HISTORICAL DATA</v>
      </c>
      <c r="S152" s="5" t="s">
        <v>179</v>
      </c>
      <c r="T152" s="5" t="s">
        <v>59</v>
      </c>
    </row>
    <row r="153" ht="15.75" customHeight="1">
      <c r="A153" s="5" t="s">
        <v>1048</v>
      </c>
      <c r="B153" s="5" t="s">
        <v>373</v>
      </c>
      <c r="C153" s="5" t="s">
        <v>123</v>
      </c>
      <c r="D153" s="5">
        <v>2026.0</v>
      </c>
      <c r="E153" s="5">
        <f t="shared" si="1"/>
        <v>2023</v>
      </c>
      <c r="F153" s="8">
        <f t="shared" si="2"/>
        <v>2025</v>
      </c>
      <c r="G153" s="31" t="str">
        <f>IF(COUNTIFS(HISTORICAL_DATA!$A$2:$A$441,$A153,HISTORICAL_DATA!$D$2:$D$441,"&gt;="&amp;$E153,HISTORICAL_DATA!$D$2:$D$441,"&lt;="&amp;$F153,HISTORICAL_DATA!$E$2:$E$441,"&lt;&gt;")&lt;3,"",SUMIFS(HISTORICAL_DATA!$E$2:$E$441,HISTORICAL_DATA!$A$2:$A$441,$A153,HISTORICAL_DATA!$D$2:$D$441,"&gt;="&amp;$E153,HISTORICAL_DATA!$D$2:$D$441,"&lt;="&amp;$F153)/3)</f>
        <v/>
      </c>
      <c r="H153" s="31" t="str">
        <f>IF(COUNTIFS(HISTORICAL_DATA!$A$2:$A$441,$A153,HISTORICAL_DATA!$D$2:$D$441,"&gt;="&amp;$E153,HISTORICAL_DATA!$D$2:$D$441,"&lt;="&amp;$F153,HISTORICAL_DATA!$G$2:$G$441,"&lt;&gt;")&lt;3,"",SUMIFS(HISTORICAL_DATA!$G$2:$G$441,HISTORICAL_DATA!$A$2:$A$441,$A153,HISTORICAL_DATA!$D$2:$D$441,"&gt;="&amp;$E153,HISTORICAL_DATA!$D$2:$D$441,"&lt;="&amp;$F153)/3)</f>
        <v/>
      </c>
      <c r="I153" s="31" t="str">
        <f>IF(OR(G153="",H153=""),"FACILITY DATA MISSING",IF(AND(COUNTIFS($C$2:$C$221,C153,$D$2:$D$221,D153,$G$2:$G$221,"&lt;&gt;")=COUNTIF(OFFICIAL_ALLOCATIONS!$C$2:$C$111,C153),COUNTIFS($C$2:$C$221,C153,$D$2:$D$221,D153,$H$2:$H$221,"&lt;&gt;")=COUNTIF(OFFICIAL_ALLOCATIONS!$C$2:$C$111,C153)),"COMPLETE","SECTOR DATA INCOMPLETE"))</f>
        <v>FACILITY DATA MISSING</v>
      </c>
      <c r="J153" s="31" t="str">
        <f t="shared" si="3"/>
        <v/>
      </c>
      <c r="K153" s="62" t="str">
        <f>IF(COUNTIFS(POLICY_PARAMETERS!$B$2:$B$13,"g",POLICY_PARAMETERS!$E$2:$E$13,C153,POLICY_PARAMETERS!$F$2:$F$13,D153,POLICY_PARAMETERS!$G$2:$G$13,"&lt;&gt;")=0,"",SUMIFS(POLICY_PARAMETERS!$G$2:$G$13,POLICY_PARAMETERS!$B$2:$B$13,"g",POLICY_PARAMETERS!$E$2:$E$13,C153,POLICY_PARAMETERS!$F$2:$F$13,D153))</f>
        <v/>
      </c>
      <c r="L153" s="62" t="str">
        <f>IF(COUNTIFS(POLICY_PARAMETERS!$B$2:$B$13,"r",POLICY_PARAMETERS!$E$2:$E$13,C153,POLICY_PARAMETERS!$F$2:$F$13,D153,POLICY_PARAMETERS!$G$2:$G$13,"&lt;&gt;")=0,"",SUMIFS(POLICY_PARAMETERS!$G$2:$G$13,POLICY_PARAMETERS!$B$2:$B$13,"r",POLICY_PARAMETERS!$E$2:$E$13,C153,POLICY_PARAMETERS!$F$2:$F$13,D153))</f>
        <v/>
      </c>
      <c r="M153" s="61" t="str">
        <f t="shared" si="4"/>
        <v/>
      </c>
      <c r="N153" s="56" t="str">
        <f t="shared" si="5"/>
        <v/>
      </c>
      <c r="O153" s="26">
        <f>IF(D153=2025,IFERROR(VLOOKUP(A153,OFFICIAL_ALLOCATIONS!$A$2:$F$111,5,FALSE),""),IFERROR(VLOOKUP(A153,OFFICIAL_ALLOCATIONS!$A$2:$F$111,6,FALSE),""))</f>
        <v>1768581</v>
      </c>
      <c r="P153" s="42" t="str">
        <f t="shared" si="6"/>
        <v/>
      </c>
      <c r="Q153" s="28" t="str">
        <f t="shared" si="7"/>
        <v/>
      </c>
      <c r="R153" s="5" t="str">
        <f t="shared" si="8"/>
        <v>MISSING HISTORICAL DATA</v>
      </c>
      <c r="S153" s="5" t="s">
        <v>179</v>
      </c>
      <c r="T153" s="5" t="s">
        <v>59</v>
      </c>
    </row>
    <row r="154" ht="15.75" customHeight="1">
      <c r="A154" s="5" t="s">
        <v>1049</v>
      </c>
      <c r="B154" s="5" t="s">
        <v>375</v>
      </c>
      <c r="C154" s="5" t="s">
        <v>123</v>
      </c>
      <c r="D154" s="5">
        <v>2025.0</v>
      </c>
      <c r="E154" s="5">
        <f t="shared" si="1"/>
        <v>2022</v>
      </c>
      <c r="F154" s="8">
        <f t="shared" si="2"/>
        <v>2024</v>
      </c>
      <c r="G154" s="31" t="str">
        <f>IF(COUNTIFS(HISTORICAL_DATA!$A$2:$A$441,$A154,HISTORICAL_DATA!$D$2:$D$441,"&gt;="&amp;$E154,HISTORICAL_DATA!$D$2:$D$441,"&lt;="&amp;$F154,HISTORICAL_DATA!$E$2:$E$441,"&lt;&gt;")&lt;3,"",SUMIFS(HISTORICAL_DATA!$E$2:$E$441,HISTORICAL_DATA!$A$2:$A$441,$A154,HISTORICAL_DATA!$D$2:$D$441,"&gt;="&amp;$E154,HISTORICAL_DATA!$D$2:$D$441,"&lt;="&amp;$F154)/3)</f>
        <v/>
      </c>
      <c r="H154" s="31" t="str">
        <f>IF(COUNTIFS(HISTORICAL_DATA!$A$2:$A$441,$A154,HISTORICAL_DATA!$D$2:$D$441,"&gt;="&amp;$E154,HISTORICAL_DATA!$D$2:$D$441,"&lt;="&amp;$F154,HISTORICAL_DATA!$G$2:$G$441,"&lt;&gt;")&lt;3,"",SUMIFS(HISTORICAL_DATA!$G$2:$G$441,HISTORICAL_DATA!$A$2:$A$441,$A154,HISTORICAL_DATA!$D$2:$D$441,"&gt;="&amp;$E154,HISTORICAL_DATA!$D$2:$D$441,"&lt;="&amp;$F154)/3)</f>
        <v/>
      </c>
      <c r="I154" s="31" t="str">
        <f>IF(OR(G154="",H154=""),"FACILITY DATA MISSING",IF(AND(COUNTIFS($C$2:$C$221,C154,$D$2:$D$221,D154,$G$2:$G$221,"&lt;&gt;")=COUNTIF(OFFICIAL_ALLOCATIONS!$C$2:$C$111,C154),COUNTIFS($C$2:$C$221,C154,$D$2:$D$221,D154,$H$2:$H$221,"&lt;&gt;")=COUNTIF(OFFICIAL_ALLOCATIONS!$C$2:$C$111,C154)),"COMPLETE","SECTOR DATA INCOMPLETE"))</f>
        <v>FACILITY DATA MISSING</v>
      </c>
      <c r="J154" s="31" t="str">
        <f t="shared" si="3"/>
        <v/>
      </c>
      <c r="K154" s="62" t="str">
        <f>IF(COUNTIFS(POLICY_PARAMETERS!$B$2:$B$13,"g",POLICY_PARAMETERS!$E$2:$E$13,C154,POLICY_PARAMETERS!$F$2:$F$13,D154,POLICY_PARAMETERS!$G$2:$G$13,"&lt;&gt;")=0,"",SUMIFS(POLICY_PARAMETERS!$G$2:$G$13,POLICY_PARAMETERS!$B$2:$B$13,"g",POLICY_PARAMETERS!$E$2:$E$13,C154,POLICY_PARAMETERS!$F$2:$F$13,D154))</f>
        <v/>
      </c>
      <c r="L154" s="62" t="str">
        <f>IF(COUNTIFS(POLICY_PARAMETERS!$B$2:$B$13,"r",POLICY_PARAMETERS!$E$2:$E$13,C154,POLICY_PARAMETERS!$F$2:$F$13,D154,POLICY_PARAMETERS!$G$2:$G$13,"&lt;&gt;")=0,"",SUMIFS(POLICY_PARAMETERS!$G$2:$G$13,POLICY_PARAMETERS!$B$2:$B$13,"r",POLICY_PARAMETERS!$E$2:$E$13,C154,POLICY_PARAMETERS!$F$2:$F$13,D154))</f>
        <v/>
      </c>
      <c r="M154" s="61" t="str">
        <f t="shared" si="4"/>
        <v/>
      </c>
      <c r="N154" s="56" t="str">
        <f t="shared" si="5"/>
        <v/>
      </c>
      <c r="O154" s="26">
        <f>IF(D154=2025,IFERROR(VLOOKUP(A154,OFFICIAL_ALLOCATIONS!$A$2:$F$111,5,FALSE),""),IFERROR(VLOOKUP(A154,OFFICIAL_ALLOCATIONS!$A$2:$F$111,6,FALSE),""))</f>
        <v>933095</v>
      </c>
      <c r="P154" s="42" t="str">
        <f t="shared" si="6"/>
        <v/>
      </c>
      <c r="Q154" s="28" t="str">
        <f t="shared" si="7"/>
        <v/>
      </c>
      <c r="R154" s="5" t="str">
        <f t="shared" si="8"/>
        <v>MISSING HISTORICAL DATA</v>
      </c>
      <c r="S154" s="5" t="s">
        <v>179</v>
      </c>
      <c r="T154" s="5" t="s">
        <v>59</v>
      </c>
    </row>
    <row r="155" ht="15.75" customHeight="1">
      <c r="A155" s="5" t="s">
        <v>1049</v>
      </c>
      <c r="B155" s="5" t="s">
        <v>375</v>
      </c>
      <c r="C155" s="5" t="s">
        <v>123</v>
      </c>
      <c r="D155" s="5">
        <v>2026.0</v>
      </c>
      <c r="E155" s="5">
        <f t="shared" si="1"/>
        <v>2023</v>
      </c>
      <c r="F155" s="8">
        <f t="shared" si="2"/>
        <v>2025</v>
      </c>
      <c r="G155" s="31" t="str">
        <f>IF(COUNTIFS(HISTORICAL_DATA!$A$2:$A$441,$A155,HISTORICAL_DATA!$D$2:$D$441,"&gt;="&amp;$E155,HISTORICAL_DATA!$D$2:$D$441,"&lt;="&amp;$F155,HISTORICAL_DATA!$E$2:$E$441,"&lt;&gt;")&lt;3,"",SUMIFS(HISTORICAL_DATA!$E$2:$E$441,HISTORICAL_DATA!$A$2:$A$441,$A155,HISTORICAL_DATA!$D$2:$D$441,"&gt;="&amp;$E155,HISTORICAL_DATA!$D$2:$D$441,"&lt;="&amp;$F155)/3)</f>
        <v/>
      </c>
      <c r="H155" s="31" t="str">
        <f>IF(COUNTIFS(HISTORICAL_DATA!$A$2:$A$441,$A155,HISTORICAL_DATA!$D$2:$D$441,"&gt;="&amp;$E155,HISTORICAL_DATA!$D$2:$D$441,"&lt;="&amp;$F155,HISTORICAL_DATA!$G$2:$G$441,"&lt;&gt;")&lt;3,"",SUMIFS(HISTORICAL_DATA!$G$2:$G$441,HISTORICAL_DATA!$A$2:$A$441,$A155,HISTORICAL_DATA!$D$2:$D$441,"&gt;="&amp;$E155,HISTORICAL_DATA!$D$2:$D$441,"&lt;="&amp;$F155)/3)</f>
        <v/>
      </c>
      <c r="I155" s="31" t="str">
        <f>IF(OR(G155="",H155=""),"FACILITY DATA MISSING",IF(AND(COUNTIFS($C$2:$C$221,C155,$D$2:$D$221,D155,$G$2:$G$221,"&lt;&gt;")=COUNTIF(OFFICIAL_ALLOCATIONS!$C$2:$C$111,C155),COUNTIFS($C$2:$C$221,C155,$D$2:$D$221,D155,$H$2:$H$221,"&lt;&gt;")=COUNTIF(OFFICIAL_ALLOCATIONS!$C$2:$C$111,C155)),"COMPLETE","SECTOR DATA INCOMPLETE"))</f>
        <v>FACILITY DATA MISSING</v>
      </c>
      <c r="J155" s="31" t="str">
        <f t="shared" si="3"/>
        <v/>
      </c>
      <c r="K155" s="62" t="str">
        <f>IF(COUNTIFS(POLICY_PARAMETERS!$B$2:$B$13,"g",POLICY_PARAMETERS!$E$2:$E$13,C155,POLICY_PARAMETERS!$F$2:$F$13,D155,POLICY_PARAMETERS!$G$2:$G$13,"&lt;&gt;")=0,"",SUMIFS(POLICY_PARAMETERS!$G$2:$G$13,POLICY_PARAMETERS!$B$2:$B$13,"g",POLICY_PARAMETERS!$E$2:$E$13,C155,POLICY_PARAMETERS!$F$2:$F$13,D155))</f>
        <v/>
      </c>
      <c r="L155" s="62" t="str">
        <f>IF(COUNTIFS(POLICY_PARAMETERS!$B$2:$B$13,"r",POLICY_PARAMETERS!$E$2:$E$13,C155,POLICY_PARAMETERS!$F$2:$F$13,D155,POLICY_PARAMETERS!$G$2:$G$13,"&lt;&gt;")=0,"",SUMIFS(POLICY_PARAMETERS!$G$2:$G$13,POLICY_PARAMETERS!$B$2:$B$13,"r",POLICY_PARAMETERS!$E$2:$E$13,C155,POLICY_PARAMETERS!$F$2:$F$13,D155))</f>
        <v/>
      </c>
      <c r="M155" s="61" t="str">
        <f t="shared" si="4"/>
        <v/>
      </c>
      <c r="N155" s="56" t="str">
        <f t="shared" si="5"/>
        <v/>
      </c>
      <c r="O155" s="26">
        <f>IF(D155=2025,IFERROR(VLOOKUP(A155,OFFICIAL_ALLOCATIONS!$A$2:$F$111,5,FALSE),""),IFERROR(VLOOKUP(A155,OFFICIAL_ALLOCATIONS!$A$2:$F$111,6,FALSE),""))</f>
        <v>1021037</v>
      </c>
      <c r="P155" s="42" t="str">
        <f t="shared" si="6"/>
        <v/>
      </c>
      <c r="Q155" s="28" t="str">
        <f t="shared" si="7"/>
        <v/>
      </c>
      <c r="R155" s="5" t="str">
        <f t="shared" si="8"/>
        <v>MISSING HISTORICAL DATA</v>
      </c>
      <c r="S155" s="5" t="s">
        <v>179</v>
      </c>
      <c r="T155" s="5" t="s">
        <v>59</v>
      </c>
    </row>
    <row r="156" ht="15.75" customHeight="1">
      <c r="A156" s="5" t="s">
        <v>1050</v>
      </c>
      <c r="B156" s="5" t="s">
        <v>377</v>
      </c>
      <c r="C156" s="5" t="s">
        <v>123</v>
      </c>
      <c r="D156" s="5">
        <v>2025.0</v>
      </c>
      <c r="E156" s="5">
        <f t="shared" si="1"/>
        <v>2022</v>
      </c>
      <c r="F156" s="8">
        <f t="shared" si="2"/>
        <v>2024</v>
      </c>
      <c r="G156" s="31" t="str">
        <f>IF(COUNTIFS(HISTORICAL_DATA!$A$2:$A$441,$A156,HISTORICAL_DATA!$D$2:$D$441,"&gt;="&amp;$E156,HISTORICAL_DATA!$D$2:$D$441,"&lt;="&amp;$F156,HISTORICAL_DATA!$E$2:$E$441,"&lt;&gt;")&lt;3,"",SUMIFS(HISTORICAL_DATA!$E$2:$E$441,HISTORICAL_DATA!$A$2:$A$441,$A156,HISTORICAL_DATA!$D$2:$D$441,"&gt;="&amp;$E156,HISTORICAL_DATA!$D$2:$D$441,"&lt;="&amp;$F156)/3)</f>
        <v/>
      </c>
      <c r="H156" s="31" t="str">
        <f>IF(COUNTIFS(HISTORICAL_DATA!$A$2:$A$441,$A156,HISTORICAL_DATA!$D$2:$D$441,"&gt;="&amp;$E156,HISTORICAL_DATA!$D$2:$D$441,"&lt;="&amp;$F156,HISTORICAL_DATA!$G$2:$G$441,"&lt;&gt;")&lt;3,"",SUMIFS(HISTORICAL_DATA!$G$2:$G$441,HISTORICAL_DATA!$A$2:$A$441,$A156,HISTORICAL_DATA!$D$2:$D$441,"&gt;="&amp;$E156,HISTORICAL_DATA!$D$2:$D$441,"&lt;="&amp;$F156)/3)</f>
        <v/>
      </c>
      <c r="I156" s="31" t="str">
        <f>IF(OR(G156="",H156=""),"FACILITY DATA MISSING",IF(AND(COUNTIFS($C$2:$C$221,C156,$D$2:$D$221,D156,$G$2:$G$221,"&lt;&gt;")=COUNTIF(OFFICIAL_ALLOCATIONS!$C$2:$C$111,C156),COUNTIFS($C$2:$C$221,C156,$D$2:$D$221,D156,$H$2:$H$221,"&lt;&gt;")=COUNTIF(OFFICIAL_ALLOCATIONS!$C$2:$C$111,C156)),"COMPLETE","SECTOR DATA INCOMPLETE"))</f>
        <v>FACILITY DATA MISSING</v>
      </c>
      <c r="J156" s="31" t="str">
        <f t="shared" si="3"/>
        <v/>
      </c>
      <c r="K156" s="62" t="str">
        <f>IF(COUNTIFS(POLICY_PARAMETERS!$B$2:$B$13,"g",POLICY_PARAMETERS!$E$2:$E$13,C156,POLICY_PARAMETERS!$F$2:$F$13,D156,POLICY_PARAMETERS!$G$2:$G$13,"&lt;&gt;")=0,"",SUMIFS(POLICY_PARAMETERS!$G$2:$G$13,POLICY_PARAMETERS!$B$2:$B$13,"g",POLICY_PARAMETERS!$E$2:$E$13,C156,POLICY_PARAMETERS!$F$2:$F$13,D156))</f>
        <v/>
      </c>
      <c r="L156" s="62" t="str">
        <f>IF(COUNTIFS(POLICY_PARAMETERS!$B$2:$B$13,"r",POLICY_PARAMETERS!$E$2:$E$13,C156,POLICY_PARAMETERS!$F$2:$F$13,D156,POLICY_PARAMETERS!$G$2:$G$13,"&lt;&gt;")=0,"",SUMIFS(POLICY_PARAMETERS!$G$2:$G$13,POLICY_PARAMETERS!$B$2:$B$13,"r",POLICY_PARAMETERS!$E$2:$E$13,C156,POLICY_PARAMETERS!$F$2:$F$13,D156))</f>
        <v/>
      </c>
      <c r="M156" s="61" t="str">
        <f t="shared" si="4"/>
        <v/>
      </c>
      <c r="N156" s="56" t="str">
        <f t="shared" si="5"/>
        <v/>
      </c>
      <c r="O156" s="26">
        <f>IF(D156=2025,IFERROR(VLOOKUP(A156,OFFICIAL_ALLOCATIONS!$A$2:$F$111,5,FALSE),""),IFERROR(VLOOKUP(A156,OFFICIAL_ALLOCATIONS!$A$2:$F$111,6,FALSE),""))</f>
        <v>989857</v>
      </c>
      <c r="P156" s="42" t="str">
        <f t="shared" si="6"/>
        <v/>
      </c>
      <c r="Q156" s="28" t="str">
        <f t="shared" si="7"/>
        <v/>
      </c>
      <c r="R156" s="5" t="str">
        <f t="shared" si="8"/>
        <v>MISSING HISTORICAL DATA</v>
      </c>
      <c r="S156" s="5" t="s">
        <v>179</v>
      </c>
      <c r="T156" s="5" t="s">
        <v>59</v>
      </c>
    </row>
    <row r="157" ht="15.75" customHeight="1">
      <c r="A157" s="5" t="s">
        <v>1050</v>
      </c>
      <c r="B157" s="5" t="s">
        <v>377</v>
      </c>
      <c r="C157" s="5" t="s">
        <v>123</v>
      </c>
      <c r="D157" s="5">
        <v>2026.0</v>
      </c>
      <c r="E157" s="5">
        <f t="shared" si="1"/>
        <v>2023</v>
      </c>
      <c r="F157" s="8">
        <f t="shared" si="2"/>
        <v>2025</v>
      </c>
      <c r="G157" s="31" t="str">
        <f>IF(COUNTIFS(HISTORICAL_DATA!$A$2:$A$441,$A157,HISTORICAL_DATA!$D$2:$D$441,"&gt;="&amp;$E157,HISTORICAL_DATA!$D$2:$D$441,"&lt;="&amp;$F157,HISTORICAL_DATA!$E$2:$E$441,"&lt;&gt;")&lt;3,"",SUMIFS(HISTORICAL_DATA!$E$2:$E$441,HISTORICAL_DATA!$A$2:$A$441,$A157,HISTORICAL_DATA!$D$2:$D$441,"&gt;="&amp;$E157,HISTORICAL_DATA!$D$2:$D$441,"&lt;="&amp;$F157)/3)</f>
        <v/>
      </c>
      <c r="H157" s="31" t="str">
        <f>IF(COUNTIFS(HISTORICAL_DATA!$A$2:$A$441,$A157,HISTORICAL_DATA!$D$2:$D$441,"&gt;="&amp;$E157,HISTORICAL_DATA!$D$2:$D$441,"&lt;="&amp;$F157,HISTORICAL_DATA!$G$2:$G$441,"&lt;&gt;")&lt;3,"",SUMIFS(HISTORICAL_DATA!$G$2:$G$441,HISTORICAL_DATA!$A$2:$A$441,$A157,HISTORICAL_DATA!$D$2:$D$441,"&gt;="&amp;$E157,HISTORICAL_DATA!$D$2:$D$441,"&lt;="&amp;$F157)/3)</f>
        <v/>
      </c>
      <c r="I157" s="31" t="str">
        <f>IF(OR(G157="",H157=""),"FACILITY DATA MISSING",IF(AND(COUNTIFS($C$2:$C$221,C157,$D$2:$D$221,D157,$G$2:$G$221,"&lt;&gt;")=COUNTIF(OFFICIAL_ALLOCATIONS!$C$2:$C$111,C157),COUNTIFS($C$2:$C$221,C157,$D$2:$D$221,D157,$H$2:$H$221,"&lt;&gt;")=COUNTIF(OFFICIAL_ALLOCATIONS!$C$2:$C$111,C157)),"COMPLETE","SECTOR DATA INCOMPLETE"))</f>
        <v>FACILITY DATA MISSING</v>
      </c>
      <c r="J157" s="31" t="str">
        <f t="shared" si="3"/>
        <v/>
      </c>
      <c r="K157" s="62" t="str">
        <f>IF(COUNTIFS(POLICY_PARAMETERS!$B$2:$B$13,"g",POLICY_PARAMETERS!$E$2:$E$13,C157,POLICY_PARAMETERS!$F$2:$F$13,D157,POLICY_PARAMETERS!$G$2:$G$13,"&lt;&gt;")=0,"",SUMIFS(POLICY_PARAMETERS!$G$2:$G$13,POLICY_PARAMETERS!$B$2:$B$13,"g",POLICY_PARAMETERS!$E$2:$E$13,C157,POLICY_PARAMETERS!$F$2:$F$13,D157))</f>
        <v/>
      </c>
      <c r="L157" s="62" t="str">
        <f>IF(COUNTIFS(POLICY_PARAMETERS!$B$2:$B$13,"r",POLICY_PARAMETERS!$E$2:$E$13,C157,POLICY_PARAMETERS!$F$2:$F$13,D157,POLICY_PARAMETERS!$G$2:$G$13,"&lt;&gt;")=0,"",SUMIFS(POLICY_PARAMETERS!$G$2:$G$13,POLICY_PARAMETERS!$B$2:$B$13,"r",POLICY_PARAMETERS!$E$2:$E$13,C157,POLICY_PARAMETERS!$F$2:$F$13,D157))</f>
        <v/>
      </c>
      <c r="M157" s="61" t="str">
        <f t="shared" si="4"/>
        <v/>
      </c>
      <c r="N157" s="56" t="str">
        <f t="shared" si="5"/>
        <v/>
      </c>
      <c r="O157" s="26">
        <f>IF(D157=2025,IFERROR(VLOOKUP(A157,OFFICIAL_ALLOCATIONS!$A$2:$F$111,5,FALSE),""),IFERROR(VLOOKUP(A157,OFFICIAL_ALLOCATIONS!$A$2:$F$111,6,FALSE),""))</f>
        <v>1083149</v>
      </c>
      <c r="P157" s="42" t="str">
        <f t="shared" si="6"/>
        <v/>
      </c>
      <c r="Q157" s="28" t="str">
        <f t="shared" si="7"/>
        <v/>
      </c>
      <c r="R157" s="5" t="str">
        <f t="shared" si="8"/>
        <v>MISSING HISTORICAL DATA</v>
      </c>
      <c r="S157" s="5" t="s">
        <v>179</v>
      </c>
      <c r="T157" s="5" t="s">
        <v>59</v>
      </c>
    </row>
    <row r="158" ht="15.75" customHeight="1">
      <c r="A158" s="5" t="s">
        <v>1051</v>
      </c>
      <c r="B158" s="5" t="s">
        <v>379</v>
      </c>
      <c r="C158" s="5" t="s">
        <v>123</v>
      </c>
      <c r="D158" s="5">
        <v>2025.0</v>
      </c>
      <c r="E158" s="5">
        <f t="shared" si="1"/>
        <v>2022</v>
      </c>
      <c r="F158" s="8">
        <f t="shared" si="2"/>
        <v>2024</v>
      </c>
      <c r="G158" s="31" t="str">
        <f>IF(COUNTIFS(HISTORICAL_DATA!$A$2:$A$441,$A158,HISTORICAL_DATA!$D$2:$D$441,"&gt;="&amp;$E158,HISTORICAL_DATA!$D$2:$D$441,"&lt;="&amp;$F158,HISTORICAL_DATA!$E$2:$E$441,"&lt;&gt;")&lt;3,"",SUMIFS(HISTORICAL_DATA!$E$2:$E$441,HISTORICAL_DATA!$A$2:$A$441,$A158,HISTORICAL_DATA!$D$2:$D$441,"&gt;="&amp;$E158,HISTORICAL_DATA!$D$2:$D$441,"&lt;="&amp;$F158)/3)</f>
        <v/>
      </c>
      <c r="H158" s="31" t="str">
        <f>IF(COUNTIFS(HISTORICAL_DATA!$A$2:$A$441,$A158,HISTORICAL_DATA!$D$2:$D$441,"&gt;="&amp;$E158,HISTORICAL_DATA!$D$2:$D$441,"&lt;="&amp;$F158,HISTORICAL_DATA!$G$2:$G$441,"&lt;&gt;")&lt;3,"",SUMIFS(HISTORICAL_DATA!$G$2:$G$441,HISTORICAL_DATA!$A$2:$A$441,$A158,HISTORICAL_DATA!$D$2:$D$441,"&gt;="&amp;$E158,HISTORICAL_DATA!$D$2:$D$441,"&lt;="&amp;$F158)/3)</f>
        <v/>
      </c>
      <c r="I158" s="31" t="str">
        <f>IF(OR(G158="",H158=""),"FACILITY DATA MISSING",IF(AND(COUNTIFS($C$2:$C$221,C158,$D$2:$D$221,D158,$G$2:$G$221,"&lt;&gt;")=COUNTIF(OFFICIAL_ALLOCATIONS!$C$2:$C$111,C158),COUNTIFS($C$2:$C$221,C158,$D$2:$D$221,D158,$H$2:$H$221,"&lt;&gt;")=COUNTIF(OFFICIAL_ALLOCATIONS!$C$2:$C$111,C158)),"COMPLETE","SECTOR DATA INCOMPLETE"))</f>
        <v>FACILITY DATA MISSING</v>
      </c>
      <c r="J158" s="31" t="str">
        <f t="shared" si="3"/>
        <v/>
      </c>
      <c r="K158" s="62" t="str">
        <f>IF(COUNTIFS(POLICY_PARAMETERS!$B$2:$B$13,"g",POLICY_PARAMETERS!$E$2:$E$13,C158,POLICY_PARAMETERS!$F$2:$F$13,D158,POLICY_PARAMETERS!$G$2:$G$13,"&lt;&gt;")=0,"",SUMIFS(POLICY_PARAMETERS!$G$2:$G$13,POLICY_PARAMETERS!$B$2:$B$13,"g",POLICY_PARAMETERS!$E$2:$E$13,C158,POLICY_PARAMETERS!$F$2:$F$13,D158))</f>
        <v/>
      </c>
      <c r="L158" s="62" t="str">
        <f>IF(COUNTIFS(POLICY_PARAMETERS!$B$2:$B$13,"r",POLICY_PARAMETERS!$E$2:$E$13,C158,POLICY_PARAMETERS!$F$2:$F$13,D158,POLICY_PARAMETERS!$G$2:$G$13,"&lt;&gt;")=0,"",SUMIFS(POLICY_PARAMETERS!$G$2:$G$13,POLICY_PARAMETERS!$B$2:$B$13,"r",POLICY_PARAMETERS!$E$2:$E$13,C158,POLICY_PARAMETERS!$F$2:$F$13,D158))</f>
        <v/>
      </c>
      <c r="M158" s="61" t="str">
        <f t="shared" si="4"/>
        <v/>
      </c>
      <c r="N158" s="56" t="str">
        <f t="shared" si="5"/>
        <v/>
      </c>
      <c r="O158" s="26">
        <f>IF(D158=2025,IFERROR(VLOOKUP(A158,OFFICIAL_ALLOCATIONS!$A$2:$F$111,5,FALSE),""),IFERROR(VLOOKUP(A158,OFFICIAL_ALLOCATIONS!$A$2:$F$111,6,FALSE),""))</f>
        <v>1175783</v>
      </c>
      <c r="P158" s="42" t="str">
        <f t="shared" si="6"/>
        <v/>
      </c>
      <c r="Q158" s="28" t="str">
        <f t="shared" si="7"/>
        <v/>
      </c>
      <c r="R158" s="5" t="str">
        <f t="shared" si="8"/>
        <v>MISSING HISTORICAL DATA</v>
      </c>
      <c r="S158" s="5" t="s">
        <v>179</v>
      </c>
      <c r="T158" s="5" t="s">
        <v>59</v>
      </c>
    </row>
    <row r="159" ht="15.75" customHeight="1">
      <c r="A159" s="5" t="s">
        <v>1051</v>
      </c>
      <c r="B159" s="5" t="s">
        <v>379</v>
      </c>
      <c r="C159" s="5" t="s">
        <v>123</v>
      </c>
      <c r="D159" s="5">
        <v>2026.0</v>
      </c>
      <c r="E159" s="5">
        <f t="shared" si="1"/>
        <v>2023</v>
      </c>
      <c r="F159" s="8">
        <f t="shared" si="2"/>
        <v>2025</v>
      </c>
      <c r="G159" s="31" t="str">
        <f>IF(COUNTIFS(HISTORICAL_DATA!$A$2:$A$441,$A159,HISTORICAL_DATA!$D$2:$D$441,"&gt;="&amp;$E159,HISTORICAL_DATA!$D$2:$D$441,"&lt;="&amp;$F159,HISTORICAL_DATA!$E$2:$E$441,"&lt;&gt;")&lt;3,"",SUMIFS(HISTORICAL_DATA!$E$2:$E$441,HISTORICAL_DATA!$A$2:$A$441,$A159,HISTORICAL_DATA!$D$2:$D$441,"&gt;="&amp;$E159,HISTORICAL_DATA!$D$2:$D$441,"&lt;="&amp;$F159)/3)</f>
        <v/>
      </c>
      <c r="H159" s="31" t="str">
        <f>IF(COUNTIFS(HISTORICAL_DATA!$A$2:$A$441,$A159,HISTORICAL_DATA!$D$2:$D$441,"&gt;="&amp;$E159,HISTORICAL_DATA!$D$2:$D$441,"&lt;="&amp;$F159,HISTORICAL_DATA!$G$2:$G$441,"&lt;&gt;")&lt;3,"",SUMIFS(HISTORICAL_DATA!$G$2:$G$441,HISTORICAL_DATA!$A$2:$A$441,$A159,HISTORICAL_DATA!$D$2:$D$441,"&gt;="&amp;$E159,HISTORICAL_DATA!$D$2:$D$441,"&lt;="&amp;$F159)/3)</f>
        <v/>
      </c>
      <c r="I159" s="31" t="str">
        <f>IF(OR(G159="",H159=""),"FACILITY DATA MISSING",IF(AND(COUNTIFS($C$2:$C$221,C159,$D$2:$D$221,D159,$G$2:$G$221,"&lt;&gt;")=COUNTIF(OFFICIAL_ALLOCATIONS!$C$2:$C$111,C159),COUNTIFS($C$2:$C$221,C159,$D$2:$D$221,D159,$H$2:$H$221,"&lt;&gt;")=COUNTIF(OFFICIAL_ALLOCATIONS!$C$2:$C$111,C159)),"COMPLETE","SECTOR DATA INCOMPLETE"))</f>
        <v>FACILITY DATA MISSING</v>
      </c>
      <c r="J159" s="31" t="str">
        <f t="shared" si="3"/>
        <v/>
      </c>
      <c r="K159" s="62" t="str">
        <f>IF(COUNTIFS(POLICY_PARAMETERS!$B$2:$B$13,"g",POLICY_PARAMETERS!$E$2:$E$13,C159,POLICY_PARAMETERS!$F$2:$F$13,D159,POLICY_PARAMETERS!$G$2:$G$13,"&lt;&gt;")=0,"",SUMIFS(POLICY_PARAMETERS!$G$2:$G$13,POLICY_PARAMETERS!$B$2:$B$13,"g",POLICY_PARAMETERS!$E$2:$E$13,C159,POLICY_PARAMETERS!$F$2:$F$13,D159))</f>
        <v/>
      </c>
      <c r="L159" s="62" t="str">
        <f>IF(COUNTIFS(POLICY_PARAMETERS!$B$2:$B$13,"r",POLICY_PARAMETERS!$E$2:$E$13,C159,POLICY_PARAMETERS!$F$2:$F$13,D159,POLICY_PARAMETERS!$G$2:$G$13,"&lt;&gt;")=0,"",SUMIFS(POLICY_PARAMETERS!$G$2:$G$13,POLICY_PARAMETERS!$B$2:$B$13,"r",POLICY_PARAMETERS!$E$2:$E$13,C159,POLICY_PARAMETERS!$F$2:$F$13,D159))</f>
        <v/>
      </c>
      <c r="M159" s="61" t="str">
        <f t="shared" si="4"/>
        <v/>
      </c>
      <c r="N159" s="56" t="str">
        <f t="shared" si="5"/>
        <v/>
      </c>
      <c r="O159" s="26">
        <f>IF(D159=2025,IFERROR(VLOOKUP(A159,OFFICIAL_ALLOCATIONS!$A$2:$F$111,5,FALSE),""),IFERROR(VLOOKUP(A159,OFFICIAL_ALLOCATIONS!$A$2:$F$111,6,FALSE),""))</f>
        <v>1286599</v>
      </c>
      <c r="P159" s="42" t="str">
        <f t="shared" si="6"/>
        <v/>
      </c>
      <c r="Q159" s="28" t="str">
        <f t="shared" si="7"/>
        <v/>
      </c>
      <c r="R159" s="5" t="str">
        <f t="shared" si="8"/>
        <v>MISSING HISTORICAL DATA</v>
      </c>
      <c r="S159" s="5" t="s">
        <v>179</v>
      </c>
      <c r="T159" s="5" t="s">
        <v>59</v>
      </c>
    </row>
    <row r="160" ht="15.75" customHeight="1">
      <c r="A160" s="5" t="s">
        <v>1052</v>
      </c>
      <c r="B160" s="5" t="s">
        <v>381</v>
      </c>
      <c r="C160" s="5" t="s">
        <v>123</v>
      </c>
      <c r="D160" s="5">
        <v>2025.0</v>
      </c>
      <c r="E160" s="5">
        <f t="shared" si="1"/>
        <v>2022</v>
      </c>
      <c r="F160" s="8">
        <f t="shared" si="2"/>
        <v>2024</v>
      </c>
      <c r="G160" s="31" t="str">
        <f>IF(COUNTIFS(HISTORICAL_DATA!$A$2:$A$441,$A160,HISTORICAL_DATA!$D$2:$D$441,"&gt;="&amp;$E160,HISTORICAL_DATA!$D$2:$D$441,"&lt;="&amp;$F160,HISTORICAL_DATA!$E$2:$E$441,"&lt;&gt;")&lt;3,"",SUMIFS(HISTORICAL_DATA!$E$2:$E$441,HISTORICAL_DATA!$A$2:$A$441,$A160,HISTORICAL_DATA!$D$2:$D$441,"&gt;="&amp;$E160,HISTORICAL_DATA!$D$2:$D$441,"&lt;="&amp;$F160)/3)</f>
        <v/>
      </c>
      <c r="H160" s="31" t="str">
        <f>IF(COUNTIFS(HISTORICAL_DATA!$A$2:$A$441,$A160,HISTORICAL_DATA!$D$2:$D$441,"&gt;="&amp;$E160,HISTORICAL_DATA!$D$2:$D$441,"&lt;="&amp;$F160,HISTORICAL_DATA!$G$2:$G$441,"&lt;&gt;")&lt;3,"",SUMIFS(HISTORICAL_DATA!$G$2:$G$441,HISTORICAL_DATA!$A$2:$A$441,$A160,HISTORICAL_DATA!$D$2:$D$441,"&gt;="&amp;$E160,HISTORICAL_DATA!$D$2:$D$441,"&lt;="&amp;$F160)/3)</f>
        <v/>
      </c>
      <c r="I160" s="31" t="str">
        <f>IF(OR(G160="",H160=""),"FACILITY DATA MISSING",IF(AND(COUNTIFS($C$2:$C$221,C160,$D$2:$D$221,D160,$G$2:$G$221,"&lt;&gt;")=COUNTIF(OFFICIAL_ALLOCATIONS!$C$2:$C$111,C160),COUNTIFS($C$2:$C$221,C160,$D$2:$D$221,D160,$H$2:$H$221,"&lt;&gt;")=COUNTIF(OFFICIAL_ALLOCATIONS!$C$2:$C$111,C160)),"COMPLETE","SECTOR DATA INCOMPLETE"))</f>
        <v>FACILITY DATA MISSING</v>
      </c>
      <c r="J160" s="31" t="str">
        <f t="shared" si="3"/>
        <v/>
      </c>
      <c r="K160" s="62" t="str">
        <f>IF(COUNTIFS(POLICY_PARAMETERS!$B$2:$B$13,"g",POLICY_PARAMETERS!$E$2:$E$13,C160,POLICY_PARAMETERS!$F$2:$F$13,D160,POLICY_PARAMETERS!$G$2:$G$13,"&lt;&gt;")=0,"",SUMIFS(POLICY_PARAMETERS!$G$2:$G$13,POLICY_PARAMETERS!$B$2:$B$13,"g",POLICY_PARAMETERS!$E$2:$E$13,C160,POLICY_PARAMETERS!$F$2:$F$13,D160))</f>
        <v/>
      </c>
      <c r="L160" s="62" t="str">
        <f>IF(COUNTIFS(POLICY_PARAMETERS!$B$2:$B$13,"r",POLICY_PARAMETERS!$E$2:$E$13,C160,POLICY_PARAMETERS!$F$2:$F$13,D160,POLICY_PARAMETERS!$G$2:$G$13,"&lt;&gt;")=0,"",SUMIFS(POLICY_PARAMETERS!$G$2:$G$13,POLICY_PARAMETERS!$B$2:$B$13,"r",POLICY_PARAMETERS!$E$2:$E$13,C160,POLICY_PARAMETERS!$F$2:$F$13,D160))</f>
        <v/>
      </c>
      <c r="M160" s="61" t="str">
        <f t="shared" si="4"/>
        <v/>
      </c>
      <c r="N160" s="56" t="str">
        <f t="shared" si="5"/>
        <v/>
      </c>
      <c r="O160" s="26">
        <f>IF(D160=2025,IFERROR(VLOOKUP(A160,OFFICIAL_ALLOCATIONS!$A$2:$F$111,5,FALSE),""),IFERROR(VLOOKUP(A160,OFFICIAL_ALLOCATIONS!$A$2:$F$111,6,FALSE),""))</f>
        <v>2453235</v>
      </c>
      <c r="P160" s="42" t="str">
        <f t="shared" si="6"/>
        <v/>
      </c>
      <c r="Q160" s="28" t="str">
        <f t="shared" si="7"/>
        <v/>
      </c>
      <c r="R160" s="5" t="str">
        <f t="shared" si="8"/>
        <v>MISSING HISTORICAL DATA</v>
      </c>
      <c r="S160" s="5" t="s">
        <v>179</v>
      </c>
      <c r="T160" s="5" t="s">
        <v>59</v>
      </c>
    </row>
    <row r="161" ht="15.75" customHeight="1">
      <c r="A161" s="5" t="s">
        <v>1052</v>
      </c>
      <c r="B161" s="5" t="s">
        <v>381</v>
      </c>
      <c r="C161" s="5" t="s">
        <v>123</v>
      </c>
      <c r="D161" s="5">
        <v>2026.0</v>
      </c>
      <c r="E161" s="5">
        <f t="shared" si="1"/>
        <v>2023</v>
      </c>
      <c r="F161" s="8">
        <f t="shared" si="2"/>
        <v>2025</v>
      </c>
      <c r="G161" s="31" t="str">
        <f>IF(COUNTIFS(HISTORICAL_DATA!$A$2:$A$441,$A161,HISTORICAL_DATA!$D$2:$D$441,"&gt;="&amp;$E161,HISTORICAL_DATA!$D$2:$D$441,"&lt;="&amp;$F161,HISTORICAL_DATA!$E$2:$E$441,"&lt;&gt;")&lt;3,"",SUMIFS(HISTORICAL_DATA!$E$2:$E$441,HISTORICAL_DATA!$A$2:$A$441,$A161,HISTORICAL_DATA!$D$2:$D$441,"&gt;="&amp;$E161,HISTORICAL_DATA!$D$2:$D$441,"&lt;="&amp;$F161)/3)</f>
        <v/>
      </c>
      <c r="H161" s="31" t="str">
        <f>IF(COUNTIFS(HISTORICAL_DATA!$A$2:$A$441,$A161,HISTORICAL_DATA!$D$2:$D$441,"&gt;="&amp;$E161,HISTORICAL_DATA!$D$2:$D$441,"&lt;="&amp;$F161,HISTORICAL_DATA!$G$2:$G$441,"&lt;&gt;")&lt;3,"",SUMIFS(HISTORICAL_DATA!$G$2:$G$441,HISTORICAL_DATA!$A$2:$A$441,$A161,HISTORICAL_DATA!$D$2:$D$441,"&gt;="&amp;$E161,HISTORICAL_DATA!$D$2:$D$441,"&lt;="&amp;$F161)/3)</f>
        <v/>
      </c>
      <c r="I161" s="31" t="str">
        <f>IF(OR(G161="",H161=""),"FACILITY DATA MISSING",IF(AND(COUNTIFS($C$2:$C$221,C161,$D$2:$D$221,D161,$G$2:$G$221,"&lt;&gt;")=COUNTIF(OFFICIAL_ALLOCATIONS!$C$2:$C$111,C161),COUNTIFS($C$2:$C$221,C161,$D$2:$D$221,D161,$H$2:$H$221,"&lt;&gt;")=COUNTIF(OFFICIAL_ALLOCATIONS!$C$2:$C$111,C161)),"COMPLETE","SECTOR DATA INCOMPLETE"))</f>
        <v>FACILITY DATA MISSING</v>
      </c>
      <c r="J161" s="31" t="str">
        <f t="shared" si="3"/>
        <v/>
      </c>
      <c r="K161" s="62" t="str">
        <f>IF(COUNTIFS(POLICY_PARAMETERS!$B$2:$B$13,"g",POLICY_PARAMETERS!$E$2:$E$13,C161,POLICY_PARAMETERS!$F$2:$F$13,D161,POLICY_PARAMETERS!$G$2:$G$13,"&lt;&gt;")=0,"",SUMIFS(POLICY_PARAMETERS!$G$2:$G$13,POLICY_PARAMETERS!$B$2:$B$13,"g",POLICY_PARAMETERS!$E$2:$E$13,C161,POLICY_PARAMETERS!$F$2:$F$13,D161))</f>
        <v/>
      </c>
      <c r="L161" s="62" t="str">
        <f>IF(COUNTIFS(POLICY_PARAMETERS!$B$2:$B$13,"r",POLICY_PARAMETERS!$E$2:$E$13,C161,POLICY_PARAMETERS!$F$2:$F$13,D161,POLICY_PARAMETERS!$G$2:$G$13,"&lt;&gt;")=0,"",SUMIFS(POLICY_PARAMETERS!$G$2:$G$13,POLICY_PARAMETERS!$B$2:$B$13,"r",POLICY_PARAMETERS!$E$2:$E$13,C161,POLICY_PARAMETERS!$F$2:$F$13,D161))</f>
        <v/>
      </c>
      <c r="M161" s="61" t="str">
        <f t="shared" si="4"/>
        <v/>
      </c>
      <c r="N161" s="56" t="str">
        <f t="shared" si="5"/>
        <v/>
      </c>
      <c r="O161" s="26">
        <f>IF(D161=2025,IFERROR(VLOOKUP(A161,OFFICIAL_ALLOCATIONS!$A$2:$F$111,5,FALSE),""),IFERROR(VLOOKUP(A161,OFFICIAL_ALLOCATIONS!$A$2:$F$111,6,FALSE),""))</f>
        <v>2684448</v>
      </c>
      <c r="P161" s="42" t="str">
        <f t="shared" si="6"/>
        <v/>
      </c>
      <c r="Q161" s="28" t="str">
        <f t="shared" si="7"/>
        <v/>
      </c>
      <c r="R161" s="5" t="str">
        <f t="shared" si="8"/>
        <v>MISSING HISTORICAL DATA</v>
      </c>
      <c r="S161" s="5" t="s">
        <v>179</v>
      </c>
      <c r="T161" s="5" t="s">
        <v>59</v>
      </c>
    </row>
    <row r="162" ht="15.75" customHeight="1">
      <c r="A162" s="5" t="s">
        <v>1053</v>
      </c>
      <c r="B162" s="5" t="s">
        <v>383</v>
      </c>
      <c r="C162" s="5" t="s">
        <v>123</v>
      </c>
      <c r="D162" s="5">
        <v>2025.0</v>
      </c>
      <c r="E162" s="5">
        <f t="shared" si="1"/>
        <v>2022</v>
      </c>
      <c r="F162" s="8">
        <f t="shared" si="2"/>
        <v>2024</v>
      </c>
      <c r="G162" s="31" t="str">
        <f>IF(COUNTIFS(HISTORICAL_DATA!$A$2:$A$441,$A162,HISTORICAL_DATA!$D$2:$D$441,"&gt;="&amp;$E162,HISTORICAL_DATA!$D$2:$D$441,"&lt;="&amp;$F162,HISTORICAL_DATA!$E$2:$E$441,"&lt;&gt;")&lt;3,"",SUMIFS(HISTORICAL_DATA!$E$2:$E$441,HISTORICAL_DATA!$A$2:$A$441,$A162,HISTORICAL_DATA!$D$2:$D$441,"&gt;="&amp;$E162,HISTORICAL_DATA!$D$2:$D$441,"&lt;="&amp;$F162)/3)</f>
        <v/>
      </c>
      <c r="H162" s="31" t="str">
        <f>IF(COUNTIFS(HISTORICAL_DATA!$A$2:$A$441,$A162,HISTORICAL_DATA!$D$2:$D$441,"&gt;="&amp;$E162,HISTORICAL_DATA!$D$2:$D$441,"&lt;="&amp;$F162,HISTORICAL_DATA!$G$2:$G$441,"&lt;&gt;")&lt;3,"",SUMIFS(HISTORICAL_DATA!$G$2:$G$441,HISTORICAL_DATA!$A$2:$A$441,$A162,HISTORICAL_DATA!$D$2:$D$441,"&gt;="&amp;$E162,HISTORICAL_DATA!$D$2:$D$441,"&lt;="&amp;$F162)/3)</f>
        <v/>
      </c>
      <c r="I162" s="31" t="str">
        <f>IF(OR(G162="",H162=""),"FACILITY DATA MISSING",IF(AND(COUNTIFS($C$2:$C$221,C162,$D$2:$D$221,D162,$G$2:$G$221,"&lt;&gt;")=COUNTIF(OFFICIAL_ALLOCATIONS!$C$2:$C$111,C162),COUNTIFS($C$2:$C$221,C162,$D$2:$D$221,D162,$H$2:$H$221,"&lt;&gt;")=COUNTIF(OFFICIAL_ALLOCATIONS!$C$2:$C$111,C162)),"COMPLETE","SECTOR DATA INCOMPLETE"))</f>
        <v>FACILITY DATA MISSING</v>
      </c>
      <c r="J162" s="31" t="str">
        <f t="shared" si="3"/>
        <v/>
      </c>
      <c r="K162" s="62" t="str">
        <f>IF(COUNTIFS(POLICY_PARAMETERS!$B$2:$B$13,"g",POLICY_PARAMETERS!$E$2:$E$13,C162,POLICY_PARAMETERS!$F$2:$F$13,D162,POLICY_PARAMETERS!$G$2:$G$13,"&lt;&gt;")=0,"",SUMIFS(POLICY_PARAMETERS!$G$2:$G$13,POLICY_PARAMETERS!$B$2:$B$13,"g",POLICY_PARAMETERS!$E$2:$E$13,C162,POLICY_PARAMETERS!$F$2:$F$13,D162))</f>
        <v/>
      </c>
      <c r="L162" s="62" t="str">
        <f>IF(COUNTIFS(POLICY_PARAMETERS!$B$2:$B$13,"r",POLICY_PARAMETERS!$E$2:$E$13,C162,POLICY_PARAMETERS!$F$2:$F$13,D162,POLICY_PARAMETERS!$G$2:$G$13,"&lt;&gt;")=0,"",SUMIFS(POLICY_PARAMETERS!$G$2:$G$13,POLICY_PARAMETERS!$B$2:$B$13,"r",POLICY_PARAMETERS!$E$2:$E$13,C162,POLICY_PARAMETERS!$F$2:$F$13,D162))</f>
        <v/>
      </c>
      <c r="M162" s="61" t="str">
        <f t="shared" si="4"/>
        <v/>
      </c>
      <c r="N162" s="56" t="str">
        <f t="shared" si="5"/>
        <v/>
      </c>
      <c r="O162" s="26">
        <f>IF(D162=2025,IFERROR(VLOOKUP(A162,OFFICIAL_ALLOCATIONS!$A$2:$F$111,5,FALSE),""),IFERROR(VLOOKUP(A162,OFFICIAL_ALLOCATIONS!$A$2:$F$111,6,FALSE),""))</f>
        <v>133575</v>
      </c>
      <c r="P162" s="42" t="str">
        <f t="shared" si="6"/>
        <v/>
      </c>
      <c r="Q162" s="28" t="str">
        <f t="shared" si="7"/>
        <v/>
      </c>
      <c r="R162" s="5" t="str">
        <f t="shared" si="8"/>
        <v>MISSING HISTORICAL DATA</v>
      </c>
      <c r="S162" s="5" t="s">
        <v>179</v>
      </c>
      <c r="T162" s="5" t="s">
        <v>59</v>
      </c>
    </row>
    <row r="163" ht="15.75" customHeight="1">
      <c r="A163" s="5" t="s">
        <v>1053</v>
      </c>
      <c r="B163" s="5" t="s">
        <v>383</v>
      </c>
      <c r="C163" s="5" t="s">
        <v>123</v>
      </c>
      <c r="D163" s="5">
        <v>2026.0</v>
      </c>
      <c r="E163" s="5">
        <f t="shared" si="1"/>
        <v>2023</v>
      </c>
      <c r="F163" s="8">
        <f t="shared" si="2"/>
        <v>2025</v>
      </c>
      <c r="G163" s="31" t="str">
        <f>IF(COUNTIFS(HISTORICAL_DATA!$A$2:$A$441,$A163,HISTORICAL_DATA!$D$2:$D$441,"&gt;="&amp;$E163,HISTORICAL_DATA!$D$2:$D$441,"&lt;="&amp;$F163,HISTORICAL_DATA!$E$2:$E$441,"&lt;&gt;")&lt;3,"",SUMIFS(HISTORICAL_DATA!$E$2:$E$441,HISTORICAL_DATA!$A$2:$A$441,$A163,HISTORICAL_DATA!$D$2:$D$441,"&gt;="&amp;$E163,HISTORICAL_DATA!$D$2:$D$441,"&lt;="&amp;$F163)/3)</f>
        <v/>
      </c>
      <c r="H163" s="31" t="str">
        <f>IF(COUNTIFS(HISTORICAL_DATA!$A$2:$A$441,$A163,HISTORICAL_DATA!$D$2:$D$441,"&gt;="&amp;$E163,HISTORICAL_DATA!$D$2:$D$441,"&lt;="&amp;$F163,HISTORICAL_DATA!$G$2:$G$441,"&lt;&gt;")&lt;3,"",SUMIFS(HISTORICAL_DATA!$G$2:$G$441,HISTORICAL_DATA!$A$2:$A$441,$A163,HISTORICAL_DATA!$D$2:$D$441,"&gt;="&amp;$E163,HISTORICAL_DATA!$D$2:$D$441,"&lt;="&amp;$F163)/3)</f>
        <v/>
      </c>
      <c r="I163" s="31" t="str">
        <f>IF(OR(G163="",H163=""),"FACILITY DATA MISSING",IF(AND(COUNTIFS($C$2:$C$221,C163,$D$2:$D$221,D163,$G$2:$G$221,"&lt;&gt;")=COUNTIF(OFFICIAL_ALLOCATIONS!$C$2:$C$111,C163),COUNTIFS($C$2:$C$221,C163,$D$2:$D$221,D163,$H$2:$H$221,"&lt;&gt;")=COUNTIF(OFFICIAL_ALLOCATIONS!$C$2:$C$111,C163)),"COMPLETE","SECTOR DATA INCOMPLETE"))</f>
        <v>FACILITY DATA MISSING</v>
      </c>
      <c r="J163" s="31" t="str">
        <f t="shared" si="3"/>
        <v/>
      </c>
      <c r="K163" s="62" t="str">
        <f>IF(COUNTIFS(POLICY_PARAMETERS!$B$2:$B$13,"g",POLICY_PARAMETERS!$E$2:$E$13,C163,POLICY_PARAMETERS!$F$2:$F$13,D163,POLICY_PARAMETERS!$G$2:$G$13,"&lt;&gt;")=0,"",SUMIFS(POLICY_PARAMETERS!$G$2:$G$13,POLICY_PARAMETERS!$B$2:$B$13,"g",POLICY_PARAMETERS!$E$2:$E$13,C163,POLICY_PARAMETERS!$F$2:$F$13,D163))</f>
        <v/>
      </c>
      <c r="L163" s="62" t="str">
        <f>IF(COUNTIFS(POLICY_PARAMETERS!$B$2:$B$13,"r",POLICY_PARAMETERS!$E$2:$E$13,C163,POLICY_PARAMETERS!$F$2:$F$13,D163,POLICY_PARAMETERS!$G$2:$G$13,"&lt;&gt;")=0,"",SUMIFS(POLICY_PARAMETERS!$G$2:$G$13,POLICY_PARAMETERS!$B$2:$B$13,"r",POLICY_PARAMETERS!$E$2:$E$13,C163,POLICY_PARAMETERS!$F$2:$F$13,D163))</f>
        <v/>
      </c>
      <c r="M163" s="61" t="str">
        <f t="shared" si="4"/>
        <v/>
      </c>
      <c r="N163" s="56" t="str">
        <f t="shared" si="5"/>
        <v/>
      </c>
      <c r="O163" s="26">
        <f>IF(D163=2025,IFERROR(VLOOKUP(A163,OFFICIAL_ALLOCATIONS!$A$2:$F$111,5,FALSE),""),IFERROR(VLOOKUP(A163,OFFICIAL_ALLOCATIONS!$A$2:$F$111,6,FALSE),""))</f>
        <v>146165</v>
      </c>
      <c r="P163" s="42" t="str">
        <f t="shared" si="6"/>
        <v/>
      </c>
      <c r="Q163" s="28" t="str">
        <f t="shared" si="7"/>
        <v/>
      </c>
      <c r="R163" s="5" t="str">
        <f t="shared" si="8"/>
        <v>MISSING HISTORICAL DATA</v>
      </c>
      <c r="S163" s="5" t="s">
        <v>179</v>
      </c>
      <c r="T163" s="5" t="s">
        <v>59</v>
      </c>
    </row>
    <row r="164" ht="15.75" customHeight="1">
      <c r="A164" s="5" t="s">
        <v>1054</v>
      </c>
      <c r="B164" s="5" t="s">
        <v>385</v>
      </c>
      <c r="C164" s="5" t="s">
        <v>123</v>
      </c>
      <c r="D164" s="5">
        <v>2025.0</v>
      </c>
      <c r="E164" s="5">
        <f t="shared" si="1"/>
        <v>2022</v>
      </c>
      <c r="F164" s="8">
        <f t="shared" si="2"/>
        <v>2024</v>
      </c>
      <c r="G164" s="31" t="str">
        <f>IF(COUNTIFS(HISTORICAL_DATA!$A$2:$A$441,$A164,HISTORICAL_DATA!$D$2:$D$441,"&gt;="&amp;$E164,HISTORICAL_DATA!$D$2:$D$441,"&lt;="&amp;$F164,HISTORICAL_DATA!$E$2:$E$441,"&lt;&gt;")&lt;3,"",SUMIFS(HISTORICAL_DATA!$E$2:$E$441,HISTORICAL_DATA!$A$2:$A$441,$A164,HISTORICAL_DATA!$D$2:$D$441,"&gt;="&amp;$E164,HISTORICAL_DATA!$D$2:$D$441,"&lt;="&amp;$F164)/3)</f>
        <v/>
      </c>
      <c r="H164" s="31" t="str">
        <f>IF(COUNTIFS(HISTORICAL_DATA!$A$2:$A$441,$A164,HISTORICAL_DATA!$D$2:$D$441,"&gt;="&amp;$E164,HISTORICAL_DATA!$D$2:$D$441,"&lt;="&amp;$F164,HISTORICAL_DATA!$G$2:$G$441,"&lt;&gt;")&lt;3,"",SUMIFS(HISTORICAL_DATA!$G$2:$G$441,HISTORICAL_DATA!$A$2:$A$441,$A164,HISTORICAL_DATA!$D$2:$D$441,"&gt;="&amp;$E164,HISTORICAL_DATA!$D$2:$D$441,"&lt;="&amp;$F164)/3)</f>
        <v/>
      </c>
      <c r="I164" s="31" t="str">
        <f>IF(OR(G164="",H164=""),"FACILITY DATA MISSING",IF(AND(COUNTIFS($C$2:$C$221,C164,$D$2:$D$221,D164,$G$2:$G$221,"&lt;&gt;")=COUNTIF(OFFICIAL_ALLOCATIONS!$C$2:$C$111,C164),COUNTIFS($C$2:$C$221,C164,$D$2:$D$221,D164,$H$2:$H$221,"&lt;&gt;")=COUNTIF(OFFICIAL_ALLOCATIONS!$C$2:$C$111,C164)),"COMPLETE","SECTOR DATA INCOMPLETE"))</f>
        <v>FACILITY DATA MISSING</v>
      </c>
      <c r="J164" s="31" t="str">
        <f t="shared" si="3"/>
        <v/>
      </c>
      <c r="K164" s="62" t="str">
        <f>IF(COUNTIFS(POLICY_PARAMETERS!$B$2:$B$13,"g",POLICY_PARAMETERS!$E$2:$E$13,C164,POLICY_PARAMETERS!$F$2:$F$13,D164,POLICY_PARAMETERS!$G$2:$G$13,"&lt;&gt;")=0,"",SUMIFS(POLICY_PARAMETERS!$G$2:$G$13,POLICY_PARAMETERS!$B$2:$B$13,"g",POLICY_PARAMETERS!$E$2:$E$13,C164,POLICY_PARAMETERS!$F$2:$F$13,D164))</f>
        <v/>
      </c>
      <c r="L164" s="62" t="str">
        <f>IF(COUNTIFS(POLICY_PARAMETERS!$B$2:$B$13,"r",POLICY_PARAMETERS!$E$2:$E$13,C164,POLICY_PARAMETERS!$F$2:$F$13,D164,POLICY_PARAMETERS!$G$2:$G$13,"&lt;&gt;")=0,"",SUMIFS(POLICY_PARAMETERS!$G$2:$G$13,POLICY_PARAMETERS!$B$2:$B$13,"r",POLICY_PARAMETERS!$E$2:$E$13,C164,POLICY_PARAMETERS!$F$2:$F$13,D164))</f>
        <v/>
      </c>
      <c r="M164" s="61" t="str">
        <f t="shared" si="4"/>
        <v/>
      </c>
      <c r="N164" s="56" t="str">
        <f t="shared" si="5"/>
        <v/>
      </c>
      <c r="O164" s="26">
        <f>IF(D164=2025,IFERROR(VLOOKUP(A164,OFFICIAL_ALLOCATIONS!$A$2:$F$111,5,FALSE),""),IFERROR(VLOOKUP(A164,OFFICIAL_ALLOCATIONS!$A$2:$F$111,6,FALSE),""))</f>
        <v>6853859</v>
      </c>
      <c r="P164" s="42" t="str">
        <f t="shared" si="6"/>
        <v/>
      </c>
      <c r="Q164" s="28" t="str">
        <f t="shared" si="7"/>
        <v/>
      </c>
      <c r="R164" s="5" t="str">
        <f t="shared" si="8"/>
        <v>MISSING HISTORICAL DATA</v>
      </c>
      <c r="S164" s="5" t="s">
        <v>179</v>
      </c>
      <c r="T164" s="5" t="s">
        <v>59</v>
      </c>
    </row>
    <row r="165" ht="15.75" customHeight="1">
      <c r="A165" s="5" t="s">
        <v>1054</v>
      </c>
      <c r="B165" s="5" t="s">
        <v>385</v>
      </c>
      <c r="C165" s="5" t="s">
        <v>123</v>
      </c>
      <c r="D165" s="5">
        <v>2026.0</v>
      </c>
      <c r="E165" s="5">
        <f t="shared" si="1"/>
        <v>2023</v>
      </c>
      <c r="F165" s="8">
        <f t="shared" si="2"/>
        <v>2025</v>
      </c>
      <c r="G165" s="31" t="str">
        <f>IF(COUNTIFS(HISTORICAL_DATA!$A$2:$A$441,$A165,HISTORICAL_DATA!$D$2:$D$441,"&gt;="&amp;$E165,HISTORICAL_DATA!$D$2:$D$441,"&lt;="&amp;$F165,HISTORICAL_DATA!$E$2:$E$441,"&lt;&gt;")&lt;3,"",SUMIFS(HISTORICAL_DATA!$E$2:$E$441,HISTORICAL_DATA!$A$2:$A$441,$A165,HISTORICAL_DATA!$D$2:$D$441,"&gt;="&amp;$E165,HISTORICAL_DATA!$D$2:$D$441,"&lt;="&amp;$F165)/3)</f>
        <v/>
      </c>
      <c r="H165" s="31" t="str">
        <f>IF(COUNTIFS(HISTORICAL_DATA!$A$2:$A$441,$A165,HISTORICAL_DATA!$D$2:$D$441,"&gt;="&amp;$E165,HISTORICAL_DATA!$D$2:$D$441,"&lt;="&amp;$F165,HISTORICAL_DATA!$G$2:$G$441,"&lt;&gt;")&lt;3,"",SUMIFS(HISTORICAL_DATA!$G$2:$G$441,HISTORICAL_DATA!$A$2:$A$441,$A165,HISTORICAL_DATA!$D$2:$D$441,"&gt;="&amp;$E165,HISTORICAL_DATA!$D$2:$D$441,"&lt;="&amp;$F165)/3)</f>
        <v/>
      </c>
      <c r="I165" s="31" t="str">
        <f>IF(OR(G165="",H165=""),"FACILITY DATA MISSING",IF(AND(COUNTIFS($C$2:$C$221,C165,$D$2:$D$221,D165,$G$2:$G$221,"&lt;&gt;")=COUNTIF(OFFICIAL_ALLOCATIONS!$C$2:$C$111,C165),COUNTIFS($C$2:$C$221,C165,$D$2:$D$221,D165,$H$2:$H$221,"&lt;&gt;")=COUNTIF(OFFICIAL_ALLOCATIONS!$C$2:$C$111,C165)),"COMPLETE","SECTOR DATA INCOMPLETE"))</f>
        <v>FACILITY DATA MISSING</v>
      </c>
      <c r="J165" s="31" t="str">
        <f t="shared" si="3"/>
        <v/>
      </c>
      <c r="K165" s="62" t="str">
        <f>IF(COUNTIFS(POLICY_PARAMETERS!$B$2:$B$13,"g",POLICY_PARAMETERS!$E$2:$E$13,C165,POLICY_PARAMETERS!$F$2:$F$13,D165,POLICY_PARAMETERS!$G$2:$G$13,"&lt;&gt;")=0,"",SUMIFS(POLICY_PARAMETERS!$G$2:$G$13,POLICY_PARAMETERS!$B$2:$B$13,"g",POLICY_PARAMETERS!$E$2:$E$13,C165,POLICY_PARAMETERS!$F$2:$F$13,D165))</f>
        <v/>
      </c>
      <c r="L165" s="62" t="str">
        <f>IF(COUNTIFS(POLICY_PARAMETERS!$B$2:$B$13,"r",POLICY_PARAMETERS!$E$2:$E$13,C165,POLICY_PARAMETERS!$F$2:$F$13,D165,POLICY_PARAMETERS!$G$2:$G$13,"&lt;&gt;")=0,"",SUMIFS(POLICY_PARAMETERS!$G$2:$G$13,POLICY_PARAMETERS!$B$2:$B$13,"r",POLICY_PARAMETERS!$E$2:$E$13,C165,POLICY_PARAMETERS!$F$2:$F$13,D165))</f>
        <v/>
      </c>
      <c r="M165" s="61" t="str">
        <f t="shared" si="4"/>
        <v/>
      </c>
      <c r="N165" s="56" t="str">
        <f t="shared" si="5"/>
        <v/>
      </c>
      <c r="O165" s="26">
        <f>IF(D165=2025,IFERROR(VLOOKUP(A165,OFFICIAL_ALLOCATIONS!$A$2:$F$111,5,FALSE),""),IFERROR(VLOOKUP(A165,OFFICIAL_ALLOCATIONS!$A$2:$F$111,6,FALSE),""))</f>
        <v>7499822</v>
      </c>
      <c r="P165" s="42" t="str">
        <f t="shared" si="6"/>
        <v/>
      </c>
      <c r="Q165" s="28" t="str">
        <f t="shared" si="7"/>
        <v/>
      </c>
      <c r="R165" s="5" t="str">
        <f t="shared" si="8"/>
        <v>MISSING HISTORICAL DATA</v>
      </c>
      <c r="S165" s="5" t="s">
        <v>179</v>
      </c>
      <c r="T165" s="5" t="s">
        <v>59</v>
      </c>
    </row>
    <row r="166" ht="15.75" customHeight="1">
      <c r="A166" s="5" t="s">
        <v>1055</v>
      </c>
      <c r="B166" s="5" t="s">
        <v>387</v>
      </c>
      <c r="C166" s="5" t="s">
        <v>123</v>
      </c>
      <c r="D166" s="5">
        <v>2025.0</v>
      </c>
      <c r="E166" s="5">
        <f t="shared" si="1"/>
        <v>2022</v>
      </c>
      <c r="F166" s="8">
        <f t="shared" si="2"/>
        <v>2024</v>
      </c>
      <c r="G166" s="31" t="str">
        <f>IF(COUNTIFS(HISTORICAL_DATA!$A$2:$A$441,$A166,HISTORICAL_DATA!$D$2:$D$441,"&gt;="&amp;$E166,HISTORICAL_DATA!$D$2:$D$441,"&lt;="&amp;$F166,HISTORICAL_DATA!$E$2:$E$441,"&lt;&gt;")&lt;3,"",SUMIFS(HISTORICAL_DATA!$E$2:$E$441,HISTORICAL_DATA!$A$2:$A$441,$A166,HISTORICAL_DATA!$D$2:$D$441,"&gt;="&amp;$E166,HISTORICAL_DATA!$D$2:$D$441,"&lt;="&amp;$F166)/3)</f>
        <v/>
      </c>
      <c r="H166" s="31" t="str">
        <f>IF(COUNTIFS(HISTORICAL_DATA!$A$2:$A$441,$A166,HISTORICAL_DATA!$D$2:$D$441,"&gt;="&amp;$E166,HISTORICAL_DATA!$D$2:$D$441,"&lt;="&amp;$F166,HISTORICAL_DATA!$G$2:$G$441,"&lt;&gt;")&lt;3,"",SUMIFS(HISTORICAL_DATA!$G$2:$G$441,HISTORICAL_DATA!$A$2:$A$441,$A166,HISTORICAL_DATA!$D$2:$D$441,"&gt;="&amp;$E166,HISTORICAL_DATA!$D$2:$D$441,"&lt;="&amp;$F166)/3)</f>
        <v/>
      </c>
      <c r="I166" s="31" t="str">
        <f>IF(OR(G166="",H166=""),"FACILITY DATA MISSING",IF(AND(COUNTIFS($C$2:$C$221,C166,$D$2:$D$221,D166,$G$2:$G$221,"&lt;&gt;")=COUNTIF(OFFICIAL_ALLOCATIONS!$C$2:$C$111,C166),COUNTIFS($C$2:$C$221,C166,$D$2:$D$221,D166,$H$2:$H$221,"&lt;&gt;")=COUNTIF(OFFICIAL_ALLOCATIONS!$C$2:$C$111,C166)),"COMPLETE","SECTOR DATA INCOMPLETE"))</f>
        <v>FACILITY DATA MISSING</v>
      </c>
      <c r="J166" s="31" t="str">
        <f t="shared" si="3"/>
        <v/>
      </c>
      <c r="K166" s="62" t="str">
        <f>IF(COUNTIFS(POLICY_PARAMETERS!$B$2:$B$13,"g",POLICY_PARAMETERS!$E$2:$E$13,C166,POLICY_PARAMETERS!$F$2:$F$13,D166,POLICY_PARAMETERS!$G$2:$G$13,"&lt;&gt;")=0,"",SUMIFS(POLICY_PARAMETERS!$G$2:$G$13,POLICY_PARAMETERS!$B$2:$B$13,"g",POLICY_PARAMETERS!$E$2:$E$13,C166,POLICY_PARAMETERS!$F$2:$F$13,D166))</f>
        <v/>
      </c>
      <c r="L166" s="62" t="str">
        <f>IF(COUNTIFS(POLICY_PARAMETERS!$B$2:$B$13,"r",POLICY_PARAMETERS!$E$2:$E$13,C166,POLICY_PARAMETERS!$F$2:$F$13,D166,POLICY_PARAMETERS!$G$2:$G$13,"&lt;&gt;")=0,"",SUMIFS(POLICY_PARAMETERS!$G$2:$G$13,POLICY_PARAMETERS!$B$2:$B$13,"r",POLICY_PARAMETERS!$E$2:$E$13,C166,POLICY_PARAMETERS!$F$2:$F$13,D166))</f>
        <v/>
      </c>
      <c r="M166" s="61" t="str">
        <f t="shared" si="4"/>
        <v/>
      </c>
      <c r="N166" s="56" t="str">
        <f t="shared" si="5"/>
        <v/>
      </c>
      <c r="O166" s="26">
        <f>IF(D166=2025,IFERROR(VLOOKUP(A166,OFFICIAL_ALLOCATIONS!$A$2:$F$111,5,FALSE),""),IFERROR(VLOOKUP(A166,OFFICIAL_ALLOCATIONS!$A$2:$F$111,6,FALSE),""))</f>
        <v>822644</v>
      </c>
      <c r="P166" s="42" t="str">
        <f t="shared" si="6"/>
        <v/>
      </c>
      <c r="Q166" s="28" t="str">
        <f t="shared" si="7"/>
        <v/>
      </c>
      <c r="R166" s="5" t="str">
        <f t="shared" si="8"/>
        <v>MISSING HISTORICAL DATA</v>
      </c>
      <c r="S166" s="5" t="s">
        <v>179</v>
      </c>
      <c r="T166" s="5" t="s">
        <v>59</v>
      </c>
    </row>
    <row r="167" ht="15.75" customHeight="1">
      <c r="A167" s="5" t="s">
        <v>1055</v>
      </c>
      <c r="B167" s="5" t="s">
        <v>387</v>
      </c>
      <c r="C167" s="5" t="s">
        <v>123</v>
      </c>
      <c r="D167" s="5">
        <v>2026.0</v>
      </c>
      <c r="E167" s="5">
        <f t="shared" si="1"/>
        <v>2023</v>
      </c>
      <c r="F167" s="8">
        <f t="shared" si="2"/>
        <v>2025</v>
      </c>
      <c r="G167" s="31" t="str">
        <f>IF(COUNTIFS(HISTORICAL_DATA!$A$2:$A$441,$A167,HISTORICAL_DATA!$D$2:$D$441,"&gt;="&amp;$E167,HISTORICAL_DATA!$D$2:$D$441,"&lt;="&amp;$F167,HISTORICAL_DATA!$E$2:$E$441,"&lt;&gt;")&lt;3,"",SUMIFS(HISTORICAL_DATA!$E$2:$E$441,HISTORICAL_DATA!$A$2:$A$441,$A167,HISTORICAL_DATA!$D$2:$D$441,"&gt;="&amp;$E167,HISTORICAL_DATA!$D$2:$D$441,"&lt;="&amp;$F167)/3)</f>
        <v/>
      </c>
      <c r="H167" s="31" t="str">
        <f>IF(COUNTIFS(HISTORICAL_DATA!$A$2:$A$441,$A167,HISTORICAL_DATA!$D$2:$D$441,"&gt;="&amp;$E167,HISTORICAL_DATA!$D$2:$D$441,"&lt;="&amp;$F167,HISTORICAL_DATA!$G$2:$G$441,"&lt;&gt;")&lt;3,"",SUMIFS(HISTORICAL_DATA!$G$2:$G$441,HISTORICAL_DATA!$A$2:$A$441,$A167,HISTORICAL_DATA!$D$2:$D$441,"&gt;="&amp;$E167,HISTORICAL_DATA!$D$2:$D$441,"&lt;="&amp;$F167)/3)</f>
        <v/>
      </c>
      <c r="I167" s="31" t="str">
        <f>IF(OR(G167="",H167=""),"FACILITY DATA MISSING",IF(AND(COUNTIFS($C$2:$C$221,C167,$D$2:$D$221,D167,$G$2:$G$221,"&lt;&gt;")=COUNTIF(OFFICIAL_ALLOCATIONS!$C$2:$C$111,C167),COUNTIFS($C$2:$C$221,C167,$D$2:$D$221,D167,$H$2:$H$221,"&lt;&gt;")=COUNTIF(OFFICIAL_ALLOCATIONS!$C$2:$C$111,C167)),"COMPLETE","SECTOR DATA INCOMPLETE"))</f>
        <v>FACILITY DATA MISSING</v>
      </c>
      <c r="J167" s="31" t="str">
        <f t="shared" si="3"/>
        <v/>
      </c>
      <c r="K167" s="62" t="str">
        <f>IF(COUNTIFS(POLICY_PARAMETERS!$B$2:$B$13,"g",POLICY_PARAMETERS!$E$2:$E$13,C167,POLICY_PARAMETERS!$F$2:$F$13,D167,POLICY_PARAMETERS!$G$2:$G$13,"&lt;&gt;")=0,"",SUMIFS(POLICY_PARAMETERS!$G$2:$G$13,POLICY_PARAMETERS!$B$2:$B$13,"g",POLICY_PARAMETERS!$E$2:$E$13,C167,POLICY_PARAMETERS!$F$2:$F$13,D167))</f>
        <v/>
      </c>
      <c r="L167" s="62" t="str">
        <f>IF(COUNTIFS(POLICY_PARAMETERS!$B$2:$B$13,"r",POLICY_PARAMETERS!$E$2:$E$13,C167,POLICY_PARAMETERS!$F$2:$F$13,D167,POLICY_PARAMETERS!$G$2:$G$13,"&lt;&gt;")=0,"",SUMIFS(POLICY_PARAMETERS!$G$2:$G$13,POLICY_PARAMETERS!$B$2:$B$13,"r",POLICY_PARAMETERS!$E$2:$E$13,C167,POLICY_PARAMETERS!$F$2:$F$13,D167))</f>
        <v/>
      </c>
      <c r="M167" s="61" t="str">
        <f t="shared" si="4"/>
        <v/>
      </c>
      <c r="N167" s="56" t="str">
        <f t="shared" si="5"/>
        <v/>
      </c>
      <c r="O167" s="26">
        <f>IF(D167=2025,IFERROR(VLOOKUP(A167,OFFICIAL_ALLOCATIONS!$A$2:$F$111,5,FALSE),""),IFERROR(VLOOKUP(A167,OFFICIAL_ALLOCATIONS!$A$2:$F$111,6,FALSE),""))</f>
        <v>900177</v>
      </c>
      <c r="P167" s="42" t="str">
        <f t="shared" si="6"/>
        <v/>
      </c>
      <c r="Q167" s="28" t="str">
        <f t="shared" si="7"/>
        <v/>
      </c>
      <c r="R167" s="5" t="str">
        <f t="shared" si="8"/>
        <v>MISSING HISTORICAL DATA</v>
      </c>
      <c r="S167" s="5" t="s">
        <v>179</v>
      </c>
      <c r="T167" s="5" t="s">
        <v>59</v>
      </c>
    </row>
    <row r="168" ht="15.75" customHeight="1">
      <c r="A168" s="5" t="s">
        <v>1056</v>
      </c>
      <c r="B168" s="5" t="s">
        <v>389</v>
      </c>
      <c r="C168" s="5" t="s">
        <v>123</v>
      </c>
      <c r="D168" s="5">
        <v>2025.0</v>
      </c>
      <c r="E168" s="5">
        <f t="shared" si="1"/>
        <v>2022</v>
      </c>
      <c r="F168" s="8">
        <f t="shared" si="2"/>
        <v>2024</v>
      </c>
      <c r="G168" s="31" t="str">
        <f>IF(COUNTIFS(HISTORICAL_DATA!$A$2:$A$441,$A168,HISTORICAL_DATA!$D$2:$D$441,"&gt;="&amp;$E168,HISTORICAL_DATA!$D$2:$D$441,"&lt;="&amp;$F168,HISTORICAL_DATA!$E$2:$E$441,"&lt;&gt;")&lt;3,"",SUMIFS(HISTORICAL_DATA!$E$2:$E$441,HISTORICAL_DATA!$A$2:$A$441,$A168,HISTORICAL_DATA!$D$2:$D$441,"&gt;="&amp;$E168,HISTORICAL_DATA!$D$2:$D$441,"&lt;="&amp;$F168)/3)</f>
        <v/>
      </c>
      <c r="H168" s="31" t="str">
        <f>IF(COUNTIFS(HISTORICAL_DATA!$A$2:$A$441,$A168,HISTORICAL_DATA!$D$2:$D$441,"&gt;="&amp;$E168,HISTORICAL_DATA!$D$2:$D$441,"&lt;="&amp;$F168,HISTORICAL_DATA!$G$2:$G$441,"&lt;&gt;")&lt;3,"",SUMIFS(HISTORICAL_DATA!$G$2:$G$441,HISTORICAL_DATA!$A$2:$A$441,$A168,HISTORICAL_DATA!$D$2:$D$441,"&gt;="&amp;$E168,HISTORICAL_DATA!$D$2:$D$441,"&lt;="&amp;$F168)/3)</f>
        <v/>
      </c>
      <c r="I168" s="31" t="str">
        <f>IF(OR(G168="",H168=""),"FACILITY DATA MISSING",IF(AND(COUNTIFS($C$2:$C$221,C168,$D$2:$D$221,D168,$G$2:$G$221,"&lt;&gt;")=COUNTIF(OFFICIAL_ALLOCATIONS!$C$2:$C$111,C168),COUNTIFS($C$2:$C$221,C168,$D$2:$D$221,D168,$H$2:$H$221,"&lt;&gt;")=COUNTIF(OFFICIAL_ALLOCATIONS!$C$2:$C$111,C168)),"COMPLETE","SECTOR DATA INCOMPLETE"))</f>
        <v>FACILITY DATA MISSING</v>
      </c>
      <c r="J168" s="31" t="str">
        <f t="shared" si="3"/>
        <v/>
      </c>
      <c r="K168" s="62" t="str">
        <f>IF(COUNTIFS(POLICY_PARAMETERS!$B$2:$B$13,"g",POLICY_PARAMETERS!$E$2:$E$13,C168,POLICY_PARAMETERS!$F$2:$F$13,D168,POLICY_PARAMETERS!$G$2:$G$13,"&lt;&gt;")=0,"",SUMIFS(POLICY_PARAMETERS!$G$2:$G$13,POLICY_PARAMETERS!$B$2:$B$13,"g",POLICY_PARAMETERS!$E$2:$E$13,C168,POLICY_PARAMETERS!$F$2:$F$13,D168))</f>
        <v/>
      </c>
      <c r="L168" s="62" t="str">
        <f>IF(COUNTIFS(POLICY_PARAMETERS!$B$2:$B$13,"r",POLICY_PARAMETERS!$E$2:$E$13,C168,POLICY_PARAMETERS!$F$2:$F$13,D168,POLICY_PARAMETERS!$G$2:$G$13,"&lt;&gt;")=0,"",SUMIFS(POLICY_PARAMETERS!$G$2:$G$13,POLICY_PARAMETERS!$B$2:$B$13,"r",POLICY_PARAMETERS!$E$2:$E$13,C168,POLICY_PARAMETERS!$F$2:$F$13,D168))</f>
        <v/>
      </c>
      <c r="M168" s="61" t="str">
        <f t="shared" si="4"/>
        <v/>
      </c>
      <c r="N168" s="56" t="str">
        <f t="shared" si="5"/>
        <v/>
      </c>
      <c r="O168" s="26">
        <f>IF(D168=2025,IFERROR(VLOOKUP(A168,OFFICIAL_ALLOCATIONS!$A$2:$F$111,5,FALSE),""),IFERROR(VLOOKUP(A168,OFFICIAL_ALLOCATIONS!$A$2:$F$111,6,FALSE),""))</f>
        <v>5297794</v>
      </c>
      <c r="P168" s="42" t="str">
        <f t="shared" si="6"/>
        <v/>
      </c>
      <c r="Q168" s="28" t="str">
        <f t="shared" si="7"/>
        <v/>
      </c>
      <c r="R168" s="5" t="str">
        <f t="shared" si="8"/>
        <v>MISSING HISTORICAL DATA</v>
      </c>
      <c r="S168" s="5" t="s">
        <v>179</v>
      </c>
      <c r="T168" s="5" t="s">
        <v>59</v>
      </c>
    </row>
    <row r="169" ht="15.75" customHeight="1">
      <c r="A169" s="5" t="s">
        <v>1056</v>
      </c>
      <c r="B169" s="5" t="s">
        <v>389</v>
      </c>
      <c r="C169" s="5" t="s">
        <v>123</v>
      </c>
      <c r="D169" s="5">
        <v>2026.0</v>
      </c>
      <c r="E169" s="5">
        <f t="shared" si="1"/>
        <v>2023</v>
      </c>
      <c r="F169" s="8">
        <f t="shared" si="2"/>
        <v>2025</v>
      </c>
      <c r="G169" s="31" t="str">
        <f>IF(COUNTIFS(HISTORICAL_DATA!$A$2:$A$441,$A169,HISTORICAL_DATA!$D$2:$D$441,"&gt;="&amp;$E169,HISTORICAL_DATA!$D$2:$D$441,"&lt;="&amp;$F169,HISTORICAL_DATA!$E$2:$E$441,"&lt;&gt;")&lt;3,"",SUMIFS(HISTORICAL_DATA!$E$2:$E$441,HISTORICAL_DATA!$A$2:$A$441,$A169,HISTORICAL_DATA!$D$2:$D$441,"&gt;="&amp;$E169,HISTORICAL_DATA!$D$2:$D$441,"&lt;="&amp;$F169)/3)</f>
        <v/>
      </c>
      <c r="H169" s="31" t="str">
        <f>IF(COUNTIFS(HISTORICAL_DATA!$A$2:$A$441,$A169,HISTORICAL_DATA!$D$2:$D$441,"&gt;="&amp;$E169,HISTORICAL_DATA!$D$2:$D$441,"&lt;="&amp;$F169,HISTORICAL_DATA!$G$2:$G$441,"&lt;&gt;")&lt;3,"",SUMIFS(HISTORICAL_DATA!$G$2:$G$441,HISTORICAL_DATA!$A$2:$A$441,$A169,HISTORICAL_DATA!$D$2:$D$441,"&gt;="&amp;$E169,HISTORICAL_DATA!$D$2:$D$441,"&lt;="&amp;$F169)/3)</f>
        <v/>
      </c>
      <c r="I169" s="31" t="str">
        <f>IF(OR(G169="",H169=""),"FACILITY DATA MISSING",IF(AND(COUNTIFS($C$2:$C$221,C169,$D$2:$D$221,D169,$G$2:$G$221,"&lt;&gt;")=COUNTIF(OFFICIAL_ALLOCATIONS!$C$2:$C$111,C169),COUNTIFS($C$2:$C$221,C169,$D$2:$D$221,D169,$H$2:$H$221,"&lt;&gt;")=COUNTIF(OFFICIAL_ALLOCATIONS!$C$2:$C$111,C169)),"COMPLETE","SECTOR DATA INCOMPLETE"))</f>
        <v>FACILITY DATA MISSING</v>
      </c>
      <c r="J169" s="31" t="str">
        <f t="shared" si="3"/>
        <v/>
      </c>
      <c r="K169" s="62" t="str">
        <f>IF(COUNTIFS(POLICY_PARAMETERS!$B$2:$B$13,"g",POLICY_PARAMETERS!$E$2:$E$13,C169,POLICY_PARAMETERS!$F$2:$F$13,D169,POLICY_PARAMETERS!$G$2:$G$13,"&lt;&gt;")=0,"",SUMIFS(POLICY_PARAMETERS!$G$2:$G$13,POLICY_PARAMETERS!$B$2:$B$13,"g",POLICY_PARAMETERS!$E$2:$E$13,C169,POLICY_PARAMETERS!$F$2:$F$13,D169))</f>
        <v/>
      </c>
      <c r="L169" s="62" t="str">
        <f>IF(COUNTIFS(POLICY_PARAMETERS!$B$2:$B$13,"r",POLICY_PARAMETERS!$E$2:$E$13,C169,POLICY_PARAMETERS!$F$2:$F$13,D169,POLICY_PARAMETERS!$G$2:$G$13,"&lt;&gt;")=0,"",SUMIFS(POLICY_PARAMETERS!$G$2:$G$13,POLICY_PARAMETERS!$B$2:$B$13,"r",POLICY_PARAMETERS!$E$2:$E$13,C169,POLICY_PARAMETERS!$F$2:$F$13,D169))</f>
        <v/>
      </c>
      <c r="M169" s="61" t="str">
        <f t="shared" si="4"/>
        <v/>
      </c>
      <c r="N169" s="56" t="str">
        <f t="shared" si="5"/>
        <v/>
      </c>
      <c r="O169" s="26">
        <f>IF(D169=2025,IFERROR(VLOOKUP(A169,OFFICIAL_ALLOCATIONS!$A$2:$F$111,5,FALSE),""),IFERROR(VLOOKUP(A169,OFFICIAL_ALLOCATIONS!$A$2:$F$111,6,FALSE),""))</f>
        <v>5797101</v>
      </c>
      <c r="P169" s="42" t="str">
        <f t="shared" si="6"/>
        <v/>
      </c>
      <c r="Q169" s="28" t="str">
        <f t="shared" si="7"/>
        <v/>
      </c>
      <c r="R169" s="5" t="str">
        <f t="shared" si="8"/>
        <v>MISSING HISTORICAL DATA</v>
      </c>
      <c r="S169" s="5" t="s">
        <v>179</v>
      </c>
      <c r="T169" s="5" t="s">
        <v>59</v>
      </c>
    </row>
    <row r="170" ht="15.75" customHeight="1">
      <c r="A170" s="5" t="s">
        <v>1057</v>
      </c>
      <c r="B170" s="5" t="s">
        <v>391</v>
      </c>
      <c r="C170" s="5" t="s">
        <v>123</v>
      </c>
      <c r="D170" s="5">
        <v>2025.0</v>
      </c>
      <c r="E170" s="5">
        <f t="shared" si="1"/>
        <v>2022</v>
      </c>
      <c r="F170" s="8">
        <f t="shared" si="2"/>
        <v>2024</v>
      </c>
      <c r="G170" s="31" t="str">
        <f>IF(COUNTIFS(HISTORICAL_DATA!$A$2:$A$441,$A170,HISTORICAL_DATA!$D$2:$D$441,"&gt;="&amp;$E170,HISTORICAL_DATA!$D$2:$D$441,"&lt;="&amp;$F170,HISTORICAL_DATA!$E$2:$E$441,"&lt;&gt;")&lt;3,"",SUMIFS(HISTORICAL_DATA!$E$2:$E$441,HISTORICAL_DATA!$A$2:$A$441,$A170,HISTORICAL_DATA!$D$2:$D$441,"&gt;="&amp;$E170,HISTORICAL_DATA!$D$2:$D$441,"&lt;="&amp;$F170)/3)</f>
        <v/>
      </c>
      <c r="H170" s="31" t="str">
        <f>IF(COUNTIFS(HISTORICAL_DATA!$A$2:$A$441,$A170,HISTORICAL_DATA!$D$2:$D$441,"&gt;="&amp;$E170,HISTORICAL_DATA!$D$2:$D$441,"&lt;="&amp;$F170,HISTORICAL_DATA!$G$2:$G$441,"&lt;&gt;")&lt;3,"",SUMIFS(HISTORICAL_DATA!$G$2:$G$441,HISTORICAL_DATA!$A$2:$A$441,$A170,HISTORICAL_DATA!$D$2:$D$441,"&gt;="&amp;$E170,HISTORICAL_DATA!$D$2:$D$441,"&lt;="&amp;$F170)/3)</f>
        <v/>
      </c>
      <c r="I170" s="31" t="str">
        <f>IF(OR(G170="",H170=""),"FACILITY DATA MISSING",IF(AND(COUNTIFS($C$2:$C$221,C170,$D$2:$D$221,D170,$G$2:$G$221,"&lt;&gt;")=COUNTIF(OFFICIAL_ALLOCATIONS!$C$2:$C$111,C170),COUNTIFS($C$2:$C$221,C170,$D$2:$D$221,D170,$H$2:$H$221,"&lt;&gt;")=COUNTIF(OFFICIAL_ALLOCATIONS!$C$2:$C$111,C170)),"COMPLETE","SECTOR DATA INCOMPLETE"))</f>
        <v>FACILITY DATA MISSING</v>
      </c>
      <c r="J170" s="31" t="str">
        <f t="shared" si="3"/>
        <v/>
      </c>
      <c r="K170" s="62" t="str">
        <f>IF(COUNTIFS(POLICY_PARAMETERS!$B$2:$B$13,"g",POLICY_PARAMETERS!$E$2:$E$13,C170,POLICY_PARAMETERS!$F$2:$F$13,D170,POLICY_PARAMETERS!$G$2:$G$13,"&lt;&gt;")=0,"",SUMIFS(POLICY_PARAMETERS!$G$2:$G$13,POLICY_PARAMETERS!$B$2:$B$13,"g",POLICY_PARAMETERS!$E$2:$E$13,C170,POLICY_PARAMETERS!$F$2:$F$13,D170))</f>
        <v/>
      </c>
      <c r="L170" s="62" t="str">
        <f>IF(COUNTIFS(POLICY_PARAMETERS!$B$2:$B$13,"r",POLICY_PARAMETERS!$E$2:$E$13,C170,POLICY_PARAMETERS!$F$2:$F$13,D170,POLICY_PARAMETERS!$G$2:$G$13,"&lt;&gt;")=0,"",SUMIFS(POLICY_PARAMETERS!$G$2:$G$13,POLICY_PARAMETERS!$B$2:$B$13,"r",POLICY_PARAMETERS!$E$2:$E$13,C170,POLICY_PARAMETERS!$F$2:$F$13,D170))</f>
        <v/>
      </c>
      <c r="M170" s="61" t="str">
        <f t="shared" si="4"/>
        <v/>
      </c>
      <c r="N170" s="56" t="str">
        <f t="shared" si="5"/>
        <v/>
      </c>
      <c r="O170" s="26">
        <f>IF(D170=2025,IFERROR(VLOOKUP(A170,OFFICIAL_ALLOCATIONS!$A$2:$F$111,5,FALSE),""),IFERROR(VLOOKUP(A170,OFFICIAL_ALLOCATIONS!$A$2:$F$111,6,FALSE),""))</f>
        <v>714977</v>
      </c>
      <c r="P170" s="42" t="str">
        <f t="shared" si="6"/>
        <v/>
      </c>
      <c r="Q170" s="28" t="str">
        <f t="shared" si="7"/>
        <v/>
      </c>
      <c r="R170" s="5" t="str">
        <f t="shared" si="8"/>
        <v>MISSING HISTORICAL DATA</v>
      </c>
      <c r="S170" s="5" t="s">
        <v>179</v>
      </c>
      <c r="T170" s="5" t="s">
        <v>59</v>
      </c>
    </row>
    <row r="171" ht="15.75" customHeight="1">
      <c r="A171" s="5" t="s">
        <v>1057</v>
      </c>
      <c r="B171" s="5" t="s">
        <v>391</v>
      </c>
      <c r="C171" s="5" t="s">
        <v>123</v>
      </c>
      <c r="D171" s="5">
        <v>2026.0</v>
      </c>
      <c r="E171" s="5">
        <f t="shared" si="1"/>
        <v>2023</v>
      </c>
      <c r="F171" s="8">
        <f t="shared" si="2"/>
        <v>2025</v>
      </c>
      <c r="G171" s="31" t="str">
        <f>IF(COUNTIFS(HISTORICAL_DATA!$A$2:$A$441,$A171,HISTORICAL_DATA!$D$2:$D$441,"&gt;="&amp;$E171,HISTORICAL_DATA!$D$2:$D$441,"&lt;="&amp;$F171,HISTORICAL_DATA!$E$2:$E$441,"&lt;&gt;")&lt;3,"",SUMIFS(HISTORICAL_DATA!$E$2:$E$441,HISTORICAL_DATA!$A$2:$A$441,$A171,HISTORICAL_DATA!$D$2:$D$441,"&gt;="&amp;$E171,HISTORICAL_DATA!$D$2:$D$441,"&lt;="&amp;$F171)/3)</f>
        <v/>
      </c>
      <c r="H171" s="31" t="str">
        <f>IF(COUNTIFS(HISTORICAL_DATA!$A$2:$A$441,$A171,HISTORICAL_DATA!$D$2:$D$441,"&gt;="&amp;$E171,HISTORICAL_DATA!$D$2:$D$441,"&lt;="&amp;$F171,HISTORICAL_DATA!$G$2:$G$441,"&lt;&gt;")&lt;3,"",SUMIFS(HISTORICAL_DATA!$G$2:$G$441,HISTORICAL_DATA!$A$2:$A$441,$A171,HISTORICAL_DATA!$D$2:$D$441,"&gt;="&amp;$E171,HISTORICAL_DATA!$D$2:$D$441,"&lt;="&amp;$F171)/3)</f>
        <v/>
      </c>
      <c r="I171" s="31" t="str">
        <f>IF(OR(G171="",H171=""),"FACILITY DATA MISSING",IF(AND(COUNTIFS($C$2:$C$221,C171,$D$2:$D$221,D171,$G$2:$G$221,"&lt;&gt;")=COUNTIF(OFFICIAL_ALLOCATIONS!$C$2:$C$111,C171),COUNTIFS($C$2:$C$221,C171,$D$2:$D$221,D171,$H$2:$H$221,"&lt;&gt;")=COUNTIF(OFFICIAL_ALLOCATIONS!$C$2:$C$111,C171)),"COMPLETE","SECTOR DATA INCOMPLETE"))</f>
        <v>FACILITY DATA MISSING</v>
      </c>
      <c r="J171" s="31" t="str">
        <f t="shared" si="3"/>
        <v/>
      </c>
      <c r="K171" s="62" t="str">
        <f>IF(COUNTIFS(POLICY_PARAMETERS!$B$2:$B$13,"g",POLICY_PARAMETERS!$E$2:$E$13,C171,POLICY_PARAMETERS!$F$2:$F$13,D171,POLICY_PARAMETERS!$G$2:$G$13,"&lt;&gt;")=0,"",SUMIFS(POLICY_PARAMETERS!$G$2:$G$13,POLICY_PARAMETERS!$B$2:$B$13,"g",POLICY_PARAMETERS!$E$2:$E$13,C171,POLICY_PARAMETERS!$F$2:$F$13,D171))</f>
        <v/>
      </c>
      <c r="L171" s="62" t="str">
        <f>IF(COUNTIFS(POLICY_PARAMETERS!$B$2:$B$13,"r",POLICY_PARAMETERS!$E$2:$E$13,C171,POLICY_PARAMETERS!$F$2:$F$13,D171,POLICY_PARAMETERS!$G$2:$G$13,"&lt;&gt;")=0,"",SUMIFS(POLICY_PARAMETERS!$G$2:$G$13,POLICY_PARAMETERS!$B$2:$B$13,"r",POLICY_PARAMETERS!$E$2:$E$13,C171,POLICY_PARAMETERS!$F$2:$F$13,D171))</f>
        <v/>
      </c>
      <c r="M171" s="61" t="str">
        <f t="shared" si="4"/>
        <v/>
      </c>
      <c r="N171" s="56" t="str">
        <f t="shared" si="5"/>
        <v/>
      </c>
      <c r="O171" s="26">
        <f>IF(D171=2025,IFERROR(VLOOKUP(A171,OFFICIAL_ALLOCATIONS!$A$2:$F$111,5,FALSE),""),IFERROR(VLOOKUP(A171,OFFICIAL_ALLOCATIONS!$A$2:$F$111,6,FALSE),""))</f>
        <v>782362</v>
      </c>
      <c r="P171" s="42" t="str">
        <f t="shared" si="6"/>
        <v/>
      </c>
      <c r="Q171" s="28" t="str">
        <f t="shared" si="7"/>
        <v/>
      </c>
      <c r="R171" s="5" t="str">
        <f t="shared" si="8"/>
        <v>MISSING HISTORICAL DATA</v>
      </c>
      <c r="S171" s="5" t="s">
        <v>179</v>
      </c>
      <c r="T171" s="5" t="s">
        <v>59</v>
      </c>
    </row>
    <row r="172" ht="15.75" customHeight="1">
      <c r="A172" s="5" t="s">
        <v>1058</v>
      </c>
      <c r="B172" s="5" t="s">
        <v>392</v>
      </c>
      <c r="C172" s="5" t="s">
        <v>123</v>
      </c>
      <c r="D172" s="5">
        <v>2025.0</v>
      </c>
      <c r="E172" s="5">
        <f t="shared" si="1"/>
        <v>2022</v>
      </c>
      <c r="F172" s="8">
        <f t="shared" si="2"/>
        <v>2024</v>
      </c>
      <c r="G172" s="31" t="str">
        <f>IF(COUNTIFS(HISTORICAL_DATA!$A$2:$A$441,$A172,HISTORICAL_DATA!$D$2:$D$441,"&gt;="&amp;$E172,HISTORICAL_DATA!$D$2:$D$441,"&lt;="&amp;$F172,HISTORICAL_DATA!$E$2:$E$441,"&lt;&gt;")&lt;3,"",SUMIFS(HISTORICAL_DATA!$E$2:$E$441,HISTORICAL_DATA!$A$2:$A$441,$A172,HISTORICAL_DATA!$D$2:$D$441,"&gt;="&amp;$E172,HISTORICAL_DATA!$D$2:$D$441,"&lt;="&amp;$F172)/3)</f>
        <v/>
      </c>
      <c r="H172" s="31" t="str">
        <f>IF(COUNTIFS(HISTORICAL_DATA!$A$2:$A$441,$A172,HISTORICAL_DATA!$D$2:$D$441,"&gt;="&amp;$E172,HISTORICAL_DATA!$D$2:$D$441,"&lt;="&amp;$F172,HISTORICAL_DATA!$G$2:$G$441,"&lt;&gt;")&lt;3,"",SUMIFS(HISTORICAL_DATA!$G$2:$G$441,HISTORICAL_DATA!$A$2:$A$441,$A172,HISTORICAL_DATA!$D$2:$D$441,"&gt;="&amp;$E172,HISTORICAL_DATA!$D$2:$D$441,"&lt;="&amp;$F172)/3)</f>
        <v/>
      </c>
      <c r="I172" s="31" t="str">
        <f>IF(OR(G172="",H172=""),"FACILITY DATA MISSING",IF(AND(COUNTIFS($C$2:$C$221,C172,$D$2:$D$221,D172,$G$2:$G$221,"&lt;&gt;")=COUNTIF(OFFICIAL_ALLOCATIONS!$C$2:$C$111,C172),COUNTIFS($C$2:$C$221,C172,$D$2:$D$221,D172,$H$2:$H$221,"&lt;&gt;")=COUNTIF(OFFICIAL_ALLOCATIONS!$C$2:$C$111,C172)),"COMPLETE","SECTOR DATA INCOMPLETE"))</f>
        <v>FACILITY DATA MISSING</v>
      </c>
      <c r="J172" s="31" t="str">
        <f t="shared" si="3"/>
        <v/>
      </c>
      <c r="K172" s="62" t="str">
        <f>IF(COUNTIFS(POLICY_PARAMETERS!$B$2:$B$13,"g",POLICY_PARAMETERS!$E$2:$E$13,C172,POLICY_PARAMETERS!$F$2:$F$13,D172,POLICY_PARAMETERS!$G$2:$G$13,"&lt;&gt;")=0,"",SUMIFS(POLICY_PARAMETERS!$G$2:$G$13,POLICY_PARAMETERS!$B$2:$B$13,"g",POLICY_PARAMETERS!$E$2:$E$13,C172,POLICY_PARAMETERS!$F$2:$F$13,D172))</f>
        <v/>
      </c>
      <c r="L172" s="62" t="str">
        <f>IF(COUNTIFS(POLICY_PARAMETERS!$B$2:$B$13,"r",POLICY_PARAMETERS!$E$2:$E$13,C172,POLICY_PARAMETERS!$F$2:$F$13,D172,POLICY_PARAMETERS!$G$2:$G$13,"&lt;&gt;")=0,"",SUMIFS(POLICY_PARAMETERS!$G$2:$G$13,POLICY_PARAMETERS!$B$2:$B$13,"r",POLICY_PARAMETERS!$E$2:$E$13,C172,POLICY_PARAMETERS!$F$2:$F$13,D172))</f>
        <v/>
      </c>
      <c r="M172" s="61" t="str">
        <f t="shared" si="4"/>
        <v/>
      </c>
      <c r="N172" s="56" t="str">
        <f t="shared" si="5"/>
        <v/>
      </c>
      <c r="O172" s="26">
        <f>IF(D172=2025,IFERROR(VLOOKUP(A172,OFFICIAL_ALLOCATIONS!$A$2:$F$111,5,FALSE),""),IFERROR(VLOOKUP(A172,OFFICIAL_ALLOCATIONS!$A$2:$F$111,6,FALSE),""))</f>
        <v>2701207</v>
      </c>
      <c r="P172" s="42" t="str">
        <f t="shared" si="6"/>
        <v/>
      </c>
      <c r="Q172" s="28" t="str">
        <f t="shared" si="7"/>
        <v/>
      </c>
      <c r="R172" s="5" t="str">
        <f t="shared" si="8"/>
        <v>MISSING HISTORICAL DATA</v>
      </c>
      <c r="S172" s="5" t="s">
        <v>179</v>
      </c>
      <c r="T172" s="5" t="s">
        <v>59</v>
      </c>
    </row>
    <row r="173" ht="15.75" customHeight="1">
      <c r="A173" s="5" t="s">
        <v>1058</v>
      </c>
      <c r="B173" s="5" t="s">
        <v>392</v>
      </c>
      <c r="C173" s="5" t="s">
        <v>123</v>
      </c>
      <c r="D173" s="5">
        <v>2026.0</v>
      </c>
      <c r="E173" s="5">
        <f t="shared" si="1"/>
        <v>2023</v>
      </c>
      <c r="F173" s="8">
        <f t="shared" si="2"/>
        <v>2025</v>
      </c>
      <c r="G173" s="31" t="str">
        <f>IF(COUNTIFS(HISTORICAL_DATA!$A$2:$A$441,$A173,HISTORICAL_DATA!$D$2:$D$441,"&gt;="&amp;$E173,HISTORICAL_DATA!$D$2:$D$441,"&lt;="&amp;$F173,HISTORICAL_DATA!$E$2:$E$441,"&lt;&gt;")&lt;3,"",SUMIFS(HISTORICAL_DATA!$E$2:$E$441,HISTORICAL_DATA!$A$2:$A$441,$A173,HISTORICAL_DATA!$D$2:$D$441,"&gt;="&amp;$E173,HISTORICAL_DATA!$D$2:$D$441,"&lt;="&amp;$F173)/3)</f>
        <v/>
      </c>
      <c r="H173" s="31" t="str">
        <f>IF(COUNTIFS(HISTORICAL_DATA!$A$2:$A$441,$A173,HISTORICAL_DATA!$D$2:$D$441,"&gt;="&amp;$E173,HISTORICAL_DATA!$D$2:$D$441,"&lt;="&amp;$F173,HISTORICAL_DATA!$G$2:$G$441,"&lt;&gt;")&lt;3,"",SUMIFS(HISTORICAL_DATA!$G$2:$G$441,HISTORICAL_DATA!$A$2:$A$441,$A173,HISTORICAL_DATA!$D$2:$D$441,"&gt;="&amp;$E173,HISTORICAL_DATA!$D$2:$D$441,"&lt;="&amp;$F173)/3)</f>
        <v/>
      </c>
      <c r="I173" s="31" t="str">
        <f>IF(OR(G173="",H173=""),"FACILITY DATA MISSING",IF(AND(COUNTIFS($C$2:$C$221,C173,$D$2:$D$221,D173,$G$2:$G$221,"&lt;&gt;")=COUNTIF(OFFICIAL_ALLOCATIONS!$C$2:$C$111,C173),COUNTIFS($C$2:$C$221,C173,$D$2:$D$221,D173,$H$2:$H$221,"&lt;&gt;")=COUNTIF(OFFICIAL_ALLOCATIONS!$C$2:$C$111,C173)),"COMPLETE","SECTOR DATA INCOMPLETE"))</f>
        <v>FACILITY DATA MISSING</v>
      </c>
      <c r="J173" s="31" t="str">
        <f t="shared" si="3"/>
        <v/>
      </c>
      <c r="K173" s="62" t="str">
        <f>IF(COUNTIFS(POLICY_PARAMETERS!$B$2:$B$13,"g",POLICY_PARAMETERS!$E$2:$E$13,C173,POLICY_PARAMETERS!$F$2:$F$13,D173,POLICY_PARAMETERS!$G$2:$G$13,"&lt;&gt;")=0,"",SUMIFS(POLICY_PARAMETERS!$G$2:$G$13,POLICY_PARAMETERS!$B$2:$B$13,"g",POLICY_PARAMETERS!$E$2:$E$13,C173,POLICY_PARAMETERS!$F$2:$F$13,D173))</f>
        <v/>
      </c>
      <c r="L173" s="62" t="str">
        <f>IF(COUNTIFS(POLICY_PARAMETERS!$B$2:$B$13,"r",POLICY_PARAMETERS!$E$2:$E$13,C173,POLICY_PARAMETERS!$F$2:$F$13,D173,POLICY_PARAMETERS!$G$2:$G$13,"&lt;&gt;")=0,"",SUMIFS(POLICY_PARAMETERS!$G$2:$G$13,POLICY_PARAMETERS!$B$2:$B$13,"r",POLICY_PARAMETERS!$E$2:$E$13,C173,POLICY_PARAMETERS!$F$2:$F$13,D173))</f>
        <v/>
      </c>
      <c r="M173" s="61" t="str">
        <f t="shared" si="4"/>
        <v/>
      </c>
      <c r="N173" s="56" t="str">
        <f t="shared" si="5"/>
        <v/>
      </c>
      <c r="O173" s="26">
        <f>IF(D173=2025,IFERROR(VLOOKUP(A173,OFFICIAL_ALLOCATIONS!$A$2:$F$111,5,FALSE),""),IFERROR(VLOOKUP(A173,OFFICIAL_ALLOCATIONS!$A$2:$F$111,6,FALSE),""))</f>
        <v>2955791</v>
      </c>
      <c r="P173" s="42" t="str">
        <f t="shared" si="6"/>
        <v/>
      </c>
      <c r="Q173" s="28" t="str">
        <f t="shared" si="7"/>
        <v/>
      </c>
      <c r="R173" s="5" t="str">
        <f t="shared" si="8"/>
        <v>MISSING HISTORICAL DATA</v>
      </c>
      <c r="S173" s="5" t="s">
        <v>179</v>
      </c>
      <c r="T173" s="5" t="s">
        <v>59</v>
      </c>
    </row>
    <row r="174" ht="15.75" customHeight="1">
      <c r="A174" s="5" t="s">
        <v>1059</v>
      </c>
      <c r="B174" s="5" t="s">
        <v>394</v>
      </c>
      <c r="C174" s="5" t="s">
        <v>123</v>
      </c>
      <c r="D174" s="5">
        <v>2025.0</v>
      </c>
      <c r="E174" s="5">
        <f t="shared" si="1"/>
        <v>2022</v>
      </c>
      <c r="F174" s="8">
        <f t="shared" si="2"/>
        <v>2024</v>
      </c>
      <c r="G174" s="31" t="str">
        <f>IF(COUNTIFS(HISTORICAL_DATA!$A$2:$A$441,$A174,HISTORICAL_DATA!$D$2:$D$441,"&gt;="&amp;$E174,HISTORICAL_DATA!$D$2:$D$441,"&lt;="&amp;$F174,HISTORICAL_DATA!$E$2:$E$441,"&lt;&gt;")&lt;3,"",SUMIFS(HISTORICAL_DATA!$E$2:$E$441,HISTORICAL_DATA!$A$2:$A$441,$A174,HISTORICAL_DATA!$D$2:$D$441,"&gt;="&amp;$E174,HISTORICAL_DATA!$D$2:$D$441,"&lt;="&amp;$F174)/3)</f>
        <v/>
      </c>
      <c r="H174" s="31" t="str">
        <f>IF(COUNTIFS(HISTORICAL_DATA!$A$2:$A$441,$A174,HISTORICAL_DATA!$D$2:$D$441,"&gt;="&amp;$E174,HISTORICAL_DATA!$D$2:$D$441,"&lt;="&amp;$F174,HISTORICAL_DATA!$G$2:$G$441,"&lt;&gt;")&lt;3,"",SUMIFS(HISTORICAL_DATA!$G$2:$G$441,HISTORICAL_DATA!$A$2:$A$441,$A174,HISTORICAL_DATA!$D$2:$D$441,"&gt;="&amp;$E174,HISTORICAL_DATA!$D$2:$D$441,"&lt;="&amp;$F174)/3)</f>
        <v/>
      </c>
      <c r="I174" s="31" t="str">
        <f>IF(OR(G174="",H174=""),"FACILITY DATA MISSING",IF(AND(COUNTIFS($C$2:$C$221,C174,$D$2:$D$221,D174,$G$2:$G$221,"&lt;&gt;")=COUNTIF(OFFICIAL_ALLOCATIONS!$C$2:$C$111,C174),COUNTIFS($C$2:$C$221,C174,$D$2:$D$221,D174,$H$2:$H$221,"&lt;&gt;")=COUNTIF(OFFICIAL_ALLOCATIONS!$C$2:$C$111,C174)),"COMPLETE","SECTOR DATA INCOMPLETE"))</f>
        <v>FACILITY DATA MISSING</v>
      </c>
      <c r="J174" s="31" t="str">
        <f t="shared" si="3"/>
        <v/>
      </c>
      <c r="K174" s="62" t="str">
        <f>IF(COUNTIFS(POLICY_PARAMETERS!$B$2:$B$13,"g",POLICY_PARAMETERS!$E$2:$E$13,C174,POLICY_PARAMETERS!$F$2:$F$13,D174,POLICY_PARAMETERS!$G$2:$G$13,"&lt;&gt;")=0,"",SUMIFS(POLICY_PARAMETERS!$G$2:$G$13,POLICY_PARAMETERS!$B$2:$B$13,"g",POLICY_PARAMETERS!$E$2:$E$13,C174,POLICY_PARAMETERS!$F$2:$F$13,D174))</f>
        <v/>
      </c>
      <c r="L174" s="62" t="str">
        <f>IF(COUNTIFS(POLICY_PARAMETERS!$B$2:$B$13,"r",POLICY_PARAMETERS!$E$2:$E$13,C174,POLICY_PARAMETERS!$F$2:$F$13,D174,POLICY_PARAMETERS!$G$2:$G$13,"&lt;&gt;")=0,"",SUMIFS(POLICY_PARAMETERS!$G$2:$G$13,POLICY_PARAMETERS!$B$2:$B$13,"r",POLICY_PARAMETERS!$E$2:$E$13,C174,POLICY_PARAMETERS!$F$2:$F$13,D174))</f>
        <v/>
      </c>
      <c r="M174" s="61" t="str">
        <f t="shared" si="4"/>
        <v/>
      </c>
      <c r="N174" s="56" t="str">
        <f t="shared" si="5"/>
        <v/>
      </c>
      <c r="O174" s="26">
        <f>IF(D174=2025,IFERROR(VLOOKUP(A174,OFFICIAL_ALLOCATIONS!$A$2:$F$111,5,FALSE),""),IFERROR(VLOOKUP(A174,OFFICIAL_ALLOCATIONS!$A$2:$F$111,6,FALSE),""))</f>
        <v>357054</v>
      </c>
      <c r="P174" s="42" t="str">
        <f t="shared" si="6"/>
        <v/>
      </c>
      <c r="Q174" s="28" t="str">
        <f t="shared" si="7"/>
        <v/>
      </c>
      <c r="R174" s="5" t="str">
        <f t="shared" si="8"/>
        <v>MISSING HISTORICAL DATA</v>
      </c>
      <c r="S174" s="5" t="s">
        <v>179</v>
      </c>
      <c r="T174" s="5" t="s">
        <v>59</v>
      </c>
    </row>
    <row r="175" ht="15.75" customHeight="1">
      <c r="A175" s="5" t="s">
        <v>1059</v>
      </c>
      <c r="B175" s="5" t="s">
        <v>394</v>
      </c>
      <c r="C175" s="5" t="s">
        <v>123</v>
      </c>
      <c r="D175" s="5">
        <v>2026.0</v>
      </c>
      <c r="E175" s="5">
        <f t="shared" si="1"/>
        <v>2023</v>
      </c>
      <c r="F175" s="8">
        <f t="shared" si="2"/>
        <v>2025</v>
      </c>
      <c r="G175" s="31" t="str">
        <f>IF(COUNTIFS(HISTORICAL_DATA!$A$2:$A$441,$A175,HISTORICAL_DATA!$D$2:$D$441,"&gt;="&amp;$E175,HISTORICAL_DATA!$D$2:$D$441,"&lt;="&amp;$F175,HISTORICAL_DATA!$E$2:$E$441,"&lt;&gt;")&lt;3,"",SUMIFS(HISTORICAL_DATA!$E$2:$E$441,HISTORICAL_DATA!$A$2:$A$441,$A175,HISTORICAL_DATA!$D$2:$D$441,"&gt;="&amp;$E175,HISTORICAL_DATA!$D$2:$D$441,"&lt;="&amp;$F175)/3)</f>
        <v/>
      </c>
      <c r="H175" s="31" t="str">
        <f>IF(COUNTIFS(HISTORICAL_DATA!$A$2:$A$441,$A175,HISTORICAL_DATA!$D$2:$D$441,"&gt;="&amp;$E175,HISTORICAL_DATA!$D$2:$D$441,"&lt;="&amp;$F175,HISTORICAL_DATA!$G$2:$G$441,"&lt;&gt;")&lt;3,"",SUMIFS(HISTORICAL_DATA!$G$2:$G$441,HISTORICAL_DATA!$A$2:$A$441,$A175,HISTORICAL_DATA!$D$2:$D$441,"&gt;="&amp;$E175,HISTORICAL_DATA!$D$2:$D$441,"&lt;="&amp;$F175)/3)</f>
        <v/>
      </c>
      <c r="I175" s="31" t="str">
        <f>IF(OR(G175="",H175=""),"FACILITY DATA MISSING",IF(AND(COUNTIFS($C$2:$C$221,C175,$D$2:$D$221,D175,$G$2:$G$221,"&lt;&gt;")=COUNTIF(OFFICIAL_ALLOCATIONS!$C$2:$C$111,C175),COUNTIFS($C$2:$C$221,C175,$D$2:$D$221,D175,$H$2:$H$221,"&lt;&gt;")=COUNTIF(OFFICIAL_ALLOCATIONS!$C$2:$C$111,C175)),"COMPLETE","SECTOR DATA INCOMPLETE"))</f>
        <v>FACILITY DATA MISSING</v>
      </c>
      <c r="J175" s="31" t="str">
        <f t="shared" si="3"/>
        <v/>
      </c>
      <c r="K175" s="62" t="str">
        <f>IF(COUNTIFS(POLICY_PARAMETERS!$B$2:$B$13,"g",POLICY_PARAMETERS!$E$2:$E$13,C175,POLICY_PARAMETERS!$F$2:$F$13,D175,POLICY_PARAMETERS!$G$2:$G$13,"&lt;&gt;")=0,"",SUMIFS(POLICY_PARAMETERS!$G$2:$G$13,POLICY_PARAMETERS!$B$2:$B$13,"g",POLICY_PARAMETERS!$E$2:$E$13,C175,POLICY_PARAMETERS!$F$2:$F$13,D175))</f>
        <v/>
      </c>
      <c r="L175" s="62" t="str">
        <f>IF(COUNTIFS(POLICY_PARAMETERS!$B$2:$B$13,"r",POLICY_PARAMETERS!$E$2:$E$13,C175,POLICY_PARAMETERS!$F$2:$F$13,D175,POLICY_PARAMETERS!$G$2:$G$13,"&lt;&gt;")=0,"",SUMIFS(POLICY_PARAMETERS!$G$2:$G$13,POLICY_PARAMETERS!$B$2:$B$13,"r",POLICY_PARAMETERS!$E$2:$E$13,C175,POLICY_PARAMETERS!$F$2:$F$13,D175))</f>
        <v/>
      </c>
      <c r="M175" s="61" t="str">
        <f t="shared" si="4"/>
        <v/>
      </c>
      <c r="N175" s="56" t="str">
        <f t="shared" si="5"/>
        <v/>
      </c>
      <c r="O175" s="26">
        <f>IF(D175=2025,IFERROR(VLOOKUP(A175,OFFICIAL_ALLOCATIONS!$A$2:$F$111,5,FALSE),""),IFERROR(VLOOKUP(A175,OFFICIAL_ALLOCATIONS!$A$2:$F$111,6,FALSE),""))</f>
        <v>390705</v>
      </c>
      <c r="P175" s="42" t="str">
        <f t="shared" si="6"/>
        <v/>
      </c>
      <c r="Q175" s="28" t="str">
        <f t="shared" si="7"/>
        <v/>
      </c>
      <c r="R175" s="5" t="str">
        <f t="shared" si="8"/>
        <v>MISSING HISTORICAL DATA</v>
      </c>
      <c r="S175" s="5" t="s">
        <v>179</v>
      </c>
      <c r="T175" s="5" t="s">
        <v>59</v>
      </c>
    </row>
    <row r="176" ht="15.75" customHeight="1">
      <c r="A176" s="5" t="s">
        <v>1060</v>
      </c>
      <c r="B176" s="5" t="s">
        <v>396</v>
      </c>
      <c r="C176" s="5" t="s">
        <v>123</v>
      </c>
      <c r="D176" s="5">
        <v>2025.0</v>
      </c>
      <c r="E176" s="5">
        <f t="shared" si="1"/>
        <v>2022</v>
      </c>
      <c r="F176" s="8">
        <f t="shared" si="2"/>
        <v>2024</v>
      </c>
      <c r="G176" s="31" t="str">
        <f>IF(COUNTIFS(HISTORICAL_DATA!$A$2:$A$441,$A176,HISTORICAL_DATA!$D$2:$D$441,"&gt;="&amp;$E176,HISTORICAL_DATA!$D$2:$D$441,"&lt;="&amp;$F176,HISTORICAL_DATA!$E$2:$E$441,"&lt;&gt;")&lt;3,"",SUMIFS(HISTORICAL_DATA!$E$2:$E$441,HISTORICAL_DATA!$A$2:$A$441,$A176,HISTORICAL_DATA!$D$2:$D$441,"&gt;="&amp;$E176,HISTORICAL_DATA!$D$2:$D$441,"&lt;="&amp;$F176)/3)</f>
        <v/>
      </c>
      <c r="H176" s="31" t="str">
        <f>IF(COUNTIFS(HISTORICAL_DATA!$A$2:$A$441,$A176,HISTORICAL_DATA!$D$2:$D$441,"&gt;="&amp;$E176,HISTORICAL_DATA!$D$2:$D$441,"&lt;="&amp;$F176,HISTORICAL_DATA!$G$2:$G$441,"&lt;&gt;")&lt;3,"",SUMIFS(HISTORICAL_DATA!$G$2:$G$441,HISTORICAL_DATA!$A$2:$A$441,$A176,HISTORICAL_DATA!$D$2:$D$441,"&gt;="&amp;$E176,HISTORICAL_DATA!$D$2:$D$441,"&lt;="&amp;$F176)/3)</f>
        <v/>
      </c>
      <c r="I176" s="31" t="str">
        <f>IF(OR(G176="",H176=""),"FACILITY DATA MISSING",IF(AND(COUNTIFS($C$2:$C$221,C176,$D$2:$D$221,D176,$G$2:$G$221,"&lt;&gt;")=COUNTIF(OFFICIAL_ALLOCATIONS!$C$2:$C$111,C176),COUNTIFS($C$2:$C$221,C176,$D$2:$D$221,D176,$H$2:$H$221,"&lt;&gt;")=COUNTIF(OFFICIAL_ALLOCATIONS!$C$2:$C$111,C176)),"COMPLETE","SECTOR DATA INCOMPLETE"))</f>
        <v>FACILITY DATA MISSING</v>
      </c>
      <c r="J176" s="31" t="str">
        <f t="shared" si="3"/>
        <v/>
      </c>
      <c r="K176" s="62" t="str">
        <f>IF(COUNTIFS(POLICY_PARAMETERS!$B$2:$B$13,"g",POLICY_PARAMETERS!$E$2:$E$13,C176,POLICY_PARAMETERS!$F$2:$F$13,D176,POLICY_PARAMETERS!$G$2:$G$13,"&lt;&gt;")=0,"",SUMIFS(POLICY_PARAMETERS!$G$2:$G$13,POLICY_PARAMETERS!$B$2:$B$13,"g",POLICY_PARAMETERS!$E$2:$E$13,C176,POLICY_PARAMETERS!$F$2:$F$13,D176))</f>
        <v/>
      </c>
      <c r="L176" s="62" t="str">
        <f>IF(COUNTIFS(POLICY_PARAMETERS!$B$2:$B$13,"r",POLICY_PARAMETERS!$E$2:$E$13,C176,POLICY_PARAMETERS!$F$2:$F$13,D176,POLICY_PARAMETERS!$G$2:$G$13,"&lt;&gt;")=0,"",SUMIFS(POLICY_PARAMETERS!$G$2:$G$13,POLICY_PARAMETERS!$B$2:$B$13,"r",POLICY_PARAMETERS!$E$2:$E$13,C176,POLICY_PARAMETERS!$F$2:$F$13,D176))</f>
        <v/>
      </c>
      <c r="M176" s="61" t="str">
        <f t="shared" si="4"/>
        <v/>
      </c>
      <c r="N176" s="56" t="str">
        <f t="shared" si="5"/>
        <v/>
      </c>
      <c r="O176" s="26">
        <f>IF(D176=2025,IFERROR(VLOOKUP(A176,OFFICIAL_ALLOCATIONS!$A$2:$F$111,5,FALSE),""),IFERROR(VLOOKUP(A176,OFFICIAL_ALLOCATIONS!$A$2:$F$111,6,FALSE),""))</f>
        <v>2907941</v>
      </c>
      <c r="P176" s="42" t="str">
        <f t="shared" si="6"/>
        <v/>
      </c>
      <c r="Q176" s="28" t="str">
        <f t="shared" si="7"/>
        <v/>
      </c>
      <c r="R176" s="5" t="str">
        <f t="shared" si="8"/>
        <v>MISSING HISTORICAL DATA</v>
      </c>
      <c r="S176" s="5" t="s">
        <v>179</v>
      </c>
      <c r="T176" s="5" t="s">
        <v>59</v>
      </c>
    </row>
    <row r="177" ht="15.75" customHeight="1">
      <c r="A177" s="5" t="s">
        <v>1060</v>
      </c>
      <c r="B177" s="5" t="s">
        <v>396</v>
      </c>
      <c r="C177" s="5" t="s">
        <v>123</v>
      </c>
      <c r="D177" s="5">
        <v>2026.0</v>
      </c>
      <c r="E177" s="5">
        <f t="shared" si="1"/>
        <v>2023</v>
      </c>
      <c r="F177" s="8">
        <f t="shared" si="2"/>
        <v>2025</v>
      </c>
      <c r="G177" s="31" t="str">
        <f>IF(COUNTIFS(HISTORICAL_DATA!$A$2:$A$441,$A177,HISTORICAL_DATA!$D$2:$D$441,"&gt;="&amp;$E177,HISTORICAL_DATA!$D$2:$D$441,"&lt;="&amp;$F177,HISTORICAL_DATA!$E$2:$E$441,"&lt;&gt;")&lt;3,"",SUMIFS(HISTORICAL_DATA!$E$2:$E$441,HISTORICAL_DATA!$A$2:$A$441,$A177,HISTORICAL_DATA!$D$2:$D$441,"&gt;="&amp;$E177,HISTORICAL_DATA!$D$2:$D$441,"&lt;="&amp;$F177)/3)</f>
        <v/>
      </c>
      <c r="H177" s="31" t="str">
        <f>IF(COUNTIFS(HISTORICAL_DATA!$A$2:$A$441,$A177,HISTORICAL_DATA!$D$2:$D$441,"&gt;="&amp;$E177,HISTORICAL_DATA!$D$2:$D$441,"&lt;="&amp;$F177,HISTORICAL_DATA!$G$2:$G$441,"&lt;&gt;")&lt;3,"",SUMIFS(HISTORICAL_DATA!$G$2:$G$441,HISTORICAL_DATA!$A$2:$A$441,$A177,HISTORICAL_DATA!$D$2:$D$441,"&gt;="&amp;$E177,HISTORICAL_DATA!$D$2:$D$441,"&lt;="&amp;$F177)/3)</f>
        <v/>
      </c>
      <c r="I177" s="31" t="str">
        <f>IF(OR(G177="",H177=""),"FACILITY DATA MISSING",IF(AND(COUNTIFS($C$2:$C$221,C177,$D$2:$D$221,D177,$G$2:$G$221,"&lt;&gt;")=COUNTIF(OFFICIAL_ALLOCATIONS!$C$2:$C$111,C177),COUNTIFS($C$2:$C$221,C177,$D$2:$D$221,D177,$H$2:$H$221,"&lt;&gt;")=COUNTIF(OFFICIAL_ALLOCATIONS!$C$2:$C$111,C177)),"COMPLETE","SECTOR DATA INCOMPLETE"))</f>
        <v>FACILITY DATA MISSING</v>
      </c>
      <c r="J177" s="31" t="str">
        <f t="shared" si="3"/>
        <v/>
      </c>
      <c r="K177" s="62" t="str">
        <f>IF(COUNTIFS(POLICY_PARAMETERS!$B$2:$B$13,"g",POLICY_PARAMETERS!$E$2:$E$13,C177,POLICY_PARAMETERS!$F$2:$F$13,D177,POLICY_PARAMETERS!$G$2:$G$13,"&lt;&gt;")=0,"",SUMIFS(POLICY_PARAMETERS!$G$2:$G$13,POLICY_PARAMETERS!$B$2:$B$13,"g",POLICY_PARAMETERS!$E$2:$E$13,C177,POLICY_PARAMETERS!$F$2:$F$13,D177))</f>
        <v/>
      </c>
      <c r="L177" s="62" t="str">
        <f>IF(COUNTIFS(POLICY_PARAMETERS!$B$2:$B$13,"r",POLICY_PARAMETERS!$E$2:$E$13,C177,POLICY_PARAMETERS!$F$2:$F$13,D177,POLICY_PARAMETERS!$G$2:$G$13,"&lt;&gt;")=0,"",SUMIFS(POLICY_PARAMETERS!$G$2:$G$13,POLICY_PARAMETERS!$B$2:$B$13,"r",POLICY_PARAMETERS!$E$2:$E$13,C177,POLICY_PARAMETERS!$F$2:$F$13,D177))</f>
        <v/>
      </c>
      <c r="M177" s="61" t="str">
        <f t="shared" si="4"/>
        <v/>
      </c>
      <c r="N177" s="56" t="str">
        <f t="shared" si="5"/>
        <v/>
      </c>
      <c r="O177" s="26">
        <f>IF(D177=2025,IFERROR(VLOOKUP(A177,OFFICIAL_ALLOCATIONS!$A$2:$F$111,5,FALSE),""),IFERROR(VLOOKUP(A177,OFFICIAL_ALLOCATIONS!$A$2:$F$111,6,FALSE),""))</f>
        <v>3182009</v>
      </c>
      <c r="P177" s="42" t="str">
        <f t="shared" si="6"/>
        <v/>
      </c>
      <c r="Q177" s="28" t="str">
        <f t="shared" si="7"/>
        <v/>
      </c>
      <c r="R177" s="5" t="str">
        <f t="shared" si="8"/>
        <v>MISSING HISTORICAL DATA</v>
      </c>
      <c r="S177" s="5" t="s">
        <v>179</v>
      </c>
      <c r="T177" s="5" t="s">
        <v>59</v>
      </c>
    </row>
    <row r="178" ht="15.75" customHeight="1">
      <c r="A178" s="5" t="s">
        <v>1061</v>
      </c>
      <c r="B178" s="5" t="s">
        <v>398</v>
      </c>
      <c r="C178" s="5" t="s">
        <v>123</v>
      </c>
      <c r="D178" s="5">
        <v>2025.0</v>
      </c>
      <c r="E178" s="5">
        <f t="shared" si="1"/>
        <v>2022</v>
      </c>
      <c r="F178" s="8">
        <f t="shared" si="2"/>
        <v>2024</v>
      </c>
      <c r="G178" s="31" t="str">
        <f>IF(COUNTIFS(HISTORICAL_DATA!$A$2:$A$441,$A178,HISTORICAL_DATA!$D$2:$D$441,"&gt;="&amp;$E178,HISTORICAL_DATA!$D$2:$D$441,"&lt;="&amp;$F178,HISTORICAL_DATA!$E$2:$E$441,"&lt;&gt;")&lt;3,"",SUMIFS(HISTORICAL_DATA!$E$2:$E$441,HISTORICAL_DATA!$A$2:$A$441,$A178,HISTORICAL_DATA!$D$2:$D$441,"&gt;="&amp;$E178,HISTORICAL_DATA!$D$2:$D$441,"&lt;="&amp;$F178)/3)</f>
        <v/>
      </c>
      <c r="H178" s="31" t="str">
        <f>IF(COUNTIFS(HISTORICAL_DATA!$A$2:$A$441,$A178,HISTORICAL_DATA!$D$2:$D$441,"&gt;="&amp;$E178,HISTORICAL_DATA!$D$2:$D$441,"&lt;="&amp;$F178,HISTORICAL_DATA!$G$2:$G$441,"&lt;&gt;")&lt;3,"",SUMIFS(HISTORICAL_DATA!$G$2:$G$441,HISTORICAL_DATA!$A$2:$A$441,$A178,HISTORICAL_DATA!$D$2:$D$441,"&gt;="&amp;$E178,HISTORICAL_DATA!$D$2:$D$441,"&lt;="&amp;$F178)/3)</f>
        <v/>
      </c>
      <c r="I178" s="31" t="str">
        <f>IF(OR(G178="",H178=""),"FACILITY DATA MISSING",IF(AND(COUNTIFS($C$2:$C$221,C178,$D$2:$D$221,D178,$G$2:$G$221,"&lt;&gt;")=COUNTIF(OFFICIAL_ALLOCATIONS!$C$2:$C$111,C178),COUNTIFS($C$2:$C$221,C178,$D$2:$D$221,D178,$H$2:$H$221,"&lt;&gt;")=COUNTIF(OFFICIAL_ALLOCATIONS!$C$2:$C$111,C178)),"COMPLETE","SECTOR DATA INCOMPLETE"))</f>
        <v>FACILITY DATA MISSING</v>
      </c>
      <c r="J178" s="31" t="str">
        <f t="shared" si="3"/>
        <v/>
      </c>
      <c r="K178" s="62" t="str">
        <f>IF(COUNTIFS(POLICY_PARAMETERS!$B$2:$B$13,"g",POLICY_PARAMETERS!$E$2:$E$13,C178,POLICY_PARAMETERS!$F$2:$F$13,D178,POLICY_PARAMETERS!$G$2:$G$13,"&lt;&gt;")=0,"",SUMIFS(POLICY_PARAMETERS!$G$2:$G$13,POLICY_PARAMETERS!$B$2:$B$13,"g",POLICY_PARAMETERS!$E$2:$E$13,C178,POLICY_PARAMETERS!$F$2:$F$13,D178))</f>
        <v/>
      </c>
      <c r="L178" s="62" t="str">
        <f>IF(COUNTIFS(POLICY_PARAMETERS!$B$2:$B$13,"r",POLICY_PARAMETERS!$E$2:$E$13,C178,POLICY_PARAMETERS!$F$2:$F$13,D178,POLICY_PARAMETERS!$G$2:$G$13,"&lt;&gt;")=0,"",SUMIFS(POLICY_PARAMETERS!$G$2:$G$13,POLICY_PARAMETERS!$B$2:$B$13,"r",POLICY_PARAMETERS!$E$2:$E$13,C178,POLICY_PARAMETERS!$F$2:$F$13,D178))</f>
        <v/>
      </c>
      <c r="M178" s="61" t="str">
        <f t="shared" si="4"/>
        <v/>
      </c>
      <c r="N178" s="56" t="str">
        <f t="shared" si="5"/>
        <v/>
      </c>
      <c r="O178" s="26">
        <f>IF(D178=2025,IFERROR(VLOOKUP(A178,OFFICIAL_ALLOCATIONS!$A$2:$F$111,5,FALSE),""),IFERROR(VLOOKUP(A178,OFFICIAL_ALLOCATIONS!$A$2:$F$111,6,FALSE),""))</f>
        <v>1217320</v>
      </c>
      <c r="P178" s="42" t="str">
        <f t="shared" si="6"/>
        <v/>
      </c>
      <c r="Q178" s="28" t="str">
        <f t="shared" si="7"/>
        <v/>
      </c>
      <c r="R178" s="5" t="str">
        <f t="shared" si="8"/>
        <v>MISSING HISTORICAL DATA</v>
      </c>
      <c r="S178" s="5" t="s">
        <v>179</v>
      </c>
      <c r="T178" s="5" t="s">
        <v>59</v>
      </c>
    </row>
    <row r="179" ht="15.75" customHeight="1">
      <c r="A179" s="5" t="s">
        <v>1061</v>
      </c>
      <c r="B179" s="5" t="s">
        <v>398</v>
      </c>
      <c r="C179" s="5" t="s">
        <v>123</v>
      </c>
      <c r="D179" s="5">
        <v>2026.0</v>
      </c>
      <c r="E179" s="5">
        <f t="shared" si="1"/>
        <v>2023</v>
      </c>
      <c r="F179" s="8">
        <f t="shared" si="2"/>
        <v>2025</v>
      </c>
      <c r="G179" s="31" t="str">
        <f>IF(COUNTIFS(HISTORICAL_DATA!$A$2:$A$441,$A179,HISTORICAL_DATA!$D$2:$D$441,"&gt;="&amp;$E179,HISTORICAL_DATA!$D$2:$D$441,"&lt;="&amp;$F179,HISTORICAL_DATA!$E$2:$E$441,"&lt;&gt;")&lt;3,"",SUMIFS(HISTORICAL_DATA!$E$2:$E$441,HISTORICAL_DATA!$A$2:$A$441,$A179,HISTORICAL_DATA!$D$2:$D$441,"&gt;="&amp;$E179,HISTORICAL_DATA!$D$2:$D$441,"&lt;="&amp;$F179)/3)</f>
        <v/>
      </c>
      <c r="H179" s="31" t="str">
        <f>IF(COUNTIFS(HISTORICAL_DATA!$A$2:$A$441,$A179,HISTORICAL_DATA!$D$2:$D$441,"&gt;="&amp;$E179,HISTORICAL_DATA!$D$2:$D$441,"&lt;="&amp;$F179,HISTORICAL_DATA!$G$2:$G$441,"&lt;&gt;")&lt;3,"",SUMIFS(HISTORICAL_DATA!$G$2:$G$441,HISTORICAL_DATA!$A$2:$A$441,$A179,HISTORICAL_DATA!$D$2:$D$441,"&gt;="&amp;$E179,HISTORICAL_DATA!$D$2:$D$441,"&lt;="&amp;$F179)/3)</f>
        <v/>
      </c>
      <c r="I179" s="31" t="str">
        <f>IF(OR(G179="",H179=""),"FACILITY DATA MISSING",IF(AND(COUNTIFS($C$2:$C$221,C179,$D$2:$D$221,D179,$G$2:$G$221,"&lt;&gt;")=COUNTIF(OFFICIAL_ALLOCATIONS!$C$2:$C$111,C179),COUNTIFS($C$2:$C$221,C179,$D$2:$D$221,D179,$H$2:$H$221,"&lt;&gt;")=COUNTIF(OFFICIAL_ALLOCATIONS!$C$2:$C$111,C179)),"COMPLETE","SECTOR DATA INCOMPLETE"))</f>
        <v>FACILITY DATA MISSING</v>
      </c>
      <c r="J179" s="31" t="str">
        <f t="shared" si="3"/>
        <v/>
      </c>
      <c r="K179" s="62" t="str">
        <f>IF(COUNTIFS(POLICY_PARAMETERS!$B$2:$B$13,"g",POLICY_PARAMETERS!$E$2:$E$13,C179,POLICY_PARAMETERS!$F$2:$F$13,D179,POLICY_PARAMETERS!$G$2:$G$13,"&lt;&gt;")=0,"",SUMIFS(POLICY_PARAMETERS!$G$2:$G$13,POLICY_PARAMETERS!$B$2:$B$13,"g",POLICY_PARAMETERS!$E$2:$E$13,C179,POLICY_PARAMETERS!$F$2:$F$13,D179))</f>
        <v/>
      </c>
      <c r="L179" s="62" t="str">
        <f>IF(COUNTIFS(POLICY_PARAMETERS!$B$2:$B$13,"r",POLICY_PARAMETERS!$E$2:$E$13,C179,POLICY_PARAMETERS!$F$2:$F$13,D179,POLICY_PARAMETERS!$G$2:$G$13,"&lt;&gt;")=0,"",SUMIFS(POLICY_PARAMETERS!$G$2:$G$13,POLICY_PARAMETERS!$B$2:$B$13,"r",POLICY_PARAMETERS!$E$2:$E$13,C179,POLICY_PARAMETERS!$F$2:$F$13,D179))</f>
        <v/>
      </c>
      <c r="M179" s="61" t="str">
        <f t="shared" si="4"/>
        <v/>
      </c>
      <c r="N179" s="56" t="str">
        <f t="shared" si="5"/>
        <v/>
      </c>
      <c r="O179" s="26">
        <f>IF(D179=2025,IFERROR(VLOOKUP(A179,OFFICIAL_ALLOCATIONS!$A$2:$F$111,5,FALSE),""),IFERROR(VLOOKUP(A179,OFFICIAL_ALLOCATIONS!$A$2:$F$111,6,FALSE),""))</f>
        <v>1332050</v>
      </c>
      <c r="P179" s="42" t="str">
        <f t="shared" si="6"/>
        <v/>
      </c>
      <c r="Q179" s="28" t="str">
        <f t="shared" si="7"/>
        <v/>
      </c>
      <c r="R179" s="5" t="str">
        <f t="shared" si="8"/>
        <v>MISSING HISTORICAL DATA</v>
      </c>
      <c r="S179" s="5" t="s">
        <v>179</v>
      </c>
      <c r="T179" s="5" t="s">
        <v>59</v>
      </c>
    </row>
    <row r="180" ht="15.75" customHeight="1">
      <c r="A180" s="5" t="s">
        <v>1062</v>
      </c>
      <c r="B180" s="5" t="s">
        <v>400</v>
      </c>
      <c r="C180" s="5" t="s">
        <v>123</v>
      </c>
      <c r="D180" s="5">
        <v>2025.0</v>
      </c>
      <c r="E180" s="5">
        <f t="shared" si="1"/>
        <v>2022</v>
      </c>
      <c r="F180" s="8">
        <f t="shared" si="2"/>
        <v>2024</v>
      </c>
      <c r="G180" s="31" t="str">
        <f>IF(COUNTIFS(HISTORICAL_DATA!$A$2:$A$441,$A180,HISTORICAL_DATA!$D$2:$D$441,"&gt;="&amp;$E180,HISTORICAL_DATA!$D$2:$D$441,"&lt;="&amp;$F180,HISTORICAL_DATA!$E$2:$E$441,"&lt;&gt;")&lt;3,"",SUMIFS(HISTORICAL_DATA!$E$2:$E$441,HISTORICAL_DATA!$A$2:$A$441,$A180,HISTORICAL_DATA!$D$2:$D$441,"&gt;="&amp;$E180,HISTORICAL_DATA!$D$2:$D$441,"&lt;="&amp;$F180)/3)</f>
        <v/>
      </c>
      <c r="H180" s="31" t="str">
        <f>IF(COUNTIFS(HISTORICAL_DATA!$A$2:$A$441,$A180,HISTORICAL_DATA!$D$2:$D$441,"&gt;="&amp;$E180,HISTORICAL_DATA!$D$2:$D$441,"&lt;="&amp;$F180,HISTORICAL_DATA!$G$2:$G$441,"&lt;&gt;")&lt;3,"",SUMIFS(HISTORICAL_DATA!$G$2:$G$441,HISTORICAL_DATA!$A$2:$A$441,$A180,HISTORICAL_DATA!$D$2:$D$441,"&gt;="&amp;$E180,HISTORICAL_DATA!$D$2:$D$441,"&lt;="&amp;$F180)/3)</f>
        <v/>
      </c>
      <c r="I180" s="31" t="str">
        <f>IF(OR(G180="",H180=""),"FACILITY DATA MISSING",IF(AND(COUNTIFS($C$2:$C$221,C180,$D$2:$D$221,D180,$G$2:$G$221,"&lt;&gt;")=COUNTIF(OFFICIAL_ALLOCATIONS!$C$2:$C$111,C180),COUNTIFS($C$2:$C$221,C180,$D$2:$D$221,D180,$H$2:$H$221,"&lt;&gt;")=COUNTIF(OFFICIAL_ALLOCATIONS!$C$2:$C$111,C180)),"COMPLETE","SECTOR DATA INCOMPLETE"))</f>
        <v>FACILITY DATA MISSING</v>
      </c>
      <c r="J180" s="31" t="str">
        <f t="shared" si="3"/>
        <v/>
      </c>
      <c r="K180" s="62" t="str">
        <f>IF(COUNTIFS(POLICY_PARAMETERS!$B$2:$B$13,"g",POLICY_PARAMETERS!$E$2:$E$13,C180,POLICY_PARAMETERS!$F$2:$F$13,D180,POLICY_PARAMETERS!$G$2:$G$13,"&lt;&gt;")=0,"",SUMIFS(POLICY_PARAMETERS!$G$2:$G$13,POLICY_PARAMETERS!$B$2:$B$13,"g",POLICY_PARAMETERS!$E$2:$E$13,C180,POLICY_PARAMETERS!$F$2:$F$13,D180))</f>
        <v/>
      </c>
      <c r="L180" s="62" t="str">
        <f>IF(COUNTIFS(POLICY_PARAMETERS!$B$2:$B$13,"r",POLICY_PARAMETERS!$E$2:$E$13,C180,POLICY_PARAMETERS!$F$2:$F$13,D180,POLICY_PARAMETERS!$G$2:$G$13,"&lt;&gt;")=0,"",SUMIFS(POLICY_PARAMETERS!$G$2:$G$13,POLICY_PARAMETERS!$B$2:$B$13,"r",POLICY_PARAMETERS!$E$2:$E$13,C180,POLICY_PARAMETERS!$F$2:$F$13,D180))</f>
        <v/>
      </c>
      <c r="M180" s="61" t="str">
        <f t="shared" si="4"/>
        <v/>
      </c>
      <c r="N180" s="56" t="str">
        <f t="shared" si="5"/>
        <v/>
      </c>
      <c r="O180" s="26">
        <f>IF(D180=2025,IFERROR(VLOOKUP(A180,OFFICIAL_ALLOCATIONS!$A$2:$F$111,5,FALSE),""),IFERROR(VLOOKUP(A180,OFFICIAL_ALLOCATIONS!$A$2:$F$111,6,FALSE),""))</f>
        <v>2072885</v>
      </c>
      <c r="P180" s="42" t="str">
        <f t="shared" si="6"/>
        <v/>
      </c>
      <c r="Q180" s="28" t="str">
        <f t="shared" si="7"/>
        <v/>
      </c>
      <c r="R180" s="5" t="str">
        <f t="shared" si="8"/>
        <v>MISSING HISTORICAL DATA</v>
      </c>
      <c r="S180" s="5" t="s">
        <v>179</v>
      </c>
      <c r="T180" s="5" t="s">
        <v>59</v>
      </c>
    </row>
    <row r="181" ht="15.75" customHeight="1">
      <c r="A181" s="5" t="s">
        <v>1062</v>
      </c>
      <c r="B181" s="5" t="s">
        <v>400</v>
      </c>
      <c r="C181" s="5" t="s">
        <v>123</v>
      </c>
      <c r="D181" s="5">
        <v>2026.0</v>
      </c>
      <c r="E181" s="5">
        <f t="shared" si="1"/>
        <v>2023</v>
      </c>
      <c r="F181" s="8">
        <f t="shared" si="2"/>
        <v>2025</v>
      </c>
      <c r="G181" s="31" t="str">
        <f>IF(COUNTIFS(HISTORICAL_DATA!$A$2:$A$441,$A181,HISTORICAL_DATA!$D$2:$D$441,"&gt;="&amp;$E181,HISTORICAL_DATA!$D$2:$D$441,"&lt;="&amp;$F181,HISTORICAL_DATA!$E$2:$E$441,"&lt;&gt;")&lt;3,"",SUMIFS(HISTORICAL_DATA!$E$2:$E$441,HISTORICAL_DATA!$A$2:$A$441,$A181,HISTORICAL_DATA!$D$2:$D$441,"&gt;="&amp;$E181,HISTORICAL_DATA!$D$2:$D$441,"&lt;="&amp;$F181)/3)</f>
        <v/>
      </c>
      <c r="H181" s="31" t="str">
        <f>IF(COUNTIFS(HISTORICAL_DATA!$A$2:$A$441,$A181,HISTORICAL_DATA!$D$2:$D$441,"&gt;="&amp;$E181,HISTORICAL_DATA!$D$2:$D$441,"&lt;="&amp;$F181,HISTORICAL_DATA!$G$2:$G$441,"&lt;&gt;")&lt;3,"",SUMIFS(HISTORICAL_DATA!$G$2:$G$441,HISTORICAL_DATA!$A$2:$A$441,$A181,HISTORICAL_DATA!$D$2:$D$441,"&gt;="&amp;$E181,HISTORICAL_DATA!$D$2:$D$441,"&lt;="&amp;$F181)/3)</f>
        <v/>
      </c>
      <c r="I181" s="31" t="str">
        <f>IF(OR(G181="",H181=""),"FACILITY DATA MISSING",IF(AND(COUNTIFS($C$2:$C$221,C181,$D$2:$D$221,D181,$G$2:$G$221,"&lt;&gt;")=COUNTIF(OFFICIAL_ALLOCATIONS!$C$2:$C$111,C181),COUNTIFS($C$2:$C$221,C181,$D$2:$D$221,D181,$H$2:$H$221,"&lt;&gt;")=COUNTIF(OFFICIAL_ALLOCATIONS!$C$2:$C$111,C181)),"COMPLETE","SECTOR DATA INCOMPLETE"))</f>
        <v>FACILITY DATA MISSING</v>
      </c>
      <c r="J181" s="31" t="str">
        <f t="shared" si="3"/>
        <v/>
      </c>
      <c r="K181" s="62" t="str">
        <f>IF(COUNTIFS(POLICY_PARAMETERS!$B$2:$B$13,"g",POLICY_PARAMETERS!$E$2:$E$13,C181,POLICY_PARAMETERS!$F$2:$F$13,D181,POLICY_PARAMETERS!$G$2:$G$13,"&lt;&gt;")=0,"",SUMIFS(POLICY_PARAMETERS!$G$2:$G$13,POLICY_PARAMETERS!$B$2:$B$13,"g",POLICY_PARAMETERS!$E$2:$E$13,C181,POLICY_PARAMETERS!$F$2:$F$13,D181))</f>
        <v/>
      </c>
      <c r="L181" s="62" t="str">
        <f>IF(COUNTIFS(POLICY_PARAMETERS!$B$2:$B$13,"r",POLICY_PARAMETERS!$E$2:$E$13,C181,POLICY_PARAMETERS!$F$2:$F$13,D181,POLICY_PARAMETERS!$G$2:$G$13,"&lt;&gt;")=0,"",SUMIFS(POLICY_PARAMETERS!$G$2:$G$13,POLICY_PARAMETERS!$B$2:$B$13,"r",POLICY_PARAMETERS!$E$2:$E$13,C181,POLICY_PARAMETERS!$F$2:$F$13,D181))</f>
        <v/>
      </c>
      <c r="M181" s="61" t="str">
        <f t="shared" si="4"/>
        <v/>
      </c>
      <c r="N181" s="56" t="str">
        <f t="shared" si="5"/>
        <v/>
      </c>
      <c r="O181" s="26">
        <f>IF(D181=2025,IFERROR(VLOOKUP(A181,OFFICIAL_ALLOCATIONS!$A$2:$F$111,5,FALSE),""),IFERROR(VLOOKUP(A181,OFFICIAL_ALLOCATIONS!$A$2:$F$111,6,FALSE),""))</f>
        <v>2268250</v>
      </c>
      <c r="P181" s="42" t="str">
        <f t="shared" si="6"/>
        <v/>
      </c>
      <c r="Q181" s="28" t="str">
        <f t="shared" si="7"/>
        <v/>
      </c>
      <c r="R181" s="5" t="str">
        <f t="shared" si="8"/>
        <v>MISSING HISTORICAL DATA</v>
      </c>
      <c r="S181" s="5" t="s">
        <v>179</v>
      </c>
      <c r="T181" s="5" t="s">
        <v>59</v>
      </c>
    </row>
    <row r="182" ht="15.75" customHeight="1">
      <c r="A182" s="5" t="s">
        <v>1063</v>
      </c>
      <c r="B182" s="5" t="s">
        <v>403</v>
      </c>
      <c r="C182" s="5" t="s">
        <v>123</v>
      </c>
      <c r="D182" s="5">
        <v>2025.0</v>
      </c>
      <c r="E182" s="5">
        <f t="shared" si="1"/>
        <v>2022</v>
      </c>
      <c r="F182" s="8">
        <f t="shared" si="2"/>
        <v>2024</v>
      </c>
      <c r="G182" s="31" t="str">
        <f>IF(COUNTIFS(HISTORICAL_DATA!$A$2:$A$441,$A182,HISTORICAL_DATA!$D$2:$D$441,"&gt;="&amp;$E182,HISTORICAL_DATA!$D$2:$D$441,"&lt;="&amp;$F182,HISTORICAL_DATA!$E$2:$E$441,"&lt;&gt;")&lt;3,"",SUMIFS(HISTORICAL_DATA!$E$2:$E$441,HISTORICAL_DATA!$A$2:$A$441,$A182,HISTORICAL_DATA!$D$2:$D$441,"&gt;="&amp;$E182,HISTORICAL_DATA!$D$2:$D$441,"&lt;="&amp;$F182)/3)</f>
        <v/>
      </c>
      <c r="H182" s="31" t="str">
        <f>IF(COUNTIFS(HISTORICAL_DATA!$A$2:$A$441,$A182,HISTORICAL_DATA!$D$2:$D$441,"&gt;="&amp;$E182,HISTORICAL_DATA!$D$2:$D$441,"&lt;="&amp;$F182,HISTORICAL_DATA!$G$2:$G$441,"&lt;&gt;")&lt;3,"",SUMIFS(HISTORICAL_DATA!$G$2:$G$441,HISTORICAL_DATA!$A$2:$A$441,$A182,HISTORICAL_DATA!$D$2:$D$441,"&gt;="&amp;$E182,HISTORICAL_DATA!$D$2:$D$441,"&lt;="&amp;$F182)/3)</f>
        <v/>
      </c>
      <c r="I182" s="31" t="str">
        <f>IF(OR(G182="",H182=""),"FACILITY DATA MISSING",IF(AND(COUNTIFS($C$2:$C$221,C182,$D$2:$D$221,D182,$G$2:$G$221,"&lt;&gt;")=COUNTIF(OFFICIAL_ALLOCATIONS!$C$2:$C$111,C182),COUNTIFS($C$2:$C$221,C182,$D$2:$D$221,D182,$H$2:$H$221,"&lt;&gt;")=COUNTIF(OFFICIAL_ALLOCATIONS!$C$2:$C$111,C182)),"COMPLETE","SECTOR DATA INCOMPLETE"))</f>
        <v>FACILITY DATA MISSING</v>
      </c>
      <c r="J182" s="31" t="str">
        <f t="shared" si="3"/>
        <v/>
      </c>
      <c r="K182" s="62" t="str">
        <f>IF(COUNTIFS(POLICY_PARAMETERS!$B$2:$B$13,"g",POLICY_PARAMETERS!$E$2:$E$13,C182,POLICY_PARAMETERS!$F$2:$F$13,D182,POLICY_PARAMETERS!$G$2:$G$13,"&lt;&gt;")=0,"",SUMIFS(POLICY_PARAMETERS!$G$2:$G$13,POLICY_PARAMETERS!$B$2:$B$13,"g",POLICY_PARAMETERS!$E$2:$E$13,C182,POLICY_PARAMETERS!$F$2:$F$13,D182))</f>
        <v/>
      </c>
      <c r="L182" s="62" t="str">
        <f>IF(COUNTIFS(POLICY_PARAMETERS!$B$2:$B$13,"r",POLICY_PARAMETERS!$E$2:$E$13,C182,POLICY_PARAMETERS!$F$2:$F$13,D182,POLICY_PARAMETERS!$G$2:$G$13,"&lt;&gt;")=0,"",SUMIFS(POLICY_PARAMETERS!$G$2:$G$13,POLICY_PARAMETERS!$B$2:$B$13,"r",POLICY_PARAMETERS!$E$2:$E$13,C182,POLICY_PARAMETERS!$F$2:$F$13,D182))</f>
        <v/>
      </c>
      <c r="M182" s="61" t="str">
        <f t="shared" si="4"/>
        <v/>
      </c>
      <c r="N182" s="56" t="str">
        <f t="shared" si="5"/>
        <v/>
      </c>
      <c r="O182" s="26">
        <f>IF(D182=2025,IFERROR(VLOOKUP(A182,OFFICIAL_ALLOCATIONS!$A$2:$F$111,5,FALSE),""),IFERROR(VLOOKUP(A182,OFFICIAL_ALLOCATIONS!$A$2:$F$111,6,FALSE),""))</f>
        <v>1242230</v>
      </c>
      <c r="P182" s="42" t="str">
        <f t="shared" si="6"/>
        <v/>
      </c>
      <c r="Q182" s="28" t="str">
        <f t="shared" si="7"/>
        <v/>
      </c>
      <c r="R182" s="5" t="str">
        <f t="shared" si="8"/>
        <v>MISSING HISTORICAL DATA</v>
      </c>
      <c r="S182" s="5" t="s">
        <v>179</v>
      </c>
      <c r="T182" s="5" t="s">
        <v>59</v>
      </c>
    </row>
    <row r="183" ht="15.75" customHeight="1">
      <c r="A183" s="5" t="s">
        <v>1063</v>
      </c>
      <c r="B183" s="5" t="s">
        <v>403</v>
      </c>
      <c r="C183" s="5" t="s">
        <v>123</v>
      </c>
      <c r="D183" s="5">
        <v>2026.0</v>
      </c>
      <c r="E183" s="5">
        <f t="shared" si="1"/>
        <v>2023</v>
      </c>
      <c r="F183" s="8">
        <f t="shared" si="2"/>
        <v>2025</v>
      </c>
      <c r="G183" s="31" t="str">
        <f>IF(COUNTIFS(HISTORICAL_DATA!$A$2:$A$441,$A183,HISTORICAL_DATA!$D$2:$D$441,"&gt;="&amp;$E183,HISTORICAL_DATA!$D$2:$D$441,"&lt;="&amp;$F183,HISTORICAL_DATA!$E$2:$E$441,"&lt;&gt;")&lt;3,"",SUMIFS(HISTORICAL_DATA!$E$2:$E$441,HISTORICAL_DATA!$A$2:$A$441,$A183,HISTORICAL_DATA!$D$2:$D$441,"&gt;="&amp;$E183,HISTORICAL_DATA!$D$2:$D$441,"&lt;="&amp;$F183)/3)</f>
        <v/>
      </c>
      <c r="H183" s="31" t="str">
        <f>IF(COUNTIFS(HISTORICAL_DATA!$A$2:$A$441,$A183,HISTORICAL_DATA!$D$2:$D$441,"&gt;="&amp;$E183,HISTORICAL_DATA!$D$2:$D$441,"&lt;="&amp;$F183,HISTORICAL_DATA!$G$2:$G$441,"&lt;&gt;")&lt;3,"",SUMIFS(HISTORICAL_DATA!$G$2:$G$441,HISTORICAL_DATA!$A$2:$A$441,$A183,HISTORICAL_DATA!$D$2:$D$441,"&gt;="&amp;$E183,HISTORICAL_DATA!$D$2:$D$441,"&lt;="&amp;$F183)/3)</f>
        <v/>
      </c>
      <c r="I183" s="31" t="str">
        <f>IF(OR(G183="",H183=""),"FACILITY DATA MISSING",IF(AND(COUNTIFS($C$2:$C$221,C183,$D$2:$D$221,D183,$G$2:$G$221,"&lt;&gt;")=COUNTIF(OFFICIAL_ALLOCATIONS!$C$2:$C$111,C183),COUNTIFS($C$2:$C$221,C183,$D$2:$D$221,D183,$H$2:$H$221,"&lt;&gt;")=COUNTIF(OFFICIAL_ALLOCATIONS!$C$2:$C$111,C183)),"COMPLETE","SECTOR DATA INCOMPLETE"))</f>
        <v>FACILITY DATA MISSING</v>
      </c>
      <c r="J183" s="31" t="str">
        <f t="shared" si="3"/>
        <v/>
      </c>
      <c r="K183" s="62" t="str">
        <f>IF(COUNTIFS(POLICY_PARAMETERS!$B$2:$B$13,"g",POLICY_PARAMETERS!$E$2:$E$13,C183,POLICY_PARAMETERS!$F$2:$F$13,D183,POLICY_PARAMETERS!$G$2:$G$13,"&lt;&gt;")=0,"",SUMIFS(POLICY_PARAMETERS!$G$2:$G$13,POLICY_PARAMETERS!$B$2:$B$13,"g",POLICY_PARAMETERS!$E$2:$E$13,C183,POLICY_PARAMETERS!$F$2:$F$13,D183))</f>
        <v/>
      </c>
      <c r="L183" s="62" t="str">
        <f>IF(COUNTIFS(POLICY_PARAMETERS!$B$2:$B$13,"r",POLICY_PARAMETERS!$E$2:$E$13,C183,POLICY_PARAMETERS!$F$2:$F$13,D183,POLICY_PARAMETERS!$G$2:$G$13,"&lt;&gt;")=0,"",SUMIFS(POLICY_PARAMETERS!$G$2:$G$13,POLICY_PARAMETERS!$B$2:$B$13,"r",POLICY_PARAMETERS!$E$2:$E$13,C183,POLICY_PARAMETERS!$F$2:$F$13,D183))</f>
        <v/>
      </c>
      <c r="M183" s="61" t="str">
        <f t="shared" si="4"/>
        <v/>
      </c>
      <c r="N183" s="56" t="str">
        <f t="shared" si="5"/>
        <v/>
      </c>
      <c r="O183" s="26">
        <f>IF(D183=2025,IFERROR(VLOOKUP(A183,OFFICIAL_ALLOCATIONS!$A$2:$F$111,5,FALSE),""),IFERROR(VLOOKUP(A183,OFFICIAL_ALLOCATIONS!$A$2:$F$111,6,FALSE),""))</f>
        <v>1359308</v>
      </c>
      <c r="P183" s="42" t="str">
        <f t="shared" si="6"/>
        <v/>
      </c>
      <c r="Q183" s="28" t="str">
        <f t="shared" si="7"/>
        <v/>
      </c>
      <c r="R183" s="5" t="str">
        <f t="shared" si="8"/>
        <v>MISSING HISTORICAL DATA</v>
      </c>
      <c r="S183" s="5" t="s">
        <v>179</v>
      </c>
      <c r="T183" s="5" t="s">
        <v>59</v>
      </c>
    </row>
    <row r="184" ht="15.75" customHeight="1">
      <c r="A184" s="5" t="s">
        <v>1064</v>
      </c>
      <c r="B184" s="5" t="s">
        <v>405</v>
      </c>
      <c r="C184" s="5" t="s">
        <v>123</v>
      </c>
      <c r="D184" s="5">
        <v>2025.0</v>
      </c>
      <c r="E184" s="5">
        <f t="shared" si="1"/>
        <v>2022</v>
      </c>
      <c r="F184" s="8">
        <f t="shared" si="2"/>
        <v>2024</v>
      </c>
      <c r="G184" s="31" t="str">
        <f>IF(COUNTIFS(HISTORICAL_DATA!$A$2:$A$441,$A184,HISTORICAL_DATA!$D$2:$D$441,"&gt;="&amp;$E184,HISTORICAL_DATA!$D$2:$D$441,"&lt;="&amp;$F184,HISTORICAL_DATA!$E$2:$E$441,"&lt;&gt;")&lt;3,"",SUMIFS(HISTORICAL_DATA!$E$2:$E$441,HISTORICAL_DATA!$A$2:$A$441,$A184,HISTORICAL_DATA!$D$2:$D$441,"&gt;="&amp;$E184,HISTORICAL_DATA!$D$2:$D$441,"&lt;="&amp;$F184)/3)</f>
        <v/>
      </c>
      <c r="H184" s="31" t="str">
        <f>IF(COUNTIFS(HISTORICAL_DATA!$A$2:$A$441,$A184,HISTORICAL_DATA!$D$2:$D$441,"&gt;="&amp;$E184,HISTORICAL_DATA!$D$2:$D$441,"&lt;="&amp;$F184,HISTORICAL_DATA!$G$2:$G$441,"&lt;&gt;")&lt;3,"",SUMIFS(HISTORICAL_DATA!$G$2:$G$441,HISTORICAL_DATA!$A$2:$A$441,$A184,HISTORICAL_DATA!$D$2:$D$441,"&gt;="&amp;$E184,HISTORICAL_DATA!$D$2:$D$441,"&lt;="&amp;$F184)/3)</f>
        <v/>
      </c>
      <c r="I184" s="31" t="str">
        <f>IF(OR(G184="",H184=""),"FACILITY DATA MISSING",IF(AND(COUNTIFS($C$2:$C$221,C184,$D$2:$D$221,D184,$G$2:$G$221,"&lt;&gt;")=COUNTIF(OFFICIAL_ALLOCATIONS!$C$2:$C$111,C184),COUNTIFS($C$2:$C$221,C184,$D$2:$D$221,D184,$H$2:$H$221,"&lt;&gt;")=COUNTIF(OFFICIAL_ALLOCATIONS!$C$2:$C$111,C184)),"COMPLETE","SECTOR DATA INCOMPLETE"))</f>
        <v>FACILITY DATA MISSING</v>
      </c>
      <c r="J184" s="31" t="str">
        <f t="shared" si="3"/>
        <v/>
      </c>
      <c r="K184" s="62" t="str">
        <f>IF(COUNTIFS(POLICY_PARAMETERS!$B$2:$B$13,"g",POLICY_PARAMETERS!$E$2:$E$13,C184,POLICY_PARAMETERS!$F$2:$F$13,D184,POLICY_PARAMETERS!$G$2:$G$13,"&lt;&gt;")=0,"",SUMIFS(POLICY_PARAMETERS!$G$2:$G$13,POLICY_PARAMETERS!$B$2:$B$13,"g",POLICY_PARAMETERS!$E$2:$E$13,C184,POLICY_PARAMETERS!$F$2:$F$13,D184))</f>
        <v/>
      </c>
      <c r="L184" s="62" t="str">
        <f>IF(COUNTIFS(POLICY_PARAMETERS!$B$2:$B$13,"r",POLICY_PARAMETERS!$E$2:$E$13,C184,POLICY_PARAMETERS!$F$2:$F$13,D184,POLICY_PARAMETERS!$G$2:$G$13,"&lt;&gt;")=0,"",SUMIFS(POLICY_PARAMETERS!$G$2:$G$13,POLICY_PARAMETERS!$B$2:$B$13,"r",POLICY_PARAMETERS!$E$2:$E$13,C184,POLICY_PARAMETERS!$F$2:$F$13,D184))</f>
        <v/>
      </c>
      <c r="M184" s="61" t="str">
        <f t="shared" si="4"/>
        <v/>
      </c>
      <c r="N184" s="56" t="str">
        <f t="shared" si="5"/>
        <v/>
      </c>
      <c r="O184" s="26">
        <f>IF(D184=2025,IFERROR(VLOOKUP(A184,OFFICIAL_ALLOCATIONS!$A$2:$F$111,5,FALSE),""),IFERROR(VLOOKUP(A184,OFFICIAL_ALLOCATIONS!$A$2:$F$111,6,FALSE),""))</f>
        <v>2510131</v>
      </c>
      <c r="P184" s="42" t="str">
        <f t="shared" si="6"/>
        <v/>
      </c>
      <c r="Q184" s="28" t="str">
        <f t="shared" si="7"/>
        <v/>
      </c>
      <c r="R184" s="5" t="str">
        <f t="shared" si="8"/>
        <v>MISSING HISTORICAL DATA</v>
      </c>
      <c r="S184" s="5" t="s">
        <v>179</v>
      </c>
      <c r="T184" s="5" t="s">
        <v>59</v>
      </c>
    </row>
    <row r="185" ht="15.75" customHeight="1">
      <c r="A185" s="5" t="s">
        <v>1064</v>
      </c>
      <c r="B185" s="5" t="s">
        <v>405</v>
      </c>
      <c r="C185" s="5" t="s">
        <v>123</v>
      </c>
      <c r="D185" s="5">
        <v>2026.0</v>
      </c>
      <c r="E185" s="5">
        <f t="shared" si="1"/>
        <v>2023</v>
      </c>
      <c r="F185" s="8">
        <f t="shared" si="2"/>
        <v>2025</v>
      </c>
      <c r="G185" s="31" t="str">
        <f>IF(COUNTIFS(HISTORICAL_DATA!$A$2:$A$441,$A185,HISTORICAL_DATA!$D$2:$D$441,"&gt;="&amp;$E185,HISTORICAL_DATA!$D$2:$D$441,"&lt;="&amp;$F185,HISTORICAL_DATA!$E$2:$E$441,"&lt;&gt;")&lt;3,"",SUMIFS(HISTORICAL_DATA!$E$2:$E$441,HISTORICAL_DATA!$A$2:$A$441,$A185,HISTORICAL_DATA!$D$2:$D$441,"&gt;="&amp;$E185,HISTORICAL_DATA!$D$2:$D$441,"&lt;="&amp;$F185)/3)</f>
        <v/>
      </c>
      <c r="H185" s="31" t="str">
        <f>IF(COUNTIFS(HISTORICAL_DATA!$A$2:$A$441,$A185,HISTORICAL_DATA!$D$2:$D$441,"&gt;="&amp;$E185,HISTORICAL_DATA!$D$2:$D$441,"&lt;="&amp;$F185,HISTORICAL_DATA!$G$2:$G$441,"&lt;&gt;")&lt;3,"",SUMIFS(HISTORICAL_DATA!$G$2:$G$441,HISTORICAL_DATA!$A$2:$A$441,$A185,HISTORICAL_DATA!$D$2:$D$441,"&gt;="&amp;$E185,HISTORICAL_DATA!$D$2:$D$441,"&lt;="&amp;$F185)/3)</f>
        <v/>
      </c>
      <c r="I185" s="31" t="str">
        <f>IF(OR(G185="",H185=""),"FACILITY DATA MISSING",IF(AND(COUNTIFS($C$2:$C$221,C185,$D$2:$D$221,D185,$G$2:$G$221,"&lt;&gt;")=COUNTIF(OFFICIAL_ALLOCATIONS!$C$2:$C$111,C185),COUNTIFS($C$2:$C$221,C185,$D$2:$D$221,D185,$H$2:$H$221,"&lt;&gt;")=COUNTIF(OFFICIAL_ALLOCATIONS!$C$2:$C$111,C185)),"COMPLETE","SECTOR DATA INCOMPLETE"))</f>
        <v>FACILITY DATA MISSING</v>
      </c>
      <c r="J185" s="31" t="str">
        <f t="shared" si="3"/>
        <v/>
      </c>
      <c r="K185" s="62" t="str">
        <f>IF(COUNTIFS(POLICY_PARAMETERS!$B$2:$B$13,"g",POLICY_PARAMETERS!$E$2:$E$13,C185,POLICY_PARAMETERS!$F$2:$F$13,D185,POLICY_PARAMETERS!$G$2:$G$13,"&lt;&gt;")=0,"",SUMIFS(POLICY_PARAMETERS!$G$2:$G$13,POLICY_PARAMETERS!$B$2:$B$13,"g",POLICY_PARAMETERS!$E$2:$E$13,C185,POLICY_PARAMETERS!$F$2:$F$13,D185))</f>
        <v/>
      </c>
      <c r="L185" s="62" t="str">
        <f>IF(COUNTIFS(POLICY_PARAMETERS!$B$2:$B$13,"r",POLICY_PARAMETERS!$E$2:$E$13,C185,POLICY_PARAMETERS!$F$2:$F$13,D185,POLICY_PARAMETERS!$G$2:$G$13,"&lt;&gt;")=0,"",SUMIFS(POLICY_PARAMETERS!$G$2:$G$13,POLICY_PARAMETERS!$B$2:$B$13,"r",POLICY_PARAMETERS!$E$2:$E$13,C185,POLICY_PARAMETERS!$F$2:$F$13,D185))</f>
        <v/>
      </c>
      <c r="M185" s="61" t="str">
        <f t="shared" si="4"/>
        <v/>
      </c>
      <c r="N185" s="56" t="str">
        <f t="shared" si="5"/>
        <v/>
      </c>
      <c r="O185" s="26">
        <f>IF(D185=2025,IFERROR(VLOOKUP(A185,OFFICIAL_ALLOCATIONS!$A$2:$F$111,5,FALSE),""),IFERROR(VLOOKUP(A185,OFFICIAL_ALLOCATIONS!$A$2:$F$111,6,FALSE),""))</f>
        <v>2746706</v>
      </c>
      <c r="P185" s="42" t="str">
        <f t="shared" si="6"/>
        <v/>
      </c>
      <c r="Q185" s="28" t="str">
        <f t="shared" si="7"/>
        <v/>
      </c>
      <c r="R185" s="5" t="str">
        <f t="shared" si="8"/>
        <v>MISSING HISTORICAL DATA</v>
      </c>
      <c r="S185" s="5" t="s">
        <v>179</v>
      </c>
      <c r="T185" s="5" t="s">
        <v>59</v>
      </c>
    </row>
    <row r="186" ht="15.75" customHeight="1">
      <c r="A186" s="5" t="s">
        <v>1065</v>
      </c>
      <c r="B186" s="5" t="s">
        <v>407</v>
      </c>
      <c r="C186" s="5" t="s">
        <v>123</v>
      </c>
      <c r="D186" s="5">
        <v>2025.0</v>
      </c>
      <c r="E186" s="5">
        <f t="shared" si="1"/>
        <v>2022</v>
      </c>
      <c r="F186" s="8">
        <f t="shared" si="2"/>
        <v>2024</v>
      </c>
      <c r="G186" s="31" t="str">
        <f>IF(COUNTIFS(HISTORICAL_DATA!$A$2:$A$441,$A186,HISTORICAL_DATA!$D$2:$D$441,"&gt;="&amp;$E186,HISTORICAL_DATA!$D$2:$D$441,"&lt;="&amp;$F186,HISTORICAL_DATA!$E$2:$E$441,"&lt;&gt;")&lt;3,"",SUMIFS(HISTORICAL_DATA!$E$2:$E$441,HISTORICAL_DATA!$A$2:$A$441,$A186,HISTORICAL_DATA!$D$2:$D$441,"&gt;="&amp;$E186,HISTORICAL_DATA!$D$2:$D$441,"&lt;="&amp;$F186)/3)</f>
        <v/>
      </c>
      <c r="H186" s="31" t="str">
        <f>IF(COUNTIFS(HISTORICAL_DATA!$A$2:$A$441,$A186,HISTORICAL_DATA!$D$2:$D$441,"&gt;="&amp;$E186,HISTORICAL_DATA!$D$2:$D$441,"&lt;="&amp;$F186,HISTORICAL_DATA!$G$2:$G$441,"&lt;&gt;")&lt;3,"",SUMIFS(HISTORICAL_DATA!$G$2:$G$441,HISTORICAL_DATA!$A$2:$A$441,$A186,HISTORICAL_DATA!$D$2:$D$441,"&gt;="&amp;$E186,HISTORICAL_DATA!$D$2:$D$441,"&lt;="&amp;$F186)/3)</f>
        <v/>
      </c>
      <c r="I186" s="31" t="str">
        <f>IF(OR(G186="",H186=""),"FACILITY DATA MISSING",IF(AND(COUNTIFS($C$2:$C$221,C186,$D$2:$D$221,D186,$G$2:$G$221,"&lt;&gt;")=COUNTIF(OFFICIAL_ALLOCATIONS!$C$2:$C$111,C186),COUNTIFS($C$2:$C$221,C186,$D$2:$D$221,D186,$H$2:$H$221,"&lt;&gt;")=COUNTIF(OFFICIAL_ALLOCATIONS!$C$2:$C$111,C186)),"COMPLETE","SECTOR DATA INCOMPLETE"))</f>
        <v>FACILITY DATA MISSING</v>
      </c>
      <c r="J186" s="31" t="str">
        <f t="shared" si="3"/>
        <v/>
      </c>
      <c r="K186" s="62" t="str">
        <f>IF(COUNTIFS(POLICY_PARAMETERS!$B$2:$B$13,"g",POLICY_PARAMETERS!$E$2:$E$13,C186,POLICY_PARAMETERS!$F$2:$F$13,D186,POLICY_PARAMETERS!$G$2:$G$13,"&lt;&gt;")=0,"",SUMIFS(POLICY_PARAMETERS!$G$2:$G$13,POLICY_PARAMETERS!$B$2:$B$13,"g",POLICY_PARAMETERS!$E$2:$E$13,C186,POLICY_PARAMETERS!$F$2:$F$13,D186))</f>
        <v/>
      </c>
      <c r="L186" s="62" t="str">
        <f>IF(COUNTIFS(POLICY_PARAMETERS!$B$2:$B$13,"r",POLICY_PARAMETERS!$E$2:$E$13,C186,POLICY_PARAMETERS!$F$2:$F$13,D186,POLICY_PARAMETERS!$G$2:$G$13,"&lt;&gt;")=0,"",SUMIFS(POLICY_PARAMETERS!$G$2:$G$13,POLICY_PARAMETERS!$B$2:$B$13,"r",POLICY_PARAMETERS!$E$2:$E$13,C186,POLICY_PARAMETERS!$F$2:$F$13,D186))</f>
        <v/>
      </c>
      <c r="M186" s="61" t="str">
        <f t="shared" si="4"/>
        <v/>
      </c>
      <c r="N186" s="56" t="str">
        <f t="shared" si="5"/>
        <v/>
      </c>
      <c r="O186" s="26">
        <f>IF(D186=2025,IFERROR(VLOOKUP(A186,OFFICIAL_ALLOCATIONS!$A$2:$F$111,5,FALSE),""),IFERROR(VLOOKUP(A186,OFFICIAL_ALLOCATIONS!$A$2:$F$111,6,FALSE),""))</f>
        <v>8511370</v>
      </c>
      <c r="P186" s="42" t="str">
        <f t="shared" si="6"/>
        <v/>
      </c>
      <c r="Q186" s="28" t="str">
        <f t="shared" si="7"/>
        <v/>
      </c>
      <c r="R186" s="5" t="str">
        <f t="shared" si="8"/>
        <v>MISSING HISTORICAL DATA</v>
      </c>
      <c r="S186" s="5" t="s">
        <v>179</v>
      </c>
      <c r="T186" s="5" t="s">
        <v>59</v>
      </c>
    </row>
    <row r="187" ht="15.75" customHeight="1">
      <c r="A187" s="5" t="s">
        <v>1065</v>
      </c>
      <c r="B187" s="5" t="s">
        <v>407</v>
      </c>
      <c r="C187" s="5" t="s">
        <v>123</v>
      </c>
      <c r="D187" s="5">
        <v>2026.0</v>
      </c>
      <c r="E187" s="5">
        <f t="shared" si="1"/>
        <v>2023</v>
      </c>
      <c r="F187" s="8">
        <f t="shared" si="2"/>
        <v>2025</v>
      </c>
      <c r="G187" s="31" t="str">
        <f>IF(COUNTIFS(HISTORICAL_DATA!$A$2:$A$441,$A187,HISTORICAL_DATA!$D$2:$D$441,"&gt;="&amp;$E187,HISTORICAL_DATA!$D$2:$D$441,"&lt;="&amp;$F187,HISTORICAL_DATA!$E$2:$E$441,"&lt;&gt;")&lt;3,"",SUMIFS(HISTORICAL_DATA!$E$2:$E$441,HISTORICAL_DATA!$A$2:$A$441,$A187,HISTORICAL_DATA!$D$2:$D$441,"&gt;="&amp;$E187,HISTORICAL_DATA!$D$2:$D$441,"&lt;="&amp;$F187)/3)</f>
        <v/>
      </c>
      <c r="H187" s="31" t="str">
        <f>IF(COUNTIFS(HISTORICAL_DATA!$A$2:$A$441,$A187,HISTORICAL_DATA!$D$2:$D$441,"&gt;="&amp;$E187,HISTORICAL_DATA!$D$2:$D$441,"&lt;="&amp;$F187,HISTORICAL_DATA!$G$2:$G$441,"&lt;&gt;")&lt;3,"",SUMIFS(HISTORICAL_DATA!$G$2:$G$441,HISTORICAL_DATA!$A$2:$A$441,$A187,HISTORICAL_DATA!$D$2:$D$441,"&gt;="&amp;$E187,HISTORICAL_DATA!$D$2:$D$441,"&lt;="&amp;$F187)/3)</f>
        <v/>
      </c>
      <c r="I187" s="31" t="str">
        <f>IF(OR(G187="",H187=""),"FACILITY DATA MISSING",IF(AND(COUNTIFS($C$2:$C$221,C187,$D$2:$D$221,D187,$G$2:$G$221,"&lt;&gt;")=COUNTIF(OFFICIAL_ALLOCATIONS!$C$2:$C$111,C187),COUNTIFS($C$2:$C$221,C187,$D$2:$D$221,D187,$H$2:$H$221,"&lt;&gt;")=COUNTIF(OFFICIAL_ALLOCATIONS!$C$2:$C$111,C187)),"COMPLETE","SECTOR DATA INCOMPLETE"))</f>
        <v>FACILITY DATA MISSING</v>
      </c>
      <c r="J187" s="31" t="str">
        <f t="shared" si="3"/>
        <v/>
      </c>
      <c r="K187" s="62" t="str">
        <f>IF(COUNTIFS(POLICY_PARAMETERS!$B$2:$B$13,"g",POLICY_PARAMETERS!$E$2:$E$13,C187,POLICY_PARAMETERS!$F$2:$F$13,D187,POLICY_PARAMETERS!$G$2:$G$13,"&lt;&gt;")=0,"",SUMIFS(POLICY_PARAMETERS!$G$2:$G$13,POLICY_PARAMETERS!$B$2:$B$13,"g",POLICY_PARAMETERS!$E$2:$E$13,C187,POLICY_PARAMETERS!$F$2:$F$13,D187))</f>
        <v/>
      </c>
      <c r="L187" s="62" t="str">
        <f>IF(COUNTIFS(POLICY_PARAMETERS!$B$2:$B$13,"r",POLICY_PARAMETERS!$E$2:$E$13,C187,POLICY_PARAMETERS!$F$2:$F$13,D187,POLICY_PARAMETERS!$G$2:$G$13,"&lt;&gt;")=0,"",SUMIFS(POLICY_PARAMETERS!$G$2:$G$13,POLICY_PARAMETERS!$B$2:$B$13,"r",POLICY_PARAMETERS!$E$2:$E$13,C187,POLICY_PARAMETERS!$F$2:$F$13,D187))</f>
        <v/>
      </c>
      <c r="M187" s="61" t="str">
        <f t="shared" si="4"/>
        <v/>
      </c>
      <c r="N187" s="56" t="str">
        <f t="shared" si="5"/>
        <v/>
      </c>
      <c r="O187" s="26">
        <f>IF(D187=2025,IFERROR(VLOOKUP(A187,OFFICIAL_ALLOCATIONS!$A$2:$F$111,5,FALSE),""),IFERROR(VLOOKUP(A187,OFFICIAL_ALLOCATIONS!$A$2:$F$111,6,FALSE),""))</f>
        <v>9313550</v>
      </c>
      <c r="P187" s="42" t="str">
        <f t="shared" si="6"/>
        <v/>
      </c>
      <c r="Q187" s="28" t="str">
        <f t="shared" si="7"/>
        <v/>
      </c>
      <c r="R187" s="5" t="str">
        <f t="shared" si="8"/>
        <v>MISSING HISTORICAL DATA</v>
      </c>
      <c r="S187" s="5" t="s">
        <v>179</v>
      </c>
      <c r="T187" s="5" t="s">
        <v>59</v>
      </c>
    </row>
    <row r="188" ht="15.75" customHeight="1">
      <c r="A188" s="5" t="s">
        <v>1066</v>
      </c>
      <c r="B188" s="5" t="s">
        <v>409</v>
      </c>
      <c r="C188" s="5" t="s">
        <v>123</v>
      </c>
      <c r="D188" s="5">
        <v>2025.0</v>
      </c>
      <c r="E188" s="5">
        <f t="shared" si="1"/>
        <v>2022</v>
      </c>
      <c r="F188" s="8">
        <f t="shared" si="2"/>
        <v>2024</v>
      </c>
      <c r="G188" s="31" t="str">
        <f>IF(COUNTIFS(HISTORICAL_DATA!$A$2:$A$441,$A188,HISTORICAL_DATA!$D$2:$D$441,"&gt;="&amp;$E188,HISTORICAL_DATA!$D$2:$D$441,"&lt;="&amp;$F188,HISTORICAL_DATA!$E$2:$E$441,"&lt;&gt;")&lt;3,"",SUMIFS(HISTORICAL_DATA!$E$2:$E$441,HISTORICAL_DATA!$A$2:$A$441,$A188,HISTORICAL_DATA!$D$2:$D$441,"&gt;="&amp;$E188,HISTORICAL_DATA!$D$2:$D$441,"&lt;="&amp;$F188)/3)</f>
        <v/>
      </c>
      <c r="H188" s="31" t="str">
        <f>IF(COUNTIFS(HISTORICAL_DATA!$A$2:$A$441,$A188,HISTORICAL_DATA!$D$2:$D$441,"&gt;="&amp;$E188,HISTORICAL_DATA!$D$2:$D$441,"&lt;="&amp;$F188,HISTORICAL_DATA!$G$2:$G$441,"&lt;&gt;")&lt;3,"",SUMIFS(HISTORICAL_DATA!$G$2:$G$441,HISTORICAL_DATA!$A$2:$A$441,$A188,HISTORICAL_DATA!$D$2:$D$441,"&gt;="&amp;$E188,HISTORICAL_DATA!$D$2:$D$441,"&lt;="&amp;$F188)/3)</f>
        <v/>
      </c>
      <c r="I188" s="31" t="str">
        <f>IF(OR(G188="",H188=""),"FACILITY DATA MISSING",IF(AND(COUNTIFS($C$2:$C$221,C188,$D$2:$D$221,D188,$G$2:$G$221,"&lt;&gt;")=COUNTIF(OFFICIAL_ALLOCATIONS!$C$2:$C$111,C188),COUNTIFS($C$2:$C$221,C188,$D$2:$D$221,D188,$H$2:$H$221,"&lt;&gt;")=COUNTIF(OFFICIAL_ALLOCATIONS!$C$2:$C$111,C188)),"COMPLETE","SECTOR DATA INCOMPLETE"))</f>
        <v>FACILITY DATA MISSING</v>
      </c>
      <c r="J188" s="31" t="str">
        <f t="shared" si="3"/>
        <v/>
      </c>
      <c r="K188" s="62" t="str">
        <f>IF(COUNTIFS(POLICY_PARAMETERS!$B$2:$B$13,"g",POLICY_PARAMETERS!$E$2:$E$13,C188,POLICY_PARAMETERS!$F$2:$F$13,D188,POLICY_PARAMETERS!$G$2:$G$13,"&lt;&gt;")=0,"",SUMIFS(POLICY_PARAMETERS!$G$2:$G$13,POLICY_PARAMETERS!$B$2:$B$13,"g",POLICY_PARAMETERS!$E$2:$E$13,C188,POLICY_PARAMETERS!$F$2:$F$13,D188))</f>
        <v/>
      </c>
      <c r="L188" s="62" t="str">
        <f>IF(COUNTIFS(POLICY_PARAMETERS!$B$2:$B$13,"r",POLICY_PARAMETERS!$E$2:$E$13,C188,POLICY_PARAMETERS!$F$2:$F$13,D188,POLICY_PARAMETERS!$G$2:$G$13,"&lt;&gt;")=0,"",SUMIFS(POLICY_PARAMETERS!$G$2:$G$13,POLICY_PARAMETERS!$B$2:$B$13,"r",POLICY_PARAMETERS!$E$2:$E$13,C188,POLICY_PARAMETERS!$F$2:$F$13,D188))</f>
        <v/>
      </c>
      <c r="M188" s="61" t="str">
        <f t="shared" si="4"/>
        <v/>
      </c>
      <c r="N188" s="56" t="str">
        <f t="shared" si="5"/>
        <v/>
      </c>
      <c r="O188" s="26">
        <f>IF(D188=2025,IFERROR(VLOOKUP(A188,OFFICIAL_ALLOCATIONS!$A$2:$F$111,5,FALSE),""),IFERROR(VLOOKUP(A188,OFFICIAL_ALLOCATIONS!$A$2:$F$111,6,FALSE),""))</f>
        <v>499301</v>
      </c>
      <c r="P188" s="42" t="str">
        <f t="shared" si="6"/>
        <v/>
      </c>
      <c r="Q188" s="28" t="str">
        <f t="shared" si="7"/>
        <v/>
      </c>
      <c r="R188" s="5" t="str">
        <f t="shared" si="8"/>
        <v>MISSING HISTORICAL DATA</v>
      </c>
      <c r="S188" s="5" t="s">
        <v>179</v>
      </c>
      <c r="T188" s="5" t="s">
        <v>59</v>
      </c>
    </row>
    <row r="189" ht="15.75" customHeight="1">
      <c r="A189" s="5" t="s">
        <v>1066</v>
      </c>
      <c r="B189" s="5" t="s">
        <v>409</v>
      </c>
      <c r="C189" s="5" t="s">
        <v>123</v>
      </c>
      <c r="D189" s="5">
        <v>2026.0</v>
      </c>
      <c r="E189" s="5">
        <f t="shared" si="1"/>
        <v>2023</v>
      </c>
      <c r="F189" s="8">
        <f t="shared" si="2"/>
        <v>2025</v>
      </c>
      <c r="G189" s="31" t="str">
        <f>IF(COUNTIFS(HISTORICAL_DATA!$A$2:$A$441,$A189,HISTORICAL_DATA!$D$2:$D$441,"&gt;="&amp;$E189,HISTORICAL_DATA!$D$2:$D$441,"&lt;="&amp;$F189,HISTORICAL_DATA!$E$2:$E$441,"&lt;&gt;")&lt;3,"",SUMIFS(HISTORICAL_DATA!$E$2:$E$441,HISTORICAL_DATA!$A$2:$A$441,$A189,HISTORICAL_DATA!$D$2:$D$441,"&gt;="&amp;$E189,HISTORICAL_DATA!$D$2:$D$441,"&lt;="&amp;$F189)/3)</f>
        <v/>
      </c>
      <c r="H189" s="31" t="str">
        <f>IF(COUNTIFS(HISTORICAL_DATA!$A$2:$A$441,$A189,HISTORICAL_DATA!$D$2:$D$441,"&gt;="&amp;$E189,HISTORICAL_DATA!$D$2:$D$441,"&lt;="&amp;$F189,HISTORICAL_DATA!$G$2:$G$441,"&lt;&gt;")&lt;3,"",SUMIFS(HISTORICAL_DATA!$G$2:$G$441,HISTORICAL_DATA!$A$2:$A$441,$A189,HISTORICAL_DATA!$D$2:$D$441,"&gt;="&amp;$E189,HISTORICAL_DATA!$D$2:$D$441,"&lt;="&amp;$F189)/3)</f>
        <v/>
      </c>
      <c r="I189" s="31" t="str">
        <f>IF(OR(G189="",H189=""),"FACILITY DATA MISSING",IF(AND(COUNTIFS($C$2:$C$221,C189,$D$2:$D$221,D189,$G$2:$G$221,"&lt;&gt;")=COUNTIF(OFFICIAL_ALLOCATIONS!$C$2:$C$111,C189),COUNTIFS($C$2:$C$221,C189,$D$2:$D$221,D189,$H$2:$H$221,"&lt;&gt;")=COUNTIF(OFFICIAL_ALLOCATIONS!$C$2:$C$111,C189)),"COMPLETE","SECTOR DATA INCOMPLETE"))</f>
        <v>FACILITY DATA MISSING</v>
      </c>
      <c r="J189" s="31" t="str">
        <f t="shared" si="3"/>
        <v/>
      </c>
      <c r="K189" s="62" t="str">
        <f>IF(COUNTIFS(POLICY_PARAMETERS!$B$2:$B$13,"g",POLICY_PARAMETERS!$E$2:$E$13,C189,POLICY_PARAMETERS!$F$2:$F$13,D189,POLICY_PARAMETERS!$G$2:$G$13,"&lt;&gt;")=0,"",SUMIFS(POLICY_PARAMETERS!$G$2:$G$13,POLICY_PARAMETERS!$B$2:$B$13,"g",POLICY_PARAMETERS!$E$2:$E$13,C189,POLICY_PARAMETERS!$F$2:$F$13,D189))</f>
        <v/>
      </c>
      <c r="L189" s="62" t="str">
        <f>IF(COUNTIFS(POLICY_PARAMETERS!$B$2:$B$13,"r",POLICY_PARAMETERS!$E$2:$E$13,C189,POLICY_PARAMETERS!$F$2:$F$13,D189,POLICY_PARAMETERS!$G$2:$G$13,"&lt;&gt;")=0,"",SUMIFS(POLICY_PARAMETERS!$G$2:$G$13,POLICY_PARAMETERS!$B$2:$B$13,"r",POLICY_PARAMETERS!$E$2:$E$13,C189,POLICY_PARAMETERS!$F$2:$F$13,D189))</f>
        <v/>
      </c>
      <c r="M189" s="61" t="str">
        <f t="shared" si="4"/>
        <v/>
      </c>
      <c r="N189" s="56" t="str">
        <f t="shared" si="5"/>
        <v/>
      </c>
      <c r="O189" s="26">
        <f>IF(D189=2025,IFERROR(VLOOKUP(A189,OFFICIAL_ALLOCATIONS!$A$2:$F$111,5,FALSE),""),IFERROR(VLOOKUP(A189,OFFICIAL_ALLOCATIONS!$A$2:$F$111,6,FALSE),""))</f>
        <v>546359</v>
      </c>
      <c r="P189" s="42" t="str">
        <f t="shared" si="6"/>
        <v/>
      </c>
      <c r="Q189" s="28" t="str">
        <f t="shared" si="7"/>
        <v/>
      </c>
      <c r="R189" s="5" t="str">
        <f t="shared" si="8"/>
        <v>MISSING HISTORICAL DATA</v>
      </c>
      <c r="S189" s="5" t="s">
        <v>179</v>
      </c>
      <c r="T189" s="5" t="s">
        <v>59</v>
      </c>
    </row>
    <row r="190" ht="15.75" customHeight="1">
      <c r="A190" s="5" t="s">
        <v>1067</v>
      </c>
      <c r="B190" s="5" t="s">
        <v>411</v>
      </c>
      <c r="C190" s="5" t="s">
        <v>123</v>
      </c>
      <c r="D190" s="5">
        <v>2025.0</v>
      </c>
      <c r="E190" s="5">
        <f t="shared" si="1"/>
        <v>2022</v>
      </c>
      <c r="F190" s="8">
        <f t="shared" si="2"/>
        <v>2024</v>
      </c>
      <c r="G190" s="31" t="str">
        <f>IF(COUNTIFS(HISTORICAL_DATA!$A$2:$A$441,$A190,HISTORICAL_DATA!$D$2:$D$441,"&gt;="&amp;$E190,HISTORICAL_DATA!$D$2:$D$441,"&lt;="&amp;$F190,HISTORICAL_DATA!$E$2:$E$441,"&lt;&gt;")&lt;3,"",SUMIFS(HISTORICAL_DATA!$E$2:$E$441,HISTORICAL_DATA!$A$2:$A$441,$A190,HISTORICAL_DATA!$D$2:$D$441,"&gt;="&amp;$E190,HISTORICAL_DATA!$D$2:$D$441,"&lt;="&amp;$F190)/3)</f>
        <v/>
      </c>
      <c r="H190" s="31" t="str">
        <f>IF(COUNTIFS(HISTORICAL_DATA!$A$2:$A$441,$A190,HISTORICAL_DATA!$D$2:$D$441,"&gt;="&amp;$E190,HISTORICAL_DATA!$D$2:$D$441,"&lt;="&amp;$F190,HISTORICAL_DATA!$G$2:$G$441,"&lt;&gt;")&lt;3,"",SUMIFS(HISTORICAL_DATA!$G$2:$G$441,HISTORICAL_DATA!$A$2:$A$441,$A190,HISTORICAL_DATA!$D$2:$D$441,"&gt;="&amp;$E190,HISTORICAL_DATA!$D$2:$D$441,"&lt;="&amp;$F190)/3)</f>
        <v/>
      </c>
      <c r="I190" s="31" t="str">
        <f>IF(OR(G190="",H190=""),"FACILITY DATA MISSING",IF(AND(COUNTIFS($C$2:$C$221,C190,$D$2:$D$221,D190,$G$2:$G$221,"&lt;&gt;")=COUNTIF(OFFICIAL_ALLOCATIONS!$C$2:$C$111,C190),COUNTIFS($C$2:$C$221,C190,$D$2:$D$221,D190,$H$2:$H$221,"&lt;&gt;")=COUNTIF(OFFICIAL_ALLOCATIONS!$C$2:$C$111,C190)),"COMPLETE","SECTOR DATA INCOMPLETE"))</f>
        <v>FACILITY DATA MISSING</v>
      </c>
      <c r="J190" s="31" t="str">
        <f t="shared" si="3"/>
        <v/>
      </c>
      <c r="K190" s="62" t="str">
        <f>IF(COUNTIFS(POLICY_PARAMETERS!$B$2:$B$13,"g",POLICY_PARAMETERS!$E$2:$E$13,C190,POLICY_PARAMETERS!$F$2:$F$13,D190,POLICY_PARAMETERS!$G$2:$G$13,"&lt;&gt;")=0,"",SUMIFS(POLICY_PARAMETERS!$G$2:$G$13,POLICY_PARAMETERS!$B$2:$B$13,"g",POLICY_PARAMETERS!$E$2:$E$13,C190,POLICY_PARAMETERS!$F$2:$F$13,D190))</f>
        <v/>
      </c>
      <c r="L190" s="62" t="str">
        <f>IF(COUNTIFS(POLICY_PARAMETERS!$B$2:$B$13,"r",POLICY_PARAMETERS!$E$2:$E$13,C190,POLICY_PARAMETERS!$F$2:$F$13,D190,POLICY_PARAMETERS!$G$2:$G$13,"&lt;&gt;")=0,"",SUMIFS(POLICY_PARAMETERS!$G$2:$G$13,POLICY_PARAMETERS!$B$2:$B$13,"r",POLICY_PARAMETERS!$E$2:$E$13,C190,POLICY_PARAMETERS!$F$2:$F$13,D190))</f>
        <v/>
      </c>
      <c r="M190" s="61" t="str">
        <f t="shared" si="4"/>
        <v/>
      </c>
      <c r="N190" s="56" t="str">
        <f t="shared" si="5"/>
        <v/>
      </c>
      <c r="O190" s="26">
        <f>IF(D190=2025,IFERROR(VLOOKUP(A190,OFFICIAL_ALLOCATIONS!$A$2:$F$111,5,FALSE),""),IFERROR(VLOOKUP(A190,OFFICIAL_ALLOCATIONS!$A$2:$F$111,6,FALSE),""))</f>
        <v>3875392</v>
      </c>
      <c r="P190" s="42" t="str">
        <f t="shared" si="6"/>
        <v/>
      </c>
      <c r="Q190" s="28" t="str">
        <f t="shared" si="7"/>
        <v/>
      </c>
      <c r="R190" s="5" t="str">
        <f t="shared" si="8"/>
        <v>MISSING HISTORICAL DATA</v>
      </c>
      <c r="S190" s="5" t="s">
        <v>179</v>
      </c>
      <c r="T190" s="5" t="s">
        <v>59</v>
      </c>
    </row>
    <row r="191" ht="15.75" customHeight="1">
      <c r="A191" s="5" t="s">
        <v>1067</v>
      </c>
      <c r="B191" s="5" t="s">
        <v>411</v>
      </c>
      <c r="C191" s="5" t="s">
        <v>123</v>
      </c>
      <c r="D191" s="5">
        <v>2026.0</v>
      </c>
      <c r="E191" s="5">
        <f t="shared" si="1"/>
        <v>2023</v>
      </c>
      <c r="F191" s="8">
        <f t="shared" si="2"/>
        <v>2025</v>
      </c>
      <c r="G191" s="31" t="str">
        <f>IF(COUNTIFS(HISTORICAL_DATA!$A$2:$A$441,$A191,HISTORICAL_DATA!$D$2:$D$441,"&gt;="&amp;$E191,HISTORICAL_DATA!$D$2:$D$441,"&lt;="&amp;$F191,HISTORICAL_DATA!$E$2:$E$441,"&lt;&gt;")&lt;3,"",SUMIFS(HISTORICAL_DATA!$E$2:$E$441,HISTORICAL_DATA!$A$2:$A$441,$A191,HISTORICAL_DATA!$D$2:$D$441,"&gt;="&amp;$E191,HISTORICAL_DATA!$D$2:$D$441,"&lt;="&amp;$F191)/3)</f>
        <v/>
      </c>
      <c r="H191" s="31" t="str">
        <f>IF(COUNTIFS(HISTORICAL_DATA!$A$2:$A$441,$A191,HISTORICAL_DATA!$D$2:$D$441,"&gt;="&amp;$E191,HISTORICAL_DATA!$D$2:$D$441,"&lt;="&amp;$F191,HISTORICAL_DATA!$G$2:$G$441,"&lt;&gt;")&lt;3,"",SUMIFS(HISTORICAL_DATA!$G$2:$G$441,HISTORICAL_DATA!$A$2:$A$441,$A191,HISTORICAL_DATA!$D$2:$D$441,"&gt;="&amp;$E191,HISTORICAL_DATA!$D$2:$D$441,"&lt;="&amp;$F191)/3)</f>
        <v/>
      </c>
      <c r="I191" s="31" t="str">
        <f>IF(OR(G191="",H191=""),"FACILITY DATA MISSING",IF(AND(COUNTIFS($C$2:$C$221,C191,$D$2:$D$221,D191,$G$2:$G$221,"&lt;&gt;")=COUNTIF(OFFICIAL_ALLOCATIONS!$C$2:$C$111,C191),COUNTIFS($C$2:$C$221,C191,$D$2:$D$221,D191,$H$2:$H$221,"&lt;&gt;")=COUNTIF(OFFICIAL_ALLOCATIONS!$C$2:$C$111,C191)),"COMPLETE","SECTOR DATA INCOMPLETE"))</f>
        <v>FACILITY DATA MISSING</v>
      </c>
      <c r="J191" s="31" t="str">
        <f t="shared" si="3"/>
        <v/>
      </c>
      <c r="K191" s="62" t="str">
        <f>IF(COUNTIFS(POLICY_PARAMETERS!$B$2:$B$13,"g",POLICY_PARAMETERS!$E$2:$E$13,C191,POLICY_PARAMETERS!$F$2:$F$13,D191,POLICY_PARAMETERS!$G$2:$G$13,"&lt;&gt;")=0,"",SUMIFS(POLICY_PARAMETERS!$G$2:$G$13,POLICY_PARAMETERS!$B$2:$B$13,"g",POLICY_PARAMETERS!$E$2:$E$13,C191,POLICY_PARAMETERS!$F$2:$F$13,D191))</f>
        <v/>
      </c>
      <c r="L191" s="62" t="str">
        <f>IF(COUNTIFS(POLICY_PARAMETERS!$B$2:$B$13,"r",POLICY_PARAMETERS!$E$2:$E$13,C191,POLICY_PARAMETERS!$F$2:$F$13,D191,POLICY_PARAMETERS!$G$2:$G$13,"&lt;&gt;")=0,"",SUMIFS(POLICY_PARAMETERS!$G$2:$G$13,POLICY_PARAMETERS!$B$2:$B$13,"r",POLICY_PARAMETERS!$E$2:$E$13,C191,POLICY_PARAMETERS!$F$2:$F$13,D191))</f>
        <v/>
      </c>
      <c r="M191" s="61" t="str">
        <f t="shared" si="4"/>
        <v/>
      </c>
      <c r="N191" s="56" t="str">
        <f t="shared" si="5"/>
        <v/>
      </c>
      <c r="O191" s="26">
        <f>IF(D191=2025,IFERROR(VLOOKUP(A191,OFFICIAL_ALLOCATIONS!$A$2:$F$111,5,FALSE),""),IFERROR(VLOOKUP(A191,OFFICIAL_ALLOCATIONS!$A$2:$F$111,6,FALSE),""))</f>
        <v>4240640</v>
      </c>
      <c r="P191" s="42" t="str">
        <f t="shared" si="6"/>
        <v/>
      </c>
      <c r="Q191" s="28" t="str">
        <f t="shared" si="7"/>
        <v/>
      </c>
      <c r="R191" s="5" t="str">
        <f t="shared" si="8"/>
        <v>MISSING HISTORICAL DATA</v>
      </c>
      <c r="S191" s="5" t="s">
        <v>179</v>
      </c>
      <c r="T191" s="5" t="s">
        <v>59</v>
      </c>
    </row>
    <row r="192" ht="15.75" customHeight="1">
      <c r="A192" s="5" t="s">
        <v>1068</v>
      </c>
      <c r="B192" s="5" t="s">
        <v>413</v>
      </c>
      <c r="C192" s="5" t="s">
        <v>123</v>
      </c>
      <c r="D192" s="5">
        <v>2025.0</v>
      </c>
      <c r="E192" s="5">
        <f t="shared" si="1"/>
        <v>2022</v>
      </c>
      <c r="F192" s="8">
        <f t="shared" si="2"/>
        <v>2024</v>
      </c>
      <c r="G192" s="31" t="str">
        <f>IF(COUNTIFS(HISTORICAL_DATA!$A$2:$A$441,$A192,HISTORICAL_DATA!$D$2:$D$441,"&gt;="&amp;$E192,HISTORICAL_DATA!$D$2:$D$441,"&lt;="&amp;$F192,HISTORICAL_DATA!$E$2:$E$441,"&lt;&gt;")&lt;3,"",SUMIFS(HISTORICAL_DATA!$E$2:$E$441,HISTORICAL_DATA!$A$2:$A$441,$A192,HISTORICAL_DATA!$D$2:$D$441,"&gt;="&amp;$E192,HISTORICAL_DATA!$D$2:$D$441,"&lt;="&amp;$F192)/3)</f>
        <v/>
      </c>
      <c r="H192" s="31" t="str">
        <f>IF(COUNTIFS(HISTORICAL_DATA!$A$2:$A$441,$A192,HISTORICAL_DATA!$D$2:$D$441,"&gt;="&amp;$E192,HISTORICAL_DATA!$D$2:$D$441,"&lt;="&amp;$F192,HISTORICAL_DATA!$G$2:$G$441,"&lt;&gt;")&lt;3,"",SUMIFS(HISTORICAL_DATA!$G$2:$G$441,HISTORICAL_DATA!$A$2:$A$441,$A192,HISTORICAL_DATA!$D$2:$D$441,"&gt;="&amp;$E192,HISTORICAL_DATA!$D$2:$D$441,"&lt;="&amp;$F192)/3)</f>
        <v/>
      </c>
      <c r="I192" s="31" t="str">
        <f>IF(OR(G192="",H192=""),"FACILITY DATA MISSING",IF(AND(COUNTIFS($C$2:$C$221,C192,$D$2:$D$221,D192,$G$2:$G$221,"&lt;&gt;")=COUNTIF(OFFICIAL_ALLOCATIONS!$C$2:$C$111,C192),COUNTIFS($C$2:$C$221,C192,$D$2:$D$221,D192,$H$2:$H$221,"&lt;&gt;")=COUNTIF(OFFICIAL_ALLOCATIONS!$C$2:$C$111,C192)),"COMPLETE","SECTOR DATA INCOMPLETE"))</f>
        <v>FACILITY DATA MISSING</v>
      </c>
      <c r="J192" s="31" t="str">
        <f t="shared" si="3"/>
        <v/>
      </c>
      <c r="K192" s="62" t="str">
        <f>IF(COUNTIFS(POLICY_PARAMETERS!$B$2:$B$13,"g",POLICY_PARAMETERS!$E$2:$E$13,C192,POLICY_PARAMETERS!$F$2:$F$13,D192,POLICY_PARAMETERS!$G$2:$G$13,"&lt;&gt;")=0,"",SUMIFS(POLICY_PARAMETERS!$G$2:$G$13,POLICY_PARAMETERS!$B$2:$B$13,"g",POLICY_PARAMETERS!$E$2:$E$13,C192,POLICY_PARAMETERS!$F$2:$F$13,D192))</f>
        <v/>
      </c>
      <c r="L192" s="62" t="str">
        <f>IF(COUNTIFS(POLICY_PARAMETERS!$B$2:$B$13,"r",POLICY_PARAMETERS!$E$2:$E$13,C192,POLICY_PARAMETERS!$F$2:$F$13,D192,POLICY_PARAMETERS!$G$2:$G$13,"&lt;&gt;")=0,"",SUMIFS(POLICY_PARAMETERS!$G$2:$G$13,POLICY_PARAMETERS!$B$2:$B$13,"r",POLICY_PARAMETERS!$E$2:$E$13,C192,POLICY_PARAMETERS!$F$2:$F$13,D192))</f>
        <v/>
      </c>
      <c r="M192" s="61" t="str">
        <f t="shared" si="4"/>
        <v/>
      </c>
      <c r="N192" s="56" t="str">
        <f t="shared" si="5"/>
        <v/>
      </c>
      <c r="O192" s="26">
        <f>IF(D192=2025,IFERROR(VLOOKUP(A192,OFFICIAL_ALLOCATIONS!$A$2:$F$111,5,FALSE),""),IFERROR(VLOOKUP(A192,OFFICIAL_ALLOCATIONS!$A$2:$F$111,6,FALSE),""))</f>
        <v>841042</v>
      </c>
      <c r="P192" s="42" t="str">
        <f t="shared" si="6"/>
        <v/>
      </c>
      <c r="Q192" s="28" t="str">
        <f t="shared" si="7"/>
        <v/>
      </c>
      <c r="R192" s="5" t="str">
        <f t="shared" si="8"/>
        <v>MISSING HISTORICAL DATA</v>
      </c>
      <c r="S192" s="5" t="s">
        <v>179</v>
      </c>
      <c r="T192" s="5" t="s">
        <v>59</v>
      </c>
    </row>
    <row r="193" ht="15.75" customHeight="1">
      <c r="A193" s="5" t="s">
        <v>1068</v>
      </c>
      <c r="B193" s="5" t="s">
        <v>413</v>
      </c>
      <c r="C193" s="5" t="s">
        <v>123</v>
      </c>
      <c r="D193" s="5">
        <v>2026.0</v>
      </c>
      <c r="E193" s="5">
        <f t="shared" si="1"/>
        <v>2023</v>
      </c>
      <c r="F193" s="8">
        <f t="shared" si="2"/>
        <v>2025</v>
      </c>
      <c r="G193" s="31" t="str">
        <f>IF(COUNTIFS(HISTORICAL_DATA!$A$2:$A$441,$A193,HISTORICAL_DATA!$D$2:$D$441,"&gt;="&amp;$E193,HISTORICAL_DATA!$D$2:$D$441,"&lt;="&amp;$F193,HISTORICAL_DATA!$E$2:$E$441,"&lt;&gt;")&lt;3,"",SUMIFS(HISTORICAL_DATA!$E$2:$E$441,HISTORICAL_DATA!$A$2:$A$441,$A193,HISTORICAL_DATA!$D$2:$D$441,"&gt;="&amp;$E193,HISTORICAL_DATA!$D$2:$D$441,"&lt;="&amp;$F193)/3)</f>
        <v/>
      </c>
      <c r="H193" s="31" t="str">
        <f>IF(COUNTIFS(HISTORICAL_DATA!$A$2:$A$441,$A193,HISTORICAL_DATA!$D$2:$D$441,"&gt;="&amp;$E193,HISTORICAL_DATA!$D$2:$D$441,"&lt;="&amp;$F193,HISTORICAL_DATA!$G$2:$G$441,"&lt;&gt;")&lt;3,"",SUMIFS(HISTORICAL_DATA!$G$2:$G$441,HISTORICAL_DATA!$A$2:$A$441,$A193,HISTORICAL_DATA!$D$2:$D$441,"&gt;="&amp;$E193,HISTORICAL_DATA!$D$2:$D$441,"&lt;="&amp;$F193)/3)</f>
        <v/>
      </c>
      <c r="I193" s="31" t="str">
        <f>IF(OR(G193="",H193=""),"FACILITY DATA MISSING",IF(AND(COUNTIFS($C$2:$C$221,C193,$D$2:$D$221,D193,$G$2:$G$221,"&lt;&gt;")=COUNTIF(OFFICIAL_ALLOCATIONS!$C$2:$C$111,C193),COUNTIFS($C$2:$C$221,C193,$D$2:$D$221,D193,$H$2:$H$221,"&lt;&gt;")=COUNTIF(OFFICIAL_ALLOCATIONS!$C$2:$C$111,C193)),"COMPLETE","SECTOR DATA INCOMPLETE"))</f>
        <v>FACILITY DATA MISSING</v>
      </c>
      <c r="J193" s="31" t="str">
        <f t="shared" si="3"/>
        <v/>
      </c>
      <c r="K193" s="62" t="str">
        <f>IF(COUNTIFS(POLICY_PARAMETERS!$B$2:$B$13,"g",POLICY_PARAMETERS!$E$2:$E$13,C193,POLICY_PARAMETERS!$F$2:$F$13,D193,POLICY_PARAMETERS!$G$2:$G$13,"&lt;&gt;")=0,"",SUMIFS(POLICY_PARAMETERS!$G$2:$G$13,POLICY_PARAMETERS!$B$2:$B$13,"g",POLICY_PARAMETERS!$E$2:$E$13,C193,POLICY_PARAMETERS!$F$2:$F$13,D193))</f>
        <v/>
      </c>
      <c r="L193" s="62" t="str">
        <f>IF(COUNTIFS(POLICY_PARAMETERS!$B$2:$B$13,"r",POLICY_PARAMETERS!$E$2:$E$13,C193,POLICY_PARAMETERS!$F$2:$F$13,D193,POLICY_PARAMETERS!$G$2:$G$13,"&lt;&gt;")=0,"",SUMIFS(POLICY_PARAMETERS!$G$2:$G$13,POLICY_PARAMETERS!$B$2:$B$13,"r",POLICY_PARAMETERS!$E$2:$E$13,C193,POLICY_PARAMETERS!$F$2:$F$13,D193))</f>
        <v/>
      </c>
      <c r="M193" s="61" t="str">
        <f t="shared" si="4"/>
        <v/>
      </c>
      <c r="N193" s="56" t="str">
        <f t="shared" si="5"/>
        <v/>
      </c>
      <c r="O193" s="26">
        <f>IF(D193=2025,IFERROR(VLOOKUP(A193,OFFICIAL_ALLOCATIONS!$A$2:$F$111,5,FALSE),""),IFERROR(VLOOKUP(A193,OFFICIAL_ALLOCATIONS!$A$2:$F$111,6,FALSE),""))</f>
        <v>920308</v>
      </c>
      <c r="P193" s="42" t="str">
        <f t="shared" si="6"/>
        <v/>
      </c>
      <c r="Q193" s="28" t="str">
        <f t="shared" si="7"/>
        <v/>
      </c>
      <c r="R193" s="5" t="str">
        <f t="shared" si="8"/>
        <v>MISSING HISTORICAL DATA</v>
      </c>
      <c r="S193" s="5" t="s">
        <v>179</v>
      </c>
      <c r="T193" s="5" t="s">
        <v>59</v>
      </c>
    </row>
    <row r="194" ht="15.75" customHeight="1">
      <c r="A194" s="5" t="s">
        <v>1069</v>
      </c>
      <c r="B194" s="5" t="s">
        <v>415</v>
      </c>
      <c r="C194" s="5" t="s">
        <v>123</v>
      </c>
      <c r="D194" s="5">
        <v>2025.0</v>
      </c>
      <c r="E194" s="5">
        <f t="shared" si="1"/>
        <v>2022</v>
      </c>
      <c r="F194" s="8">
        <f t="shared" si="2"/>
        <v>2024</v>
      </c>
      <c r="G194" s="31" t="str">
        <f>IF(COUNTIFS(HISTORICAL_DATA!$A$2:$A$441,$A194,HISTORICAL_DATA!$D$2:$D$441,"&gt;="&amp;$E194,HISTORICAL_DATA!$D$2:$D$441,"&lt;="&amp;$F194,HISTORICAL_DATA!$E$2:$E$441,"&lt;&gt;")&lt;3,"",SUMIFS(HISTORICAL_DATA!$E$2:$E$441,HISTORICAL_DATA!$A$2:$A$441,$A194,HISTORICAL_DATA!$D$2:$D$441,"&gt;="&amp;$E194,HISTORICAL_DATA!$D$2:$D$441,"&lt;="&amp;$F194)/3)</f>
        <v/>
      </c>
      <c r="H194" s="31" t="str">
        <f>IF(COUNTIFS(HISTORICAL_DATA!$A$2:$A$441,$A194,HISTORICAL_DATA!$D$2:$D$441,"&gt;="&amp;$E194,HISTORICAL_DATA!$D$2:$D$441,"&lt;="&amp;$F194,HISTORICAL_DATA!$G$2:$G$441,"&lt;&gt;")&lt;3,"",SUMIFS(HISTORICAL_DATA!$G$2:$G$441,HISTORICAL_DATA!$A$2:$A$441,$A194,HISTORICAL_DATA!$D$2:$D$441,"&gt;="&amp;$E194,HISTORICAL_DATA!$D$2:$D$441,"&lt;="&amp;$F194)/3)</f>
        <v/>
      </c>
      <c r="I194" s="31" t="str">
        <f>IF(OR(G194="",H194=""),"FACILITY DATA MISSING",IF(AND(COUNTIFS($C$2:$C$221,C194,$D$2:$D$221,D194,$G$2:$G$221,"&lt;&gt;")=COUNTIF(OFFICIAL_ALLOCATIONS!$C$2:$C$111,C194),COUNTIFS($C$2:$C$221,C194,$D$2:$D$221,D194,$H$2:$H$221,"&lt;&gt;")=COUNTIF(OFFICIAL_ALLOCATIONS!$C$2:$C$111,C194)),"COMPLETE","SECTOR DATA INCOMPLETE"))</f>
        <v>FACILITY DATA MISSING</v>
      </c>
      <c r="J194" s="31" t="str">
        <f t="shared" si="3"/>
        <v/>
      </c>
      <c r="K194" s="62" t="str">
        <f>IF(COUNTIFS(POLICY_PARAMETERS!$B$2:$B$13,"g",POLICY_PARAMETERS!$E$2:$E$13,C194,POLICY_PARAMETERS!$F$2:$F$13,D194,POLICY_PARAMETERS!$G$2:$G$13,"&lt;&gt;")=0,"",SUMIFS(POLICY_PARAMETERS!$G$2:$G$13,POLICY_PARAMETERS!$B$2:$B$13,"g",POLICY_PARAMETERS!$E$2:$E$13,C194,POLICY_PARAMETERS!$F$2:$F$13,D194))</f>
        <v/>
      </c>
      <c r="L194" s="62" t="str">
        <f>IF(COUNTIFS(POLICY_PARAMETERS!$B$2:$B$13,"r",POLICY_PARAMETERS!$E$2:$E$13,C194,POLICY_PARAMETERS!$F$2:$F$13,D194,POLICY_PARAMETERS!$G$2:$G$13,"&lt;&gt;")=0,"",SUMIFS(POLICY_PARAMETERS!$G$2:$G$13,POLICY_PARAMETERS!$B$2:$B$13,"r",POLICY_PARAMETERS!$E$2:$E$13,C194,POLICY_PARAMETERS!$F$2:$F$13,D194))</f>
        <v/>
      </c>
      <c r="M194" s="61" t="str">
        <f t="shared" si="4"/>
        <v/>
      </c>
      <c r="N194" s="56" t="str">
        <f t="shared" si="5"/>
        <v/>
      </c>
      <c r="O194" s="26">
        <f>IF(D194=2025,IFERROR(VLOOKUP(A194,OFFICIAL_ALLOCATIONS!$A$2:$F$111,5,FALSE),""),IFERROR(VLOOKUP(A194,OFFICIAL_ALLOCATIONS!$A$2:$F$111,6,FALSE),""))</f>
        <v>4681235</v>
      </c>
      <c r="P194" s="42" t="str">
        <f t="shared" si="6"/>
        <v/>
      </c>
      <c r="Q194" s="28" t="str">
        <f t="shared" si="7"/>
        <v/>
      </c>
      <c r="R194" s="5" t="str">
        <f t="shared" si="8"/>
        <v>MISSING HISTORICAL DATA</v>
      </c>
      <c r="S194" s="5" t="s">
        <v>179</v>
      </c>
      <c r="T194" s="5" t="s">
        <v>59</v>
      </c>
    </row>
    <row r="195" ht="15.75" customHeight="1">
      <c r="A195" s="5" t="s">
        <v>1069</v>
      </c>
      <c r="B195" s="5" t="s">
        <v>415</v>
      </c>
      <c r="C195" s="5" t="s">
        <v>123</v>
      </c>
      <c r="D195" s="5">
        <v>2026.0</v>
      </c>
      <c r="E195" s="5">
        <f t="shared" si="1"/>
        <v>2023</v>
      </c>
      <c r="F195" s="8">
        <f t="shared" si="2"/>
        <v>2025</v>
      </c>
      <c r="G195" s="31" t="str">
        <f>IF(COUNTIFS(HISTORICAL_DATA!$A$2:$A$441,$A195,HISTORICAL_DATA!$D$2:$D$441,"&gt;="&amp;$E195,HISTORICAL_DATA!$D$2:$D$441,"&lt;="&amp;$F195,HISTORICAL_DATA!$E$2:$E$441,"&lt;&gt;")&lt;3,"",SUMIFS(HISTORICAL_DATA!$E$2:$E$441,HISTORICAL_DATA!$A$2:$A$441,$A195,HISTORICAL_DATA!$D$2:$D$441,"&gt;="&amp;$E195,HISTORICAL_DATA!$D$2:$D$441,"&lt;="&amp;$F195)/3)</f>
        <v/>
      </c>
      <c r="H195" s="31" t="str">
        <f>IF(COUNTIFS(HISTORICAL_DATA!$A$2:$A$441,$A195,HISTORICAL_DATA!$D$2:$D$441,"&gt;="&amp;$E195,HISTORICAL_DATA!$D$2:$D$441,"&lt;="&amp;$F195,HISTORICAL_DATA!$G$2:$G$441,"&lt;&gt;")&lt;3,"",SUMIFS(HISTORICAL_DATA!$G$2:$G$441,HISTORICAL_DATA!$A$2:$A$441,$A195,HISTORICAL_DATA!$D$2:$D$441,"&gt;="&amp;$E195,HISTORICAL_DATA!$D$2:$D$441,"&lt;="&amp;$F195)/3)</f>
        <v/>
      </c>
      <c r="I195" s="31" t="str">
        <f>IF(OR(G195="",H195=""),"FACILITY DATA MISSING",IF(AND(COUNTIFS($C$2:$C$221,C195,$D$2:$D$221,D195,$G$2:$G$221,"&lt;&gt;")=COUNTIF(OFFICIAL_ALLOCATIONS!$C$2:$C$111,C195),COUNTIFS($C$2:$C$221,C195,$D$2:$D$221,D195,$H$2:$H$221,"&lt;&gt;")=COUNTIF(OFFICIAL_ALLOCATIONS!$C$2:$C$111,C195)),"COMPLETE","SECTOR DATA INCOMPLETE"))</f>
        <v>FACILITY DATA MISSING</v>
      </c>
      <c r="J195" s="31" t="str">
        <f t="shared" si="3"/>
        <v/>
      </c>
      <c r="K195" s="62" t="str">
        <f>IF(COUNTIFS(POLICY_PARAMETERS!$B$2:$B$13,"g",POLICY_PARAMETERS!$E$2:$E$13,C195,POLICY_PARAMETERS!$F$2:$F$13,D195,POLICY_PARAMETERS!$G$2:$G$13,"&lt;&gt;")=0,"",SUMIFS(POLICY_PARAMETERS!$G$2:$G$13,POLICY_PARAMETERS!$B$2:$B$13,"g",POLICY_PARAMETERS!$E$2:$E$13,C195,POLICY_PARAMETERS!$F$2:$F$13,D195))</f>
        <v/>
      </c>
      <c r="L195" s="62" t="str">
        <f>IF(COUNTIFS(POLICY_PARAMETERS!$B$2:$B$13,"r",POLICY_PARAMETERS!$E$2:$E$13,C195,POLICY_PARAMETERS!$F$2:$F$13,D195,POLICY_PARAMETERS!$G$2:$G$13,"&lt;&gt;")=0,"",SUMIFS(POLICY_PARAMETERS!$G$2:$G$13,POLICY_PARAMETERS!$B$2:$B$13,"r",POLICY_PARAMETERS!$E$2:$E$13,C195,POLICY_PARAMETERS!$F$2:$F$13,D195))</f>
        <v/>
      </c>
      <c r="M195" s="61" t="str">
        <f t="shared" si="4"/>
        <v/>
      </c>
      <c r="N195" s="56" t="str">
        <f t="shared" si="5"/>
        <v/>
      </c>
      <c r="O195" s="26">
        <f>IF(D195=2025,IFERROR(VLOOKUP(A195,OFFICIAL_ALLOCATIONS!$A$2:$F$111,5,FALSE),""),IFERROR(VLOOKUP(A195,OFFICIAL_ALLOCATIONS!$A$2:$F$111,6,FALSE),""))</f>
        <v>5122432</v>
      </c>
      <c r="P195" s="42" t="str">
        <f t="shared" si="6"/>
        <v/>
      </c>
      <c r="Q195" s="28" t="str">
        <f t="shared" si="7"/>
        <v/>
      </c>
      <c r="R195" s="5" t="str">
        <f t="shared" si="8"/>
        <v>MISSING HISTORICAL DATA</v>
      </c>
      <c r="S195" s="5" t="s">
        <v>179</v>
      </c>
      <c r="T195" s="5" t="s">
        <v>59</v>
      </c>
    </row>
    <row r="196" ht="15.75" customHeight="1">
      <c r="A196" s="5" t="s">
        <v>1070</v>
      </c>
      <c r="B196" s="5" t="s">
        <v>417</v>
      </c>
      <c r="C196" s="5" t="s">
        <v>123</v>
      </c>
      <c r="D196" s="5">
        <v>2025.0</v>
      </c>
      <c r="E196" s="5">
        <f t="shared" si="1"/>
        <v>2022</v>
      </c>
      <c r="F196" s="8">
        <f t="shared" si="2"/>
        <v>2024</v>
      </c>
      <c r="G196" s="31" t="str">
        <f>IF(COUNTIFS(HISTORICAL_DATA!$A$2:$A$441,$A196,HISTORICAL_DATA!$D$2:$D$441,"&gt;="&amp;$E196,HISTORICAL_DATA!$D$2:$D$441,"&lt;="&amp;$F196,HISTORICAL_DATA!$E$2:$E$441,"&lt;&gt;")&lt;3,"",SUMIFS(HISTORICAL_DATA!$E$2:$E$441,HISTORICAL_DATA!$A$2:$A$441,$A196,HISTORICAL_DATA!$D$2:$D$441,"&gt;="&amp;$E196,HISTORICAL_DATA!$D$2:$D$441,"&lt;="&amp;$F196)/3)</f>
        <v/>
      </c>
      <c r="H196" s="31" t="str">
        <f>IF(COUNTIFS(HISTORICAL_DATA!$A$2:$A$441,$A196,HISTORICAL_DATA!$D$2:$D$441,"&gt;="&amp;$E196,HISTORICAL_DATA!$D$2:$D$441,"&lt;="&amp;$F196,HISTORICAL_DATA!$G$2:$G$441,"&lt;&gt;")&lt;3,"",SUMIFS(HISTORICAL_DATA!$G$2:$G$441,HISTORICAL_DATA!$A$2:$A$441,$A196,HISTORICAL_DATA!$D$2:$D$441,"&gt;="&amp;$E196,HISTORICAL_DATA!$D$2:$D$441,"&lt;="&amp;$F196)/3)</f>
        <v/>
      </c>
      <c r="I196" s="31" t="str">
        <f>IF(OR(G196="",H196=""),"FACILITY DATA MISSING",IF(AND(COUNTIFS($C$2:$C$221,C196,$D$2:$D$221,D196,$G$2:$G$221,"&lt;&gt;")=COUNTIF(OFFICIAL_ALLOCATIONS!$C$2:$C$111,C196),COUNTIFS($C$2:$C$221,C196,$D$2:$D$221,D196,$H$2:$H$221,"&lt;&gt;")=COUNTIF(OFFICIAL_ALLOCATIONS!$C$2:$C$111,C196)),"COMPLETE","SECTOR DATA INCOMPLETE"))</f>
        <v>FACILITY DATA MISSING</v>
      </c>
      <c r="J196" s="31" t="str">
        <f t="shared" si="3"/>
        <v/>
      </c>
      <c r="K196" s="62" t="str">
        <f>IF(COUNTIFS(POLICY_PARAMETERS!$B$2:$B$13,"g",POLICY_PARAMETERS!$E$2:$E$13,C196,POLICY_PARAMETERS!$F$2:$F$13,D196,POLICY_PARAMETERS!$G$2:$G$13,"&lt;&gt;")=0,"",SUMIFS(POLICY_PARAMETERS!$G$2:$G$13,POLICY_PARAMETERS!$B$2:$B$13,"g",POLICY_PARAMETERS!$E$2:$E$13,C196,POLICY_PARAMETERS!$F$2:$F$13,D196))</f>
        <v/>
      </c>
      <c r="L196" s="62" t="str">
        <f>IF(COUNTIFS(POLICY_PARAMETERS!$B$2:$B$13,"r",POLICY_PARAMETERS!$E$2:$E$13,C196,POLICY_PARAMETERS!$F$2:$F$13,D196,POLICY_PARAMETERS!$G$2:$G$13,"&lt;&gt;")=0,"",SUMIFS(POLICY_PARAMETERS!$G$2:$G$13,POLICY_PARAMETERS!$B$2:$B$13,"r",POLICY_PARAMETERS!$E$2:$E$13,C196,POLICY_PARAMETERS!$F$2:$F$13,D196))</f>
        <v/>
      </c>
      <c r="M196" s="61" t="str">
        <f t="shared" si="4"/>
        <v/>
      </c>
      <c r="N196" s="56" t="str">
        <f t="shared" si="5"/>
        <v/>
      </c>
      <c r="O196" s="26">
        <f>IF(D196=2025,IFERROR(VLOOKUP(A196,OFFICIAL_ALLOCATIONS!$A$2:$F$111,5,FALSE),""),IFERROR(VLOOKUP(A196,OFFICIAL_ALLOCATIONS!$A$2:$F$111,6,FALSE),""))</f>
        <v>507149</v>
      </c>
      <c r="P196" s="42" t="str">
        <f t="shared" si="6"/>
        <v/>
      </c>
      <c r="Q196" s="28" t="str">
        <f t="shared" si="7"/>
        <v/>
      </c>
      <c r="R196" s="5" t="str">
        <f t="shared" si="8"/>
        <v>MISSING HISTORICAL DATA</v>
      </c>
      <c r="S196" s="5" t="s">
        <v>179</v>
      </c>
      <c r="T196" s="5" t="s">
        <v>59</v>
      </c>
    </row>
    <row r="197" ht="15.75" customHeight="1">
      <c r="A197" s="5" t="s">
        <v>1070</v>
      </c>
      <c r="B197" s="5" t="s">
        <v>417</v>
      </c>
      <c r="C197" s="5" t="s">
        <v>123</v>
      </c>
      <c r="D197" s="5">
        <v>2026.0</v>
      </c>
      <c r="E197" s="5">
        <f t="shared" si="1"/>
        <v>2023</v>
      </c>
      <c r="F197" s="8">
        <f t="shared" si="2"/>
        <v>2025</v>
      </c>
      <c r="G197" s="31" t="str">
        <f>IF(COUNTIFS(HISTORICAL_DATA!$A$2:$A$441,$A197,HISTORICAL_DATA!$D$2:$D$441,"&gt;="&amp;$E197,HISTORICAL_DATA!$D$2:$D$441,"&lt;="&amp;$F197,HISTORICAL_DATA!$E$2:$E$441,"&lt;&gt;")&lt;3,"",SUMIFS(HISTORICAL_DATA!$E$2:$E$441,HISTORICAL_DATA!$A$2:$A$441,$A197,HISTORICAL_DATA!$D$2:$D$441,"&gt;="&amp;$E197,HISTORICAL_DATA!$D$2:$D$441,"&lt;="&amp;$F197)/3)</f>
        <v/>
      </c>
      <c r="H197" s="31" t="str">
        <f>IF(COUNTIFS(HISTORICAL_DATA!$A$2:$A$441,$A197,HISTORICAL_DATA!$D$2:$D$441,"&gt;="&amp;$E197,HISTORICAL_DATA!$D$2:$D$441,"&lt;="&amp;$F197,HISTORICAL_DATA!$G$2:$G$441,"&lt;&gt;")&lt;3,"",SUMIFS(HISTORICAL_DATA!$G$2:$G$441,HISTORICAL_DATA!$A$2:$A$441,$A197,HISTORICAL_DATA!$D$2:$D$441,"&gt;="&amp;$E197,HISTORICAL_DATA!$D$2:$D$441,"&lt;="&amp;$F197)/3)</f>
        <v/>
      </c>
      <c r="I197" s="31" t="str">
        <f>IF(OR(G197="",H197=""),"FACILITY DATA MISSING",IF(AND(COUNTIFS($C$2:$C$221,C197,$D$2:$D$221,D197,$G$2:$G$221,"&lt;&gt;")=COUNTIF(OFFICIAL_ALLOCATIONS!$C$2:$C$111,C197),COUNTIFS($C$2:$C$221,C197,$D$2:$D$221,D197,$H$2:$H$221,"&lt;&gt;")=COUNTIF(OFFICIAL_ALLOCATIONS!$C$2:$C$111,C197)),"COMPLETE","SECTOR DATA INCOMPLETE"))</f>
        <v>FACILITY DATA MISSING</v>
      </c>
      <c r="J197" s="31" t="str">
        <f t="shared" si="3"/>
        <v/>
      </c>
      <c r="K197" s="62" t="str">
        <f>IF(COUNTIFS(POLICY_PARAMETERS!$B$2:$B$13,"g",POLICY_PARAMETERS!$E$2:$E$13,C197,POLICY_PARAMETERS!$F$2:$F$13,D197,POLICY_PARAMETERS!$G$2:$G$13,"&lt;&gt;")=0,"",SUMIFS(POLICY_PARAMETERS!$G$2:$G$13,POLICY_PARAMETERS!$B$2:$B$13,"g",POLICY_PARAMETERS!$E$2:$E$13,C197,POLICY_PARAMETERS!$F$2:$F$13,D197))</f>
        <v/>
      </c>
      <c r="L197" s="62" t="str">
        <f>IF(COUNTIFS(POLICY_PARAMETERS!$B$2:$B$13,"r",POLICY_PARAMETERS!$E$2:$E$13,C197,POLICY_PARAMETERS!$F$2:$F$13,D197,POLICY_PARAMETERS!$G$2:$G$13,"&lt;&gt;")=0,"",SUMIFS(POLICY_PARAMETERS!$G$2:$G$13,POLICY_PARAMETERS!$B$2:$B$13,"r",POLICY_PARAMETERS!$E$2:$E$13,C197,POLICY_PARAMETERS!$F$2:$F$13,D197))</f>
        <v/>
      </c>
      <c r="M197" s="61" t="str">
        <f t="shared" si="4"/>
        <v/>
      </c>
      <c r="N197" s="56" t="str">
        <f t="shared" si="5"/>
        <v/>
      </c>
      <c r="O197" s="26">
        <f>IF(D197=2025,IFERROR(VLOOKUP(A197,OFFICIAL_ALLOCATIONS!$A$2:$F$111,5,FALSE),""),IFERROR(VLOOKUP(A197,OFFICIAL_ALLOCATIONS!$A$2:$F$111,6,FALSE),""))</f>
        <v>554947</v>
      </c>
      <c r="P197" s="42" t="str">
        <f t="shared" si="6"/>
        <v/>
      </c>
      <c r="Q197" s="28" t="str">
        <f t="shared" si="7"/>
        <v/>
      </c>
      <c r="R197" s="5" t="str">
        <f t="shared" si="8"/>
        <v>MISSING HISTORICAL DATA</v>
      </c>
      <c r="S197" s="5" t="s">
        <v>179</v>
      </c>
      <c r="T197" s="5" t="s">
        <v>59</v>
      </c>
    </row>
    <row r="198" ht="15.75" customHeight="1">
      <c r="A198" s="5" t="s">
        <v>1071</v>
      </c>
      <c r="B198" s="5" t="s">
        <v>419</v>
      </c>
      <c r="C198" s="5" t="s">
        <v>123</v>
      </c>
      <c r="D198" s="5">
        <v>2025.0</v>
      </c>
      <c r="E198" s="5">
        <f t="shared" si="1"/>
        <v>2022</v>
      </c>
      <c r="F198" s="8">
        <f t="shared" si="2"/>
        <v>2024</v>
      </c>
      <c r="G198" s="31" t="str">
        <f>IF(COUNTIFS(HISTORICAL_DATA!$A$2:$A$441,$A198,HISTORICAL_DATA!$D$2:$D$441,"&gt;="&amp;$E198,HISTORICAL_DATA!$D$2:$D$441,"&lt;="&amp;$F198,HISTORICAL_DATA!$E$2:$E$441,"&lt;&gt;")&lt;3,"",SUMIFS(HISTORICAL_DATA!$E$2:$E$441,HISTORICAL_DATA!$A$2:$A$441,$A198,HISTORICAL_DATA!$D$2:$D$441,"&gt;="&amp;$E198,HISTORICAL_DATA!$D$2:$D$441,"&lt;="&amp;$F198)/3)</f>
        <v/>
      </c>
      <c r="H198" s="31" t="str">
        <f>IF(COUNTIFS(HISTORICAL_DATA!$A$2:$A$441,$A198,HISTORICAL_DATA!$D$2:$D$441,"&gt;="&amp;$E198,HISTORICAL_DATA!$D$2:$D$441,"&lt;="&amp;$F198,HISTORICAL_DATA!$G$2:$G$441,"&lt;&gt;")&lt;3,"",SUMIFS(HISTORICAL_DATA!$G$2:$G$441,HISTORICAL_DATA!$A$2:$A$441,$A198,HISTORICAL_DATA!$D$2:$D$441,"&gt;="&amp;$E198,HISTORICAL_DATA!$D$2:$D$441,"&lt;="&amp;$F198)/3)</f>
        <v/>
      </c>
      <c r="I198" s="31" t="str">
        <f>IF(OR(G198="",H198=""),"FACILITY DATA MISSING",IF(AND(COUNTIFS($C$2:$C$221,C198,$D$2:$D$221,D198,$G$2:$G$221,"&lt;&gt;")=COUNTIF(OFFICIAL_ALLOCATIONS!$C$2:$C$111,C198),COUNTIFS($C$2:$C$221,C198,$D$2:$D$221,D198,$H$2:$H$221,"&lt;&gt;")=COUNTIF(OFFICIAL_ALLOCATIONS!$C$2:$C$111,C198)),"COMPLETE","SECTOR DATA INCOMPLETE"))</f>
        <v>FACILITY DATA MISSING</v>
      </c>
      <c r="J198" s="31" t="str">
        <f t="shared" si="3"/>
        <v/>
      </c>
      <c r="K198" s="62" t="str">
        <f>IF(COUNTIFS(POLICY_PARAMETERS!$B$2:$B$13,"g",POLICY_PARAMETERS!$E$2:$E$13,C198,POLICY_PARAMETERS!$F$2:$F$13,D198,POLICY_PARAMETERS!$G$2:$G$13,"&lt;&gt;")=0,"",SUMIFS(POLICY_PARAMETERS!$G$2:$G$13,POLICY_PARAMETERS!$B$2:$B$13,"g",POLICY_PARAMETERS!$E$2:$E$13,C198,POLICY_PARAMETERS!$F$2:$F$13,D198))</f>
        <v/>
      </c>
      <c r="L198" s="62" t="str">
        <f>IF(COUNTIFS(POLICY_PARAMETERS!$B$2:$B$13,"r",POLICY_PARAMETERS!$E$2:$E$13,C198,POLICY_PARAMETERS!$F$2:$F$13,D198,POLICY_PARAMETERS!$G$2:$G$13,"&lt;&gt;")=0,"",SUMIFS(POLICY_PARAMETERS!$G$2:$G$13,POLICY_PARAMETERS!$B$2:$B$13,"r",POLICY_PARAMETERS!$E$2:$E$13,C198,POLICY_PARAMETERS!$F$2:$F$13,D198))</f>
        <v/>
      </c>
      <c r="M198" s="61" t="str">
        <f t="shared" si="4"/>
        <v/>
      </c>
      <c r="N198" s="56" t="str">
        <f t="shared" si="5"/>
        <v/>
      </c>
      <c r="O198" s="26">
        <f>IF(D198=2025,IFERROR(VLOOKUP(A198,OFFICIAL_ALLOCATIONS!$A$2:$F$111,5,FALSE),""),IFERROR(VLOOKUP(A198,OFFICIAL_ALLOCATIONS!$A$2:$F$111,6,FALSE),""))</f>
        <v>1290862</v>
      </c>
      <c r="P198" s="42" t="str">
        <f t="shared" si="6"/>
        <v/>
      </c>
      <c r="Q198" s="28" t="str">
        <f t="shared" si="7"/>
        <v/>
      </c>
      <c r="R198" s="5" t="str">
        <f t="shared" si="8"/>
        <v>MISSING HISTORICAL DATA</v>
      </c>
      <c r="S198" s="5" t="s">
        <v>179</v>
      </c>
      <c r="T198" s="5" t="s">
        <v>59</v>
      </c>
    </row>
    <row r="199" ht="15.75" customHeight="1">
      <c r="A199" s="5" t="s">
        <v>1071</v>
      </c>
      <c r="B199" s="5" t="s">
        <v>419</v>
      </c>
      <c r="C199" s="5" t="s">
        <v>123</v>
      </c>
      <c r="D199" s="5">
        <v>2026.0</v>
      </c>
      <c r="E199" s="5">
        <f t="shared" si="1"/>
        <v>2023</v>
      </c>
      <c r="F199" s="8">
        <f t="shared" si="2"/>
        <v>2025</v>
      </c>
      <c r="G199" s="31" t="str">
        <f>IF(COUNTIFS(HISTORICAL_DATA!$A$2:$A$441,$A199,HISTORICAL_DATA!$D$2:$D$441,"&gt;="&amp;$E199,HISTORICAL_DATA!$D$2:$D$441,"&lt;="&amp;$F199,HISTORICAL_DATA!$E$2:$E$441,"&lt;&gt;")&lt;3,"",SUMIFS(HISTORICAL_DATA!$E$2:$E$441,HISTORICAL_DATA!$A$2:$A$441,$A199,HISTORICAL_DATA!$D$2:$D$441,"&gt;="&amp;$E199,HISTORICAL_DATA!$D$2:$D$441,"&lt;="&amp;$F199)/3)</f>
        <v/>
      </c>
      <c r="H199" s="31" t="str">
        <f>IF(COUNTIFS(HISTORICAL_DATA!$A$2:$A$441,$A199,HISTORICAL_DATA!$D$2:$D$441,"&gt;="&amp;$E199,HISTORICAL_DATA!$D$2:$D$441,"&lt;="&amp;$F199,HISTORICAL_DATA!$G$2:$G$441,"&lt;&gt;")&lt;3,"",SUMIFS(HISTORICAL_DATA!$G$2:$G$441,HISTORICAL_DATA!$A$2:$A$441,$A199,HISTORICAL_DATA!$D$2:$D$441,"&gt;="&amp;$E199,HISTORICAL_DATA!$D$2:$D$441,"&lt;="&amp;$F199)/3)</f>
        <v/>
      </c>
      <c r="I199" s="31" t="str">
        <f>IF(OR(G199="",H199=""),"FACILITY DATA MISSING",IF(AND(COUNTIFS($C$2:$C$221,C199,$D$2:$D$221,D199,$G$2:$G$221,"&lt;&gt;")=COUNTIF(OFFICIAL_ALLOCATIONS!$C$2:$C$111,C199),COUNTIFS($C$2:$C$221,C199,$D$2:$D$221,D199,$H$2:$H$221,"&lt;&gt;")=COUNTIF(OFFICIAL_ALLOCATIONS!$C$2:$C$111,C199)),"COMPLETE","SECTOR DATA INCOMPLETE"))</f>
        <v>FACILITY DATA MISSING</v>
      </c>
      <c r="J199" s="31" t="str">
        <f t="shared" si="3"/>
        <v/>
      </c>
      <c r="K199" s="62" t="str">
        <f>IF(COUNTIFS(POLICY_PARAMETERS!$B$2:$B$13,"g",POLICY_PARAMETERS!$E$2:$E$13,C199,POLICY_PARAMETERS!$F$2:$F$13,D199,POLICY_PARAMETERS!$G$2:$G$13,"&lt;&gt;")=0,"",SUMIFS(POLICY_PARAMETERS!$G$2:$G$13,POLICY_PARAMETERS!$B$2:$B$13,"g",POLICY_PARAMETERS!$E$2:$E$13,C199,POLICY_PARAMETERS!$F$2:$F$13,D199))</f>
        <v/>
      </c>
      <c r="L199" s="62" t="str">
        <f>IF(COUNTIFS(POLICY_PARAMETERS!$B$2:$B$13,"r",POLICY_PARAMETERS!$E$2:$E$13,C199,POLICY_PARAMETERS!$F$2:$F$13,D199,POLICY_PARAMETERS!$G$2:$G$13,"&lt;&gt;")=0,"",SUMIFS(POLICY_PARAMETERS!$G$2:$G$13,POLICY_PARAMETERS!$B$2:$B$13,"r",POLICY_PARAMETERS!$E$2:$E$13,C199,POLICY_PARAMETERS!$F$2:$F$13,D199))</f>
        <v/>
      </c>
      <c r="M199" s="61" t="str">
        <f t="shared" si="4"/>
        <v/>
      </c>
      <c r="N199" s="56" t="str">
        <f t="shared" si="5"/>
        <v/>
      </c>
      <c r="O199" s="26">
        <f>IF(D199=2025,IFERROR(VLOOKUP(A199,OFFICIAL_ALLOCATIONS!$A$2:$F$111,5,FALSE),""),IFERROR(VLOOKUP(A199,OFFICIAL_ALLOCATIONS!$A$2:$F$111,6,FALSE),""))</f>
        <v>1412524</v>
      </c>
      <c r="P199" s="42" t="str">
        <f t="shared" si="6"/>
        <v/>
      </c>
      <c r="Q199" s="28" t="str">
        <f t="shared" si="7"/>
        <v/>
      </c>
      <c r="R199" s="5" t="str">
        <f t="shared" si="8"/>
        <v>MISSING HISTORICAL DATA</v>
      </c>
      <c r="S199" s="5" t="s">
        <v>179</v>
      </c>
      <c r="T199" s="5" t="s">
        <v>59</v>
      </c>
    </row>
    <row r="200" ht="15.75" customHeight="1">
      <c r="A200" s="5" t="s">
        <v>1072</v>
      </c>
      <c r="B200" s="5" t="s">
        <v>421</v>
      </c>
      <c r="C200" s="5" t="s">
        <v>123</v>
      </c>
      <c r="D200" s="5">
        <v>2025.0</v>
      </c>
      <c r="E200" s="5">
        <f t="shared" si="1"/>
        <v>2022</v>
      </c>
      <c r="F200" s="8">
        <f t="shared" si="2"/>
        <v>2024</v>
      </c>
      <c r="G200" s="31" t="str">
        <f>IF(COUNTIFS(HISTORICAL_DATA!$A$2:$A$441,$A200,HISTORICAL_DATA!$D$2:$D$441,"&gt;="&amp;$E200,HISTORICAL_DATA!$D$2:$D$441,"&lt;="&amp;$F200,HISTORICAL_DATA!$E$2:$E$441,"&lt;&gt;")&lt;3,"",SUMIFS(HISTORICAL_DATA!$E$2:$E$441,HISTORICAL_DATA!$A$2:$A$441,$A200,HISTORICAL_DATA!$D$2:$D$441,"&gt;="&amp;$E200,HISTORICAL_DATA!$D$2:$D$441,"&lt;="&amp;$F200)/3)</f>
        <v/>
      </c>
      <c r="H200" s="31" t="str">
        <f>IF(COUNTIFS(HISTORICAL_DATA!$A$2:$A$441,$A200,HISTORICAL_DATA!$D$2:$D$441,"&gt;="&amp;$E200,HISTORICAL_DATA!$D$2:$D$441,"&lt;="&amp;$F200,HISTORICAL_DATA!$G$2:$G$441,"&lt;&gt;")&lt;3,"",SUMIFS(HISTORICAL_DATA!$G$2:$G$441,HISTORICAL_DATA!$A$2:$A$441,$A200,HISTORICAL_DATA!$D$2:$D$441,"&gt;="&amp;$E200,HISTORICAL_DATA!$D$2:$D$441,"&lt;="&amp;$F200)/3)</f>
        <v/>
      </c>
      <c r="I200" s="31" t="str">
        <f>IF(OR(G200="",H200=""),"FACILITY DATA MISSING",IF(AND(COUNTIFS($C$2:$C$221,C200,$D$2:$D$221,D200,$G$2:$G$221,"&lt;&gt;")=COUNTIF(OFFICIAL_ALLOCATIONS!$C$2:$C$111,C200),COUNTIFS($C$2:$C$221,C200,$D$2:$D$221,D200,$H$2:$H$221,"&lt;&gt;")=COUNTIF(OFFICIAL_ALLOCATIONS!$C$2:$C$111,C200)),"COMPLETE","SECTOR DATA INCOMPLETE"))</f>
        <v>FACILITY DATA MISSING</v>
      </c>
      <c r="J200" s="31" t="str">
        <f t="shared" si="3"/>
        <v/>
      </c>
      <c r="K200" s="62" t="str">
        <f>IF(COUNTIFS(POLICY_PARAMETERS!$B$2:$B$13,"g",POLICY_PARAMETERS!$E$2:$E$13,C200,POLICY_PARAMETERS!$F$2:$F$13,D200,POLICY_PARAMETERS!$G$2:$G$13,"&lt;&gt;")=0,"",SUMIFS(POLICY_PARAMETERS!$G$2:$G$13,POLICY_PARAMETERS!$B$2:$B$13,"g",POLICY_PARAMETERS!$E$2:$E$13,C200,POLICY_PARAMETERS!$F$2:$F$13,D200))</f>
        <v/>
      </c>
      <c r="L200" s="62" t="str">
        <f>IF(COUNTIFS(POLICY_PARAMETERS!$B$2:$B$13,"r",POLICY_PARAMETERS!$E$2:$E$13,C200,POLICY_PARAMETERS!$F$2:$F$13,D200,POLICY_PARAMETERS!$G$2:$G$13,"&lt;&gt;")=0,"",SUMIFS(POLICY_PARAMETERS!$G$2:$G$13,POLICY_PARAMETERS!$B$2:$B$13,"r",POLICY_PARAMETERS!$E$2:$E$13,C200,POLICY_PARAMETERS!$F$2:$F$13,D200))</f>
        <v/>
      </c>
      <c r="M200" s="61" t="str">
        <f t="shared" si="4"/>
        <v/>
      </c>
      <c r="N200" s="56" t="str">
        <f t="shared" si="5"/>
        <v/>
      </c>
      <c r="O200" s="26">
        <f>IF(D200=2025,IFERROR(VLOOKUP(A200,OFFICIAL_ALLOCATIONS!$A$2:$F$111,5,FALSE),""),IFERROR(VLOOKUP(A200,OFFICIAL_ALLOCATIONS!$A$2:$F$111,6,FALSE),""))</f>
        <v>1137938</v>
      </c>
      <c r="P200" s="42" t="str">
        <f t="shared" si="6"/>
        <v/>
      </c>
      <c r="Q200" s="28" t="str">
        <f t="shared" si="7"/>
        <v/>
      </c>
      <c r="R200" s="5" t="str">
        <f t="shared" si="8"/>
        <v>MISSING HISTORICAL DATA</v>
      </c>
      <c r="S200" s="5" t="s">
        <v>179</v>
      </c>
      <c r="T200" s="5" t="s">
        <v>59</v>
      </c>
    </row>
    <row r="201" ht="15.75" customHeight="1">
      <c r="A201" s="5" t="s">
        <v>1072</v>
      </c>
      <c r="B201" s="5" t="s">
        <v>421</v>
      </c>
      <c r="C201" s="5" t="s">
        <v>123</v>
      </c>
      <c r="D201" s="5">
        <v>2026.0</v>
      </c>
      <c r="E201" s="5">
        <f t="shared" si="1"/>
        <v>2023</v>
      </c>
      <c r="F201" s="8">
        <f t="shared" si="2"/>
        <v>2025</v>
      </c>
      <c r="G201" s="31" t="str">
        <f>IF(COUNTIFS(HISTORICAL_DATA!$A$2:$A$441,$A201,HISTORICAL_DATA!$D$2:$D$441,"&gt;="&amp;$E201,HISTORICAL_DATA!$D$2:$D$441,"&lt;="&amp;$F201,HISTORICAL_DATA!$E$2:$E$441,"&lt;&gt;")&lt;3,"",SUMIFS(HISTORICAL_DATA!$E$2:$E$441,HISTORICAL_DATA!$A$2:$A$441,$A201,HISTORICAL_DATA!$D$2:$D$441,"&gt;="&amp;$E201,HISTORICAL_DATA!$D$2:$D$441,"&lt;="&amp;$F201)/3)</f>
        <v/>
      </c>
      <c r="H201" s="31" t="str">
        <f>IF(COUNTIFS(HISTORICAL_DATA!$A$2:$A$441,$A201,HISTORICAL_DATA!$D$2:$D$441,"&gt;="&amp;$E201,HISTORICAL_DATA!$D$2:$D$441,"&lt;="&amp;$F201,HISTORICAL_DATA!$G$2:$G$441,"&lt;&gt;")&lt;3,"",SUMIFS(HISTORICAL_DATA!$G$2:$G$441,HISTORICAL_DATA!$A$2:$A$441,$A201,HISTORICAL_DATA!$D$2:$D$441,"&gt;="&amp;$E201,HISTORICAL_DATA!$D$2:$D$441,"&lt;="&amp;$F201)/3)</f>
        <v/>
      </c>
      <c r="I201" s="31" t="str">
        <f>IF(OR(G201="",H201=""),"FACILITY DATA MISSING",IF(AND(COUNTIFS($C$2:$C$221,C201,$D$2:$D$221,D201,$G$2:$G$221,"&lt;&gt;")=COUNTIF(OFFICIAL_ALLOCATIONS!$C$2:$C$111,C201),COUNTIFS($C$2:$C$221,C201,$D$2:$D$221,D201,$H$2:$H$221,"&lt;&gt;")=COUNTIF(OFFICIAL_ALLOCATIONS!$C$2:$C$111,C201)),"COMPLETE","SECTOR DATA INCOMPLETE"))</f>
        <v>FACILITY DATA MISSING</v>
      </c>
      <c r="J201" s="31" t="str">
        <f t="shared" si="3"/>
        <v/>
      </c>
      <c r="K201" s="62" t="str">
        <f>IF(COUNTIFS(POLICY_PARAMETERS!$B$2:$B$13,"g",POLICY_PARAMETERS!$E$2:$E$13,C201,POLICY_PARAMETERS!$F$2:$F$13,D201,POLICY_PARAMETERS!$G$2:$G$13,"&lt;&gt;")=0,"",SUMIFS(POLICY_PARAMETERS!$G$2:$G$13,POLICY_PARAMETERS!$B$2:$B$13,"g",POLICY_PARAMETERS!$E$2:$E$13,C201,POLICY_PARAMETERS!$F$2:$F$13,D201))</f>
        <v/>
      </c>
      <c r="L201" s="62" t="str">
        <f>IF(COUNTIFS(POLICY_PARAMETERS!$B$2:$B$13,"r",POLICY_PARAMETERS!$E$2:$E$13,C201,POLICY_PARAMETERS!$F$2:$F$13,D201,POLICY_PARAMETERS!$G$2:$G$13,"&lt;&gt;")=0,"",SUMIFS(POLICY_PARAMETERS!$G$2:$G$13,POLICY_PARAMETERS!$B$2:$B$13,"r",POLICY_PARAMETERS!$E$2:$E$13,C201,POLICY_PARAMETERS!$F$2:$F$13,D201))</f>
        <v/>
      </c>
      <c r="M201" s="61" t="str">
        <f t="shared" si="4"/>
        <v/>
      </c>
      <c r="N201" s="56" t="str">
        <f t="shared" si="5"/>
        <v/>
      </c>
      <c r="O201" s="26">
        <f>IF(D201=2025,IFERROR(VLOOKUP(A201,OFFICIAL_ALLOCATIONS!$A$2:$F$111,5,FALSE),""),IFERROR(VLOOKUP(A201,OFFICIAL_ALLOCATIONS!$A$2:$F$111,6,FALSE),""))</f>
        <v>1245186</v>
      </c>
      <c r="P201" s="42" t="str">
        <f t="shared" si="6"/>
        <v/>
      </c>
      <c r="Q201" s="28" t="str">
        <f t="shared" si="7"/>
        <v/>
      </c>
      <c r="R201" s="5" t="str">
        <f t="shared" si="8"/>
        <v>MISSING HISTORICAL DATA</v>
      </c>
      <c r="S201" s="5" t="s">
        <v>179</v>
      </c>
      <c r="T201" s="5" t="s">
        <v>59</v>
      </c>
    </row>
    <row r="202" ht="15.75" customHeight="1">
      <c r="A202" s="5" t="s">
        <v>1073</v>
      </c>
      <c r="B202" s="5" t="s">
        <v>423</v>
      </c>
      <c r="C202" s="5" t="s">
        <v>123</v>
      </c>
      <c r="D202" s="5">
        <v>2025.0</v>
      </c>
      <c r="E202" s="5">
        <f t="shared" si="1"/>
        <v>2022</v>
      </c>
      <c r="F202" s="8">
        <f t="shared" si="2"/>
        <v>2024</v>
      </c>
      <c r="G202" s="31" t="str">
        <f>IF(COUNTIFS(HISTORICAL_DATA!$A$2:$A$441,$A202,HISTORICAL_DATA!$D$2:$D$441,"&gt;="&amp;$E202,HISTORICAL_DATA!$D$2:$D$441,"&lt;="&amp;$F202,HISTORICAL_DATA!$E$2:$E$441,"&lt;&gt;")&lt;3,"",SUMIFS(HISTORICAL_DATA!$E$2:$E$441,HISTORICAL_DATA!$A$2:$A$441,$A202,HISTORICAL_DATA!$D$2:$D$441,"&gt;="&amp;$E202,HISTORICAL_DATA!$D$2:$D$441,"&lt;="&amp;$F202)/3)</f>
        <v/>
      </c>
      <c r="H202" s="31" t="str">
        <f>IF(COUNTIFS(HISTORICAL_DATA!$A$2:$A$441,$A202,HISTORICAL_DATA!$D$2:$D$441,"&gt;="&amp;$E202,HISTORICAL_DATA!$D$2:$D$441,"&lt;="&amp;$F202,HISTORICAL_DATA!$G$2:$G$441,"&lt;&gt;")&lt;3,"",SUMIFS(HISTORICAL_DATA!$G$2:$G$441,HISTORICAL_DATA!$A$2:$A$441,$A202,HISTORICAL_DATA!$D$2:$D$441,"&gt;="&amp;$E202,HISTORICAL_DATA!$D$2:$D$441,"&lt;="&amp;$F202)/3)</f>
        <v/>
      </c>
      <c r="I202" s="31" t="str">
        <f>IF(OR(G202="",H202=""),"FACILITY DATA MISSING",IF(AND(COUNTIFS($C$2:$C$221,C202,$D$2:$D$221,D202,$G$2:$G$221,"&lt;&gt;")=COUNTIF(OFFICIAL_ALLOCATIONS!$C$2:$C$111,C202),COUNTIFS($C$2:$C$221,C202,$D$2:$D$221,D202,$H$2:$H$221,"&lt;&gt;")=COUNTIF(OFFICIAL_ALLOCATIONS!$C$2:$C$111,C202)),"COMPLETE","SECTOR DATA INCOMPLETE"))</f>
        <v>FACILITY DATA MISSING</v>
      </c>
      <c r="J202" s="31" t="str">
        <f t="shared" si="3"/>
        <v/>
      </c>
      <c r="K202" s="62" t="str">
        <f>IF(COUNTIFS(POLICY_PARAMETERS!$B$2:$B$13,"g",POLICY_PARAMETERS!$E$2:$E$13,C202,POLICY_PARAMETERS!$F$2:$F$13,D202,POLICY_PARAMETERS!$G$2:$G$13,"&lt;&gt;")=0,"",SUMIFS(POLICY_PARAMETERS!$G$2:$G$13,POLICY_PARAMETERS!$B$2:$B$13,"g",POLICY_PARAMETERS!$E$2:$E$13,C202,POLICY_PARAMETERS!$F$2:$F$13,D202))</f>
        <v/>
      </c>
      <c r="L202" s="62" t="str">
        <f>IF(COUNTIFS(POLICY_PARAMETERS!$B$2:$B$13,"r",POLICY_PARAMETERS!$E$2:$E$13,C202,POLICY_PARAMETERS!$F$2:$F$13,D202,POLICY_PARAMETERS!$G$2:$G$13,"&lt;&gt;")=0,"",SUMIFS(POLICY_PARAMETERS!$G$2:$G$13,POLICY_PARAMETERS!$B$2:$B$13,"r",POLICY_PARAMETERS!$E$2:$E$13,C202,POLICY_PARAMETERS!$F$2:$F$13,D202))</f>
        <v/>
      </c>
      <c r="M202" s="61" t="str">
        <f t="shared" si="4"/>
        <v/>
      </c>
      <c r="N202" s="56" t="str">
        <f t="shared" si="5"/>
        <v/>
      </c>
      <c r="O202" s="26">
        <f>IF(D202=2025,IFERROR(VLOOKUP(A202,OFFICIAL_ALLOCATIONS!$A$2:$F$111,5,FALSE),""),IFERROR(VLOOKUP(A202,OFFICIAL_ALLOCATIONS!$A$2:$F$111,6,FALSE),""))</f>
        <v>727399</v>
      </c>
      <c r="P202" s="42" t="str">
        <f t="shared" si="6"/>
        <v/>
      </c>
      <c r="Q202" s="28" t="str">
        <f t="shared" si="7"/>
        <v/>
      </c>
      <c r="R202" s="5" t="str">
        <f t="shared" si="8"/>
        <v>MISSING HISTORICAL DATA</v>
      </c>
      <c r="S202" s="5" t="s">
        <v>179</v>
      </c>
      <c r="T202" s="5" t="s">
        <v>59</v>
      </c>
    </row>
    <row r="203" ht="15.75" customHeight="1">
      <c r="A203" s="5" t="s">
        <v>1073</v>
      </c>
      <c r="B203" s="5" t="s">
        <v>423</v>
      </c>
      <c r="C203" s="5" t="s">
        <v>123</v>
      </c>
      <c r="D203" s="5">
        <v>2026.0</v>
      </c>
      <c r="E203" s="5">
        <f t="shared" si="1"/>
        <v>2023</v>
      </c>
      <c r="F203" s="8">
        <f t="shared" si="2"/>
        <v>2025</v>
      </c>
      <c r="G203" s="31" t="str">
        <f>IF(COUNTIFS(HISTORICAL_DATA!$A$2:$A$441,$A203,HISTORICAL_DATA!$D$2:$D$441,"&gt;="&amp;$E203,HISTORICAL_DATA!$D$2:$D$441,"&lt;="&amp;$F203,HISTORICAL_DATA!$E$2:$E$441,"&lt;&gt;")&lt;3,"",SUMIFS(HISTORICAL_DATA!$E$2:$E$441,HISTORICAL_DATA!$A$2:$A$441,$A203,HISTORICAL_DATA!$D$2:$D$441,"&gt;="&amp;$E203,HISTORICAL_DATA!$D$2:$D$441,"&lt;="&amp;$F203)/3)</f>
        <v/>
      </c>
      <c r="H203" s="31" t="str">
        <f>IF(COUNTIFS(HISTORICAL_DATA!$A$2:$A$441,$A203,HISTORICAL_DATA!$D$2:$D$441,"&gt;="&amp;$E203,HISTORICAL_DATA!$D$2:$D$441,"&lt;="&amp;$F203,HISTORICAL_DATA!$G$2:$G$441,"&lt;&gt;")&lt;3,"",SUMIFS(HISTORICAL_DATA!$G$2:$G$441,HISTORICAL_DATA!$A$2:$A$441,$A203,HISTORICAL_DATA!$D$2:$D$441,"&gt;="&amp;$E203,HISTORICAL_DATA!$D$2:$D$441,"&lt;="&amp;$F203)/3)</f>
        <v/>
      </c>
      <c r="I203" s="31" t="str">
        <f>IF(OR(G203="",H203=""),"FACILITY DATA MISSING",IF(AND(COUNTIFS($C$2:$C$221,C203,$D$2:$D$221,D203,$G$2:$G$221,"&lt;&gt;")=COUNTIF(OFFICIAL_ALLOCATIONS!$C$2:$C$111,C203),COUNTIFS($C$2:$C$221,C203,$D$2:$D$221,D203,$H$2:$H$221,"&lt;&gt;")=COUNTIF(OFFICIAL_ALLOCATIONS!$C$2:$C$111,C203)),"COMPLETE","SECTOR DATA INCOMPLETE"))</f>
        <v>FACILITY DATA MISSING</v>
      </c>
      <c r="J203" s="31" t="str">
        <f t="shared" si="3"/>
        <v/>
      </c>
      <c r="K203" s="62" t="str">
        <f>IF(COUNTIFS(POLICY_PARAMETERS!$B$2:$B$13,"g",POLICY_PARAMETERS!$E$2:$E$13,C203,POLICY_PARAMETERS!$F$2:$F$13,D203,POLICY_PARAMETERS!$G$2:$G$13,"&lt;&gt;")=0,"",SUMIFS(POLICY_PARAMETERS!$G$2:$G$13,POLICY_PARAMETERS!$B$2:$B$13,"g",POLICY_PARAMETERS!$E$2:$E$13,C203,POLICY_PARAMETERS!$F$2:$F$13,D203))</f>
        <v/>
      </c>
      <c r="L203" s="62" t="str">
        <f>IF(COUNTIFS(POLICY_PARAMETERS!$B$2:$B$13,"r",POLICY_PARAMETERS!$E$2:$E$13,C203,POLICY_PARAMETERS!$F$2:$F$13,D203,POLICY_PARAMETERS!$G$2:$G$13,"&lt;&gt;")=0,"",SUMIFS(POLICY_PARAMETERS!$G$2:$G$13,POLICY_PARAMETERS!$B$2:$B$13,"r",POLICY_PARAMETERS!$E$2:$E$13,C203,POLICY_PARAMETERS!$F$2:$F$13,D203))</f>
        <v/>
      </c>
      <c r="M203" s="61" t="str">
        <f t="shared" si="4"/>
        <v/>
      </c>
      <c r="N203" s="56" t="str">
        <f t="shared" si="5"/>
        <v/>
      </c>
      <c r="O203" s="26">
        <f>IF(D203=2025,IFERROR(VLOOKUP(A203,OFFICIAL_ALLOCATIONS!$A$2:$F$111,5,FALSE),""),IFERROR(VLOOKUP(A203,OFFICIAL_ALLOCATIONS!$A$2:$F$111,6,FALSE),""))</f>
        <v>795955</v>
      </c>
      <c r="P203" s="42" t="str">
        <f t="shared" si="6"/>
        <v/>
      </c>
      <c r="Q203" s="28" t="str">
        <f t="shared" si="7"/>
        <v/>
      </c>
      <c r="R203" s="5" t="str">
        <f t="shared" si="8"/>
        <v>MISSING HISTORICAL DATA</v>
      </c>
      <c r="S203" s="5" t="s">
        <v>179</v>
      </c>
      <c r="T203" s="5" t="s">
        <v>59</v>
      </c>
    </row>
    <row r="204" ht="15.75" customHeight="1">
      <c r="A204" s="5" t="s">
        <v>1074</v>
      </c>
      <c r="B204" s="5" t="s">
        <v>425</v>
      </c>
      <c r="C204" s="5" t="s">
        <v>123</v>
      </c>
      <c r="D204" s="5">
        <v>2025.0</v>
      </c>
      <c r="E204" s="5">
        <f t="shared" si="1"/>
        <v>2022</v>
      </c>
      <c r="F204" s="8">
        <f t="shared" si="2"/>
        <v>2024</v>
      </c>
      <c r="G204" s="31" t="str">
        <f>IF(COUNTIFS(HISTORICAL_DATA!$A$2:$A$441,$A204,HISTORICAL_DATA!$D$2:$D$441,"&gt;="&amp;$E204,HISTORICAL_DATA!$D$2:$D$441,"&lt;="&amp;$F204,HISTORICAL_DATA!$E$2:$E$441,"&lt;&gt;")&lt;3,"",SUMIFS(HISTORICAL_DATA!$E$2:$E$441,HISTORICAL_DATA!$A$2:$A$441,$A204,HISTORICAL_DATA!$D$2:$D$441,"&gt;="&amp;$E204,HISTORICAL_DATA!$D$2:$D$441,"&lt;="&amp;$F204)/3)</f>
        <v/>
      </c>
      <c r="H204" s="31" t="str">
        <f>IF(COUNTIFS(HISTORICAL_DATA!$A$2:$A$441,$A204,HISTORICAL_DATA!$D$2:$D$441,"&gt;="&amp;$E204,HISTORICAL_DATA!$D$2:$D$441,"&lt;="&amp;$F204,HISTORICAL_DATA!$G$2:$G$441,"&lt;&gt;")&lt;3,"",SUMIFS(HISTORICAL_DATA!$G$2:$G$441,HISTORICAL_DATA!$A$2:$A$441,$A204,HISTORICAL_DATA!$D$2:$D$441,"&gt;="&amp;$E204,HISTORICAL_DATA!$D$2:$D$441,"&lt;="&amp;$F204)/3)</f>
        <v/>
      </c>
      <c r="I204" s="31" t="str">
        <f>IF(OR(G204="",H204=""),"FACILITY DATA MISSING",IF(AND(COUNTIFS($C$2:$C$221,C204,$D$2:$D$221,D204,$G$2:$G$221,"&lt;&gt;")=COUNTIF(OFFICIAL_ALLOCATIONS!$C$2:$C$111,C204),COUNTIFS($C$2:$C$221,C204,$D$2:$D$221,D204,$H$2:$H$221,"&lt;&gt;")=COUNTIF(OFFICIAL_ALLOCATIONS!$C$2:$C$111,C204)),"COMPLETE","SECTOR DATA INCOMPLETE"))</f>
        <v>FACILITY DATA MISSING</v>
      </c>
      <c r="J204" s="31" t="str">
        <f t="shared" si="3"/>
        <v/>
      </c>
      <c r="K204" s="62" t="str">
        <f>IF(COUNTIFS(POLICY_PARAMETERS!$B$2:$B$13,"g",POLICY_PARAMETERS!$E$2:$E$13,C204,POLICY_PARAMETERS!$F$2:$F$13,D204,POLICY_PARAMETERS!$G$2:$G$13,"&lt;&gt;")=0,"",SUMIFS(POLICY_PARAMETERS!$G$2:$G$13,POLICY_PARAMETERS!$B$2:$B$13,"g",POLICY_PARAMETERS!$E$2:$E$13,C204,POLICY_PARAMETERS!$F$2:$F$13,D204))</f>
        <v/>
      </c>
      <c r="L204" s="62" t="str">
        <f>IF(COUNTIFS(POLICY_PARAMETERS!$B$2:$B$13,"r",POLICY_PARAMETERS!$E$2:$E$13,C204,POLICY_PARAMETERS!$F$2:$F$13,D204,POLICY_PARAMETERS!$G$2:$G$13,"&lt;&gt;")=0,"",SUMIFS(POLICY_PARAMETERS!$G$2:$G$13,POLICY_PARAMETERS!$B$2:$B$13,"r",POLICY_PARAMETERS!$E$2:$E$13,C204,POLICY_PARAMETERS!$F$2:$F$13,D204))</f>
        <v/>
      </c>
      <c r="M204" s="61" t="str">
        <f t="shared" si="4"/>
        <v/>
      </c>
      <c r="N204" s="56" t="str">
        <f t="shared" si="5"/>
        <v/>
      </c>
      <c r="O204" s="26">
        <f>IF(D204=2025,IFERROR(VLOOKUP(A204,OFFICIAL_ALLOCATIONS!$A$2:$F$111,5,FALSE),""),IFERROR(VLOOKUP(A204,OFFICIAL_ALLOCATIONS!$A$2:$F$111,6,FALSE),""))</f>
        <v>271549</v>
      </c>
      <c r="P204" s="42" t="str">
        <f t="shared" si="6"/>
        <v/>
      </c>
      <c r="Q204" s="28" t="str">
        <f t="shared" si="7"/>
        <v/>
      </c>
      <c r="R204" s="5" t="str">
        <f t="shared" si="8"/>
        <v>MISSING HISTORICAL DATA</v>
      </c>
      <c r="S204" s="5" t="s">
        <v>179</v>
      </c>
      <c r="T204" s="5" t="s">
        <v>59</v>
      </c>
    </row>
    <row r="205" ht="15.75" customHeight="1">
      <c r="A205" s="5" t="s">
        <v>1074</v>
      </c>
      <c r="B205" s="5" t="s">
        <v>425</v>
      </c>
      <c r="C205" s="5" t="s">
        <v>123</v>
      </c>
      <c r="D205" s="5">
        <v>2026.0</v>
      </c>
      <c r="E205" s="5">
        <f t="shared" si="1"/>
        <v>2023</v>
      </c>
      <c r="F205" s="8">
        <f t="shared" si="2"/>
        <v>2025</v>
      </c>
      <c r="G205" s="31" t="str">
        <f>IF(COUNTIFS(HISTORICAL_DATA!$A$2:$A$441,$A205,HISTORICAL_DATA!$D$2:$D$441,"&gt;="&amp;$E205,HISTORICAL_DATA!$D$2:$D$441,"&lt;="&amp;$F205,HISTORICAL_DATA!$E$2:$E$441,"&lt;&gt;")&lt;3,"",SUMIFS(HISTORICAL_DATA!$E$2:$E$441,HISTORICAL_DATA!$A$2:$A$441,$A205,HISTORICAL_DATA!$D$2:$D$441,"&gt;="&amp;$E205,HISTORICAL_DATA!$D$2:$D$441,"&lt;="&amp;$F205)/3)</f>
        <v/>
      </c>
      <c r="H205" s="31" t="str">
        <f>IF(COUNTIFS(HISTORICAL_DATA!$A$2:$A$441,$A205,HISTORICAL_DATA!$D$2:$D$441,"&gt;="&amp;$E205,HISTORICAL_DATA!$D$2:$D$441,"&lt;="&amp;$F205,HISTORICAL_DATA!$G$2:$G$441,"&lt;&gt;")&lt;3,"",SUMIFS(HISTORICAL_DATA!$G$2:$G$441,HISTORICAL_DATA!$A$2:$A$441,$A205,HISTORICAL_DATA!$D$2:$D$441,"&gt;="&amp;$E205,HISTORICAL_DATA!$D$2:$D$441,"&lt;="&amp;$F205)/3)</f>
        <v/>
      </c>
      <c r="I205" s="31" t="str">
        <f>IF(OR(G205="",H205=""),"FACILITY DATA MISSING",IF(AND(COUNTIFS($C$2:$C$221,C205,$D$2:$D$221,D205,$G$2:$G$221,"&lt;&gt;")=COUNTIF(OFFICIAL_ALLOCATIONS!$C$2:$C$111,C205),COUNTIFS($C$2:$C$221,C205,$D$2:$D$221,D205,$H$2:$H$221,"&lt;&gt;")=COUNTIF(OFFICIAL_ALLOCATIONS!$C$2:$C$111,C205)),"COMPLETE","SECTOR DATA INCOMPLETE"))</f>
        <v>FACILITY DATA MISSING</v>
      </c>
      <c r="J205" s="31" t="str">
        <f t="shared" si="3"/>
        <v/>
      </c>
      <c r="K205" s="62" t="str">
        <f>IF(COUNTIFS(POLICY_PARAMETERS!$B$2:$B$13,"g",POLICY_PARAMETERS!$E$2:$E$13,C205,POLICY_PARAMETERS!$F$2:$F$13,D205,POLICY_PARAMETERS!$G$2:$G$13,"&lt;&gt;")=0,"",SUMIFS(POLICY_PARAMETERS!$G$2:$G$13,POLICY_PARAMETERS!$B$2:$B$13,"g",POLICY_PARAMETERS!$E$2:$E$13,C205,POLICY_PARAMETERS!$F$2:$F$13,D205))</f>
        <v/>
      </c>
      <c r="L205" s="62" t="str">
        <f>IF(COUNTIFS(POLICY_PARAMETERS!$B$2:$B$13,"r",POLICY_PARAMETERS!$E$2:$E$13,C205,POLICY_PARAMETERS!$F$2:$F$13,D205,POLICY_PARAMETERS!$G$2:$G$13,"&lt;&gt;")=0,"",SUMIFS(POLICY_PARAMETERS!$G$2:$G$13,POLICY_PARAMETERS!$B$2:$B$13,"r",POLICY_PARAMETERS!$E$2:$E$13,C205,POLICY_PARAMETERS!$F$2:$F$13,D205))</f>
        <v/>
      </c>
      <c r="M205" s="61" t="str">
        <f t="shared" si="4"/>
        <v/>
      </c>
      <c r="N205" s="56" t="str">
        <f t="shared" si="5"/>
        <v/>
      </c>
      <c r="O205" s="26">
        <f>IF(D205=2025,IFERROR(VLOOKUP(A205,OFFICIAL_ALLOCATIONS!$A$2:$F$111,5,FALSE),""),IFERROR(VLOOKUP(A205,OFFICIAL_ALLOCATIONS!$A$2:$F$111,6,FALSE),""))</f>
        <v>297142</v>
      </c>
      <c r="P205" s="42" t="str">
        <f t="shared" si="6"/>
        <v/>
      </c>
      <c r="Q205" s="28" t="str">
        <f t="shared" si="7"/>
        <v/>
      </c>
      <c r="R205" s="5" t="str">
        <f t="shared" si="8"/>
        <v>MISSING HISTORICAL DATA</v>
      </c>
      <c r="S205" s="5" t="s">
        <v>179</v>
      </c>
      <c r="T205" s="5" t="s">
        <v>59</v>
      </c>
    </row>
    <row r="206" ht="15.75" customHeight="1">
      <c r="A206" s="5" t="s">
        <v>1075</v>
      </c>
      <c r="B206" s="5" t="s">
        <v>427</v>
      </c>
      <c r="C206" s="5" t="s">
        <v>123</v>
      </c>
      <c r="D206" s="5">
        <v>2025.0</v>
      </c>
      <c r="E206" s="5">
        <f t="shared" si="1"/>
        <v>2022</v>
      </c>
      <c r="F206" s="8">
        <f t="shared" si="2"/>
        <v>2024</v>
      </c>
      <c r="G206" s="31" t="str">
        <f>IF(COUNTIFS(HISTORICAL_DATA!$A$2:$A$441,$A206,HISTORICAL_DATA!$D$2:$D$441,"&gt;="&amp;$E206,HISTORICAL_DATA!$D$2:$D$441,"&lt;="&amp;$F206,HISTORICAL_DATA!$E$2:$E$441,"&lt;&gt;")&lt;3,"",SUMIFS(HISTORICAL_DATA!$E$2:$E$441,HISTORICAL_DATA!$A$2:$A$441,$A206,HISTORICAL_DATA!$D$2:$D$441,"&gt;="&amp;$E206,HISTORICAL_DATA!$D$2:$D$441,"&lt;="&amp;$F206)/3)</f>
        <v/>
      </c>
      <c r="H206" s="31" t="str">
        <f>IF(COUNTIFS(HISTORICAL_DATA!$A$2:$A$441,$A206,HISTORICAL_DATA!$D$2:$D$441,"&gt;="&amp;$E206,HISTORICAL_DATA!$D$2:$D$441,"&lt;="&amp;$F206,HISTORICAL_DATA!$G$2:$G$441,"&lt;&gt;")&lt;3,"",SUMIFS(HISTORICAL_DATA!$G$2:$G$441,HISTORICAL_DATA!$A$2:$A$441,$A206,HISTORICAL_DATA!$D$2:$D$441,"&gt;="&amp;$E206,HISTORICAL_DATA!$D$2:$D$441,"&lt;="&amp;$F206)/3)</f>
        <v/>
      </c>
      <c r="I206" s="31" t="str">
        <f>IF(OR(G206="",H206=""),"FACILITY DATA MISSING",IF(AND(COUNTIFS($C$2:$C$221,C206,$D$2:$D$221,D206,$G$2:$G$221,"&lt;&gt;")=COUNTIF(OFFICIAL_ALLOCATIONS!$C$2:$C$111,C206),COUNTIFS($C$2:$C$221,C206,$D$2:$D$221,D206,$H$2:$H$221,"&lt;&gt;")=COUNTIF(OFFICIAL_ALLOCATIONS!$C$2:$C$111,C206)),"COMPLETE","SECTOR DATA INCOMPLETE"))</f>
        <v>FACILITY DATA MISSING</v>
      </c>
      <c r="J206" s="31" t="str">
        <f t="shared" si="3"/>
        <v/>
      </c>
      <c r="K206" s="62" t="str">
        <f>IF(COUNTIFS(POLICY_PARAMETERS!$B$2:$B$13,"g",POLICY_PARAMETERS!$E$2:$E$13,C206,POLICY_PARAMETERS!$F$2:$F$13,D206,POLICY_PARAMETERS!$G$2:$G$13,"&lt;&gt;")=0,"",SUMIFS(POLICY_PARAMETERS!$G$2:$G$13,POLICY_PARAMETERS!$B$2:$B$13,"g",POLICY_PARAMETERS!$E$2:$E$13,C206,POLICY_PARAMETERS!$F$2:$F$13,D206))</f>
        <v/>
      </c>
      <c r="L206" s="62" t="str">
        <f>IF(COUNTIFS(POLICY_PARAMETERS!$B$2:$B$13,"r",POLICY_PARAMETERS!$E$2:$E$13,C206,POLICY_PARAMETERS!$F$2:$F$13,D206,POLICY_PARAMETERS!$G$2:$G$13,"&lt;&gt;")=0,"",SUMIFS(POLICY_PARAMETERS!$G$2:$G$13,POLICY_PARAMETERS!$B$2:$B$13,"r",POLICY_PARAMETERS!$E$2:$E$13,C206,POLICY_PARAMETERS!$F$2:$F$13,D206))</f>
        <v/>
      </c>
      <c r="M206" s="61" t="str">
        <f t="shared" si="4"/>
        <v/>
      </c>
      <c r="N206" s="56" t="str">
        <f t="shared" si="5"/>
        <v/>
      </c>
      <c r="O206" s="26">
        <f>IF(D206=2025,IFERROR(VLOOKUP(A206,OFFICIAL_ALLOCATIONS!$A$2:$F$111,5,FALSE),""),IFERROR(VLOOKUP(A206,OFFICIAL_ALLOCATIONS!$A$2:$F$111,6,FALSE),""))</f>
        <v>354936</v>
      </c>
      <c r="P206" s="42" t="str">
        <f t="shared" si="6"/>
        <v/>
      </c>
      <c r="Q206" s="28" t="str">
        <f t="shared" si="7"/>
        <v/>
      </c>
      <c r="R206" s="5" t="str">
        <f t="shared" si="8"/>
        <v>MISSING HISTORICAL DATA</v>
      </c>
      <c r="S206" s="5" t="s">
        <v>179</v>
      </c>
      <c r="T206" s="5" t="s">
        <v>59</v>
      </c>
    </row>
    <row r="207" ht="15.75" customHeight="1">
      <c r="A207" s="5" t="s">
        <v>1075</v>
      </c>
      <c r="B207" s="5" t="s">
        <v>427</v>
      </c>
      <c r="C207" s="5" t="s">
        <v>123</v>
      </c>
      <c r="D207" s="5">
        <v>2026.0</v>
      </c>
      <c r="E207" s="5">
        <f t="shared" si="1"/>
        <v>2023</v>
      </c>
      <c r="F207" s="8">
        <f t="shared" si="2"/>
        <v>2025</v>
      </c>
      <c r="G207" s="31" t="str">
        <f>IF(COUNTIFS(HISTORICAL_DATA!$A$2:$A$441,$A207,HISTORICAL_DATA!$D$2:$D$441,"&gt;="&amp;$E207,HISTORICAL_DATA!$D$2:$D$441,"&lt;="&amp;$F207,HISTORICAL_DATA!$E$2:$E$441,"&lt;&gt;")&lt;3,"",SUMIFS(HISTORICAL_DATA!$E$2:$E$441,HISTORICAL_DATA!$A$2:$A$441,$A207,HISTORICAL_DATA!$D$2:$D$441,"&gt;="&amp;$E207,HISTORICAL_DATA!$D$2:$D$441,"&lt;="&amp;$F207)/3)</f>
        <v/>
      </c>
      <c r="H207" s="31" t="str">
        <f>IF(COUNTIFS(HISTORICAL_DATA!$A$2:$A$441,$A207,HISTORICAL_DATA!$D$2:$D$441,"&gt;="&amp;$E207,HISTORICAL_DATA!$D$2:$D$441,"&lt;="&amp;$F207,HISTORICAL_DATA!$G$2:$G$441,"&lt;&gt;")&lt;3,"",SUMIFS(HISTORICAL_DATA!$G$2:$G$441,HISTORICAL_DATA!$A$2:$A$441,$A207,HISTORICAL_DATA!$D$2:$D$441,"&gt;="&amp;$E207,HISTORICAL_DATA!$D$2:$D$441,"&lt;="&amp;$F207)/3)</f>
        <v/>
      </c>
      <c r="I207" s="31" t="str">
        <f>IF(OR(G207="",H207=""),"FACILITY DATA MISSING",IF(AND(COUNTIFS($C$2:$C$221,C207,$D$2:$D$221,D207,$G$2:$G$221,"&lt;&gt;")=COUNTIF(OFFICIAL_ALLOCATIONS!$C$2:$C$111,C207),COUNTIFS($C$2:$C$221,C207,$D$2:$D$221,D207,$H$2:$H$221,"&lt;&gt;")=COUNTIF(OFFICIAL_ALLOCATIONS!$C$2:$C$111,C207)),"COMPLETE","SECTOR DATA INCOMPLETE"))</f>
        <v>FACILITY DATA MISSING</v>
      </c>
      <c r="J207" s="31" t="str">
        <f t="shared" si="3"/>
        <v/>
      </c>
      <c r="K207" s="62" t="str">
        <f>IF(COUNTIFS(POLICY_PARAMETERS!$B$2:$B$13,"g",POLICY_PARAMETERS!$E$2:$E$13,C207,POLICY_PARAMETERS!$F$2:$F$13,D207,POLICY_PARAMETERS!$G$2:$G$13,"&lt;&gt;")=0,"",SUMIFS(POLICY_PARAMETERS!$G$2:$G$13,POLICY_PARAMETERS!$B$2:$B$13,"g",POLICY_PARAMETERS!$E$2:$E$13,C207,POLICY_PARAMETERS!$F$2:$F$13,D207))</f>
        <v/>
      </c>
      <c r="L207" s="62" t="str">
        <f>IF(COUNTIFS(POLICY_PARAMETERS!$B$2:$B$13,"r",POLICY_PARAMETERS!$E$2:$E$13,C207,POLICY_PARAMETERS!$F$2:$F$13,D207,POLICY_PARAMETERS!$G$2:$G$13,"&lt;&gt;")=0,"",SUMIFS(POLICY_PARAMETERS!$G$2:$G$13,POLICY_PARAMETERS!$B$2:$B$13,"r",POLICY_PARAMETERS!$E$2:$E$13,C207,POLICY_PARAMETERS!$F$2:$F$13,D207))</f>
        <v/>
      </c>
      <c r="M207" s="61" t="str">
        <f t="shared" si="4"/>
        <v/>
      </c>
      <c r="N207" s="56" t="str">
        <f t="shared" si="5"/>
        <v/>
      </c>
      <c r="O207" s="26">
        <f>IF(D207=2025,IFERROR(VLOOKUP(A207,OFFICIAL_ALLOCATIONS!$A$2:$F$111,5,FALSE),""),IFERROR(VLOOKUP(A207,OFFICIAL_ALLOCATIONS!$A$2:$F$111,6,FALSE),""))</f>
        <v>388387</v>
      </c>
      <c r="P207" s="42" t="str">
        <f t="shared" si="6"/>
        <v/>
      </c>
      <c r="Q207" s="28" t="str">
        <f t="shared" si="7"/>
        <v/>
      </c>
      <c r="R207" s="5" t="str">
        <f t="shared" si="8"/>
        <v>MISSING HISTORICAL DATA</v>
      </c>
      <c r="S207" s="5" t="s">
        <v>179</v>
      </c>
      <c r="T207" s="5" t="s">
        <v>59</v>
      </c>
    </row>
    <row r="208" ht="15.75" customHeight="1">
      <c r="A208" s="5" t="s">
        <v>1076</v>
      </c>
      <c r="B208" s="5" t="s">
        <v>429</v>
      </c>
      <c r="C208" s="5" t="s">
        <v>123</v>
      </c>
      <c r="D208" s="5">
        <v>2025.0</v>
      </c>
      <c r="E208" s="5">
        <f t="shared" si="1"/>
        <v>2022</v>
      </c>
      <c r="F208" s="8">
        <f t="shared" si="2"/>
        <v>2024</v>
      </c>
      <c r="G208" s="31" t="str">
        <f>IF(COUNTIFS(HISTORICAL_DATA!$A$2:$A$441,$A208,HISTORICAL_DATA!$D$2:$D$441,"&gt;="&amp;$E208,HISTORICAL_DATA!$D$2:$D$441,"&lt;="&amp;$F208,HISTORICAL_DATA!$E$2:$E$441,"&lt;&gt;")&lt;3,"",SUMIFS(HISTORICAL_DATA!$E$2:$E$441,HISTORICAL_DATA!$A$2:$A$441,$A208,HISTORICAL_DATA!$D$2:$D$441,"&gt;="&amp;$E208,HISTORICAL_DATA!$D$2:$D$441,"&lt;="&amp;$F208)/3)</f>
        <v/>
      </c>
      <c r="H208" s="31" t="str">
        <f>IF(COUNTIFS(HISTORICAL_DATA!$A$2:$A$441,$A208,HISTORICAL_DATA!$D$2:$D$441,"&gt;="&amp;$E208,HISTORICAL_DATA!$D$2:$D$441,"&lt;="&amp;$F208,HISTORICAL_DATA!$G$2:$G$441,"&lt;&gt;")&lt;3,"",SUMIFS(HISTORICAL_DATA!$G$2:$G$441,HISTORICAL_DATA!$A$2:$A$441,$A208,HISTORICAL_DATA!$D$2:$D$441,"&gt;="&amp;$E208,HISTORICAL_DATA!$D$2:$D$441,"&lt;="&amp;$F208)/3)</f>
        <v/>
      </c>
      <c r="I208" s="31" t="str">
        <f>IF(OR(G208="",H208=""),"FACILITY DATA MISSING",IF(AND(COUNTIFS($C$2:$C$221,C208,$D$2:$D$221,D208,$G$2:$G$221,"&lt;&gt;")=COUNTIF(OFFICIAL_ALLOCATIONS!$C$2:$C$111,C208),COUNTIFS($C$2:$C$221,C208,$D$2:$D$221,D208,$H$2:$H$221,"&lt;&gt;")=COUNTIF(OFFICIAL_ALLOCATIONS!$C$2:$C$111,C208)),"COMPLETE","SECTOR DATA INCOMPLETE"))</f>
        <v>FACILITY DATA MISSING</v>
      </c>
      <c r="J208" s="31" t="str">
        <f t="shared" si="3"/>
        <v/>
      </c>
      <c r="K208" s="62" t="str">
        <f>IF(COUNTIFS(POLICY_PARAMETERS!$B$2:$B$13,"g",POLICY_PARAMETERS!$E$2:$E$13,C208,POLICY_PARAMETERS!$F$2:$F$13,D208,POLICY_PARAMETERS!$G$2:$G$13,"&lt;&gt;")=0,"",SUMIFS(POLICY_PARAMETERS!$G$2:$G$13,POLICY_PARAMETERS!$B$2:$B$13,"g",POLICY_PARAMETERS!$E$2:$E$13,C208,POLICY_PARAMETERS!$F$2:$F$13,D208))</f>
        <v/>
      </c>
      <c r="L208" s="62" t="str">
        <f>IF(COUNTIFS(POLICY_PARAMETERS!$B$2:$B$13,"r",POLICY_PARAMETERS!$E$2:$E$13,C208,POLICY_PARAMETERS!$F$2:$F$13,D208,POLICY_PARAMETERS!$G$2:$G$13,"&lt;&gt;")=0,"",SUMIFS(POLICY_PARAMETERS!$G$2:$G$13,POLICY_PARAMETERS!$B$2:$B$13,"r",POLICY_PARAMETERS!$E$2:$E$13,C208,POLICY_PARAMETERS!$F$2:$F$13,D208))</f>
        <v/>
      </c>
      <c r="M208" s="61" t="str">
        <f t="shared" si="4"/>
        <v/>
      </c>
      <c r="N208" s="56" t="str">
        <f t="shared" si="5"/>
        <v/>
      </c>
      <c r="O208" s="26">
        <f>IF(D208=2025,IFERROR(VLOOKUP(A208,OFFICIAL_ALLOCATIONS!$A$2:$F$111,5,FALSE),""),IFERROR(VLOOKUP(A208,OFFICIAL_ALLOCATIONS!$A$2:$F$111,6,FALSE),""))</f>
        <v>1254493</v>
      </c>
      <c r="P208" s="42" t="str">
        <f t="shared" si="6"/>
        <v/>
      </c>
      <c r="Q208" s="28" t="str">
        <f t="shared" si="7"/>
        <v/>
      </c>
      <c r="R208" s="5" t="str">
        <f t="shared" si="8"/>
        <v>MISSING HISTORICAL DATA</v>
      </c>
      <c r="S208" s="5" t="s">
        <v>179</v>
      </c>
      <c r="T208" s="5" t="s">
        <v>59</v>
      </c>
    </row>
    <row r="209" ht="15.75" customHeight="1">
      <c r="A209" s="5" t="s">
        <v>1076</v>
      </c>
      <c r="B209" s="5" t="s">
        <v>429</v>
      </c>
      <c r="C209" s="5" t="s">
        <v>123</v>
      </c>
      <c r="D209" s="5">
        <v>2026.0</v>
      </c>
      <c r="E209" s="5">
        <f t="shared" si="1"/>
        <v>2023</v>
      </c>
      <c r="F209" s="8">
        <f t="shared" si="2"/>
        <v>2025</v>
      </c>
      <c r="G209" s="31" t="str">
        <f>IF(COUNTIFS(HISTORICAL_DATA!$A$2:$A$441,$A209,HISTORICAL_DATA!$D$2:$D$441,"&gt;="&amp;$E209,HISTORICAL_DATA!$D$2:$D$441,"&lt;="&amp;$F209,HISTORICAL_DATA!$E$2:$E$441,"&lt;&gt;")&lt;3,"",SUMIFS(HISTORICAL_DATA!$E$2:$E$441,HISTORICAL_DATA!$A$2:$A$441,$A209,HISTORICAL_DATA!$D$2:$D$441,"&gt;="&amp;$E209,HISTORICAL_DATA!$D$2:$D$441,"&lt;="&amp;$F209)/3)</f>
        <v/>
      </c>
      <c r="H209" s="31" t="str">
        <f>IF(COUNTIFS(HISTORICAL_DATA!$A$2:$A$441,$A209,HISTORICAL_DATA!$D$2:$D$441,"&gt;="&amp;$E209,HISTORICAL_DATA!$D$2:$D$441,"&lt;="&amp;$F209,HISTORICAL_DATA!$G$2:$G$441,"&lt;&gt;")&lt;3,"",SUMIFS(HISTORICAL_DATA!$G$2:$G$441,HISTORICAL_DATA!$A$2:$A$441,$A209,HISTORICAL_DATA!$D$2:$D$441,"&gt;="&amp;$E209,HISTORICAL_DATA!$D$2:$D$441,"&lt;="&amp;$F209)/3)</f>
        <v/>
      </c>
      <c r="I209" s="31" t="str">
        <f>IF(OR(G209="",H209=""),"FACILITY DATA MISSING",IF(AND(COUNTIFS($C$2:$C$221,C209,$D$2:$D$221,D209,$G$2:$G$221,"&lt;&gt;")=COUNTIF(OFFICIAL_ALLOCATIONS!$C$2:$C$111,C209),COUNTIFS($C$2:$C$221,C209,$D$2:$D$221,D209,$H$2:$H$221,"&lt;&gt;")=COUNTIF(OFFICIAL_ALLOCATIONS!$C$2:$C$111,C209)),"COMPLETE","SECTOR DATA INCOMPLETE"))</f>
        <v>FACILITY DATA MISSING</v>
      </c>
      <c r="J209" s="31" t="str">
        <f t="shared" si="3"/>
        <v/>
      </c>
      <c r="K209" s="62" t="str">
        <f>IF(COUNTIFS(POLICY_PARAMETERS!$B$2:$B$13,"g",POLICY_PARAMETERS!$E$2:$E$13,C209,POLICY_PARAMETERS!$F$2:$F$13,D209,POLICY_PARAMETERS!$G$2:$G$13,"&lt;&gt;")=0,"",SUMIFS(POLICY_PARAMETERS!$G$2:$G$13,POLICY_PARAMETERS!$B$2:$B$13,"g",POLICY_PARAMETERS!$E$2:$E$13,C209,POLICY_PARAMETERS!$F$2:$F$13,D209))</f>
        <v/>
      </c>
      <c r="L209" s="62" t="str">
        <f>IF(COUNTIFS(POLICY_PARAMETERS!$B$2:$B$13,"r",POLICY_PARAMETERS!$E$2:$E$13,C209,POLICY_PARAMETERS!$F$2:$F$13,D209,POLICY_PARAMETERS!$G$2:$G$13,"&lt;&gt;")=0,"",SUMIFS(POLICY_PARAMETERS!$G$2:$G$13,POLICY_PARAMETERS!$B$2:$B$13,"r",POLICY_PARAMETERS!$E$2:$E$13,C209,POLICY_PARAMETERS!$F$2:$F$13,D209))</f>
        <v/>
      </c>
      <c r="M209" s="61" t="str">
        <f t="shared" si="4"/>
        <v/>
      </c>
      <c r="N209" s="56" t="str">
        <f t="shared" si="5"/>
        <v/>
      </c>
      <c r="O209" s="26">
        <f>IF(D209=2025,IFERROR(VLOOKUP(A209,OFFICIAL_ALLOCATIONS!$A$2:$F$111,5,FALSE),""),IFERROR(VLOOKUP(A209,OFFICIAL_ALLOCATIONS!$A$2:$F$111,6,FALSE),""))</f>
        <v>1372727</v>
      </c>
      <c r="P209" s="42" t="str">
        <f t="shared" si="6"/>
        <v/>
      </c>
      <c r="Q209" s="28" t="str">
        <f t="shared" si="7"/>
        <v/>
      </c>
      <c r="R209" s="5" t="str">
        <f t="shared" si="8"/>
        <v>MISSING HISTORICAL DATA</v>
      </c>
      <c r="S209" s="5" t="s">
        <v>179</v>
      </c>
      <c r="T209" s="5" t="s">
        <v>59</v>
      </c>
    </row>
    <row r="210" ht="15.75" customHeight="1">
      <c r="A210" s="5" t="s">
        <v>1077</v>
      </c>
      <c r="B210" s="5" t="s">
        <v>431</v>
      </c>
      <c r="C210" s="5" t="s">
        <v>123</v>
      </c>
      <c r="D210" s="5">
        <v>2025.0</v>
      </c>
      <c r="E210" s="5">
        <f t="shared" si="1"/>
        <v>2022</v>
      </c>
      <c r="F210" s="8">
        <f t="shared" si="2"/>
        <v>2024</v>
      </c>
      <c r="G210" s="31" t="str">
        <f>IF(COUNTIFS(HISTORICAL_DATA!$A$2:$A$441,$A210,HISTORICAL_DATA!$D$2:$D$441,"&gt;="&amp;$E210,HISTORICAL_DATA!$D$2:$D$441,"&lt;="&amp;$F210,HISTORICAL_DATA!$E$2:$E$441,"&lt;&gt;")&lt;3,"",SUMIFS(HISTORICAL_DATA!$E$2:$E$441,HISTORICAL_DATA!$A$2:$A$441,$A210,HISTORICAL_DATA!$D$2:$D$441,"&gt;="&amp;$E210,HISTORICAL_DATA!$D$2:$D$441,"&lt;="&amp;$F210)/3)</f>
        <v/>
      </c>
      <c r="H210" s="31" t="str">
        <f>IF(COUNTIFS(HISTORICAL_DATA!$A$2:$A$441,$A210,HISTORICAL_DATA!$D$2:$D$441,"&gt;="&amp;$E210,HISTORICAL_DATA!$D$2:$D$441,"&lt;="&amp;$F210,HISTORICAL_DATA!$G$2:$G$441,"&lt;&gt;")&lt;3,"",SUMIFS(HISTORICAL_DATA!$G$2:$G$441,HISTORICAL_DATA!$A$2:$A$441,$A210,HISTORICAL_DATA!$D$2:$D$441,"&gt;="&amp;$E210,HISTORICAL_DATA!$D$2:$D$441,"&lt;="&amp;$F210)/3)</f>
        <v/>
      </c>
      <c r="I210" s="31" t="str">
        <f>IF(OR(G210="",H210=""),"FACILITY DATA MISSING",IF(AND(COUNTIFS($C$2:$C$221,C210,$D$2:$D$221,D210,$G$2:$G$221,"&lt;&gt;")=COUNTIF(OFFICIAL_ALLOCATIONS!$C$2:$C$111,C210),COUNTIFS($C$2:$C$221,C210,$D$2:$D$221,D210,$H$2:$H$221,"&lt;&gt;")=COUNTIF(OFFICIAL_ALLOCATIONS!$C$2:$C$111,C210)),"COMPLETE","SECTOR DATA INCOMPLETE"))</f>
        <v>FACILITY DATA MISSING</v>
      </c>
      <c r="J210" s="31" t="str">
        <f t="shared" si="3"/>
        <v/>
      </c>
      <c r="K210" s="62" t="str">
        <f>IF(COUNTIFS(POLICY_PARAMETERS!$B$2:$B$13,"g",POLICY_PARAMETERS!$E$2:$E$13,C210,POLICY_PARAMETERS!$F$2:$F$13,D210,POLICY_PARAMETERS!$G$2:$G$13,"&lt;&gt;")=0,"",SUMIFS(POLICY_PARAMETERS!$G$2:$G$13,POLICY_PARAMETERS!$B$2:$B$13,"g",POLICY_PARAMETERS!$E$2:$E$13,C210,POLICY_PARAMETERS!$F$2:$F$13,D210))</f>
        <v/>
      </c>
      <c r="L210" s="62" t="str">
        <f>IF(COUNTIFS(POLICY_PARAMETERS!$B$2:$B$13,"r",POLICY_PARAMETERS!$E$2:$E$13,C210,POLICY_PARAMETERS!$F$2:$F$13,D210,POLICY_PARAMETERS!$G$2:$G$13,"&lt;&gt;")=0,"",SUMIFS(POLICY_PARAMETERS!$G$2:$G$13,POLICY_PARAMETERS!$B$2:$B$13,"r",POLICY_PARAMETERS!$E$2:$E$13,C210,POLICY_PARAMETERS!$F$2:$F$13,D210))</f>
        <v/>
      </c>
      <c r="M210" s="61" t="str">
        <f t="shared" si="4"/>
        <v/>
      </c>
      <c r="N210" s="56" t="str">
        <f t="shared" si="5"/>
        <v/>
      </c>
      <c r="O210" s="26">
        <f>IF(D210=2025,IFERROR(VLOOKUP(A210,OFFICIAL_ALLOCATIONS!$A$2:$F$111,5,FALSE),""),IFERROR(VLOOKUP(A210,OFFICIAL_ALLOCATIONS!$A$2:$F$111,6,FALSE),""))</f>
        <v>835087</v>
      </c>
      <c r="P210" s="42" t="str">
        <f t="shared" si="6"/>
        <v/>
      </c>
      <c r="Q210" s="28" t="str">
        <f t="shared" si="7"/>
        <v/>
      </c>
      <c r="R210" s="5" t="str">
        <f t="shared" si="8"/>
        <v>MISSING HISTORICAL DATA</v>
      </c>
      <c r="S210" s="5" t="s">
        <v>179</v>
      </c>
      <c r="T210" s="5" t="s">
        <v>59</v>
      </c>
    </row>
    <row r="211" ht="15.75" customHeight="1">
      <c r="A211" s="5" t="s">
        <v>1077</v>
      </c>
      <c r="B211" s="5" t="s">
        <v>431</v>
      </c>
      <c r="C211" s="5" t="s">
        <v>123</v>
      </c>
      <c r="D211" s="5">
        <v>2026.0</v>
      </c>
      <c r="E211" s="5">
        <f t="shared" si="1"/>
        <v>2023</v>
      </c>
      <c r="F211" s="8">
        <f t="shared" si="2"/>
        <v>2025</v>
      </c>
      <c r="G211" s="31" t="str">
        <f>IF(COUNTIFS(HISTORICAL_DATA!$A$2:$A$441,$A211,HISTORICAL_DATA!$D$2:$D$441,"&gt;="&amp;$E211,HISTORICAL_DATA!$D$2:$D$441,"&lt;="&amp;$F211,HISTORICAL_DATA!$E$2:$E$441,"&lt;&gt;")&lt;3,"",SUMIFS(HISTORICAL_DATA!$E$2:$E$441,HISTORICAL_DATA!$A$2:$A$441,$A211,HISTORICAL_DATA!$D$2:$D$441,"&gt;="&amp;$E211,HISTORICAL_DATA!$D$2:$D$441,"&lt;="&amp;$F211)/3)</f>
        <v/>
      </c>
      <c r="H211" s="31" t="str">
        <f>IF(COUNTIFS(HISTORICAL_DATA!$A$2:$A$441,$A211,HISTORICAL_DATA!$D$2:$D$441,"&gt;="&amp;$E211,HISTORICAL_DATA!$D$2:$D$441,"&lt;="&amp;$F211,HISTORICAL_DATA!$G$2:$G$441,"&lt;&gt;")&lt;3,"",SUMIFS(HISTORICAL_DATA!$G$2:$G$441,HISTORICAL_DATA!$A$2:$A$441,$A211,HISTORICAL_DATA!$D$2:$D$441,"&gt;="&amp;$E211,HISTORICAL_DATA!$D$2:$D$441,"&lt;="&amp;$F211)/3)</f>
        <v/>
      </c>
      <c r="I211" s="31" t="str">
        <f>IF(OR(G211="",H211=""),"FACILITY DATA MISSING",IF(AND(COUNTIFS($C$2:$C$221,C211,$D$2:$D$221,D211,$G$2:$G$221,"&lt;&gt;")=COUNTIF(OFFICIAL_ALLOCATIONS!$C$2:$C$111,C211),COUNTIFS($C$2:$C$221,C211,$D$2:$D$221,D211,$H$2:$H$221,"&lt;&gt;")=COUNTIF(OFFICIAL_ALLOCATIONS!$C$2:$C$111,C211)),"COMPLETE","SECTOR DATA INCOMPLETE"))</f>
        <v>FACILITY DATA MISSING</v>
      </c>
      <c r="J211" s="31" t="str">
        <f t="shared" si="3"/>
        <v/>
      </c>
      <c r="K211" s="62" t="str">
        <f>IF(COUNTIFS(POLICY_PARAMETERS!$B$2:$B$13,"g",POLICY_PARAMETERS!$E$2:$E$13,C211,POLICY_PARAMETERS!$F$2:$F$13,D211,POLICY_PARAMETERS!$G$2:$G$13,"&lt;&gt;")=0,"",SUMIFS(POLICY_PARAMETERS!$G$2:$G$13,POLICY_PARAMETERS!$B$2:$B$13,"g",POLICY_PARAMETERS!$E$2:$E$13,C211,POLICY_PARAMETERS!$F$2:$F$13,D211))</f>
        <v/>
      </c>
      <c r="L211" s="62" t="str">
        <f>IF(COUNTIFS(POLICY_PARAMETERS!$B$2:$B$13,"r",POLICY_PARAMETERS!$E$2:$E$13,C211,POLICY_PARAMETERS!$F$2:$F$13,D211,POLICY_PARAMETERS!$G$2:$G$13,"&lt;&gt;")=0,"",SUMIFS(POLICY_PARAMETERS!$G$2:$G$13,POLICY_PARAMETERS!$B$2:$B$13,"r",POLICY_PARAMETERS!$E$2:$E$13,C211,POLICY_PARAMETERS!$F$2:$F$13,D211))</f>
        <v/>
      </c>
      <c r="M211" s="61" t="str">
        <f t="shared" si="4"/>
        <v/>
      </c>
      <c r="N211" s="56" t="str">
        <f t="shared" si="5"/>
        <v/>
      </c>
      <c r="O211" s="26">
        <f>IF(D211=2025,IFERROR(VLOOKUP(A211,OFFICIAL_ALLOCATIONS!$A$2:$F$111,5,FALSE),""),IFERROR(VLOOKUP(A211,OFFICIAL_ALLOCATIONS!$A$2:$F$111,6,FALSE),""))</f>
        <v>913792</v>
      </c>
      <c r="P211" s="42" t="str">
        <f t="shared" si="6"/>
        <v/>
      </c>
      <c r="Q211" s="28" t="str">
        <f t="shared" si="7"/>
        <v/>
      </c>
      <c r="R211" s="5" t="str">
        <f t="shared" si="8"/>
        <v>MISSING HISTORICAL DATA</v>
      </c>
      <c r="S211" s="5" t="s">
        <v>179</v>
      </c>
      <c r="T211" s="5" t="s">
        <v>59</v>
      </c>
    </row>
    <row r="212" ht="15.75" customHeight="1">
      <c r="A212" s="5" t="s">
        <v>1078</v>
      </c>
      <c r="B212" s="5" t="s">
        <v>433</v>
      </c>
      <c r="C212" s="5" t="s">
        <v>123</v>
      </c>
      <c r="D212" s="5">
        <v>2025.0</v>
      </c>
      <c r="E212" s="5">
        <f t="shared" si="1"/>
        <v>2022</v>
      </c>
      <c r="F212" s="8">
        <f t="shared" si="2"/>
        <v>2024</v>
      </c>
      <c r="G212" s="31" t="str">
        <f>IF(COUNTIFS(HISTORICAL_DATA!$A$2:$A$441,$A212,HISTORICAL_DATA!$D$2:$D$441,"&gt;="&amp;$E212,HISTORICAL_DATA!$D$2:$D$441,"&lt;="&amp;$F212,HISTORICAL_DATA!$E$2:$E$441,"&lt;&gt;")&lt;3,"",SUMIFS(HISTORICAL_DATA!$E$2:$E$441,HISTORICAL_DATA!$A$2:$A$441,$A212,HISTORICAL_DATA!$D$2:$D$441,"&gt;="&amp;$E212,HISTORICAL_DATA!$D$2:$D$441,"&lt;="&amp;$F212)/3)</f>
        <v/>
      </c>
      <c r="H212" s="31" t="str">
        <f>IF(COUNTIFS(HISTORICAL_DATA!$A$2:$A$441,$A212,HISTORICAL_DATA!$D$2:$D$441,"&gt;="&amp;$E212,HISTORICAL_DATA!$D$2:$D$441,"&lt;="&amp;$F212,HISTORICAL_DATA!$G$2:$G$441,"&lt;&gt;")&lt;3,"",SUMIFS(HISTORICAL_DATA!$G$2:$G$441,HISTORICAL_DATA!$A$2:$A$441,$A212,HISTORICAL_DATA!$D$2:$D$441,"&gt;="&amp;$E212,HISTORICAL_DATA!$D$2:$D$441,"&lt;="&amp;$F212)/3)</f>
        <v/>
      </c>
      <c r="I212" s="31" t="str">
        <f>IF(OR(G212="",H212=""),"FACILITY DATA MISSING",IF(AND(COUNTIFS($C$2:$C$221,C212,$D$2:$D$221,D212,$G$2:$G$221,"&lt;&gt;")=COUNTIF(OFFICIAL_ALLOCATIONS!$C$2:$C$111,C212),COUNTIFS($C$2:$C$221,C212,$D$2:$D$221,D212,$H$2:$H$221,"&lt;&gt;")=COUNTIF(OFFICIAL_ALLOCATIONS!$C$2:$C$111,C212)),"COMPLETE","SECTOR DATA INCOMPLETE"))</f>
        <v>FACILITY DATA MISSING</v>
      </c>
      <c r="J212" s="31" t="str">
        <f t="shared" si="3"/>
        <v/>
      </c>
      <c r="K212" s="62" t="str">
        <f>IF(COUNTIFS(POLICY_PARAMETERS!$B$2:$B$13,"g",POLICY_PARAMETERS!$E$2:$E$13,C212,POLICY_PARAMETERS!$F$2:$F$13,D212,POLICY_PARAMETERS!$G$2:$G$13,"&lt;&gt;")=0,"",SUMIFS(POLICY_PARAMETERS!$G$2:$G$13,POLICY_PARAMETERS!$B$2:$B$13,"g",POLICY_PARAMETERS!$E$2:$E$13,C212,POLICY_PARAMETERS!$F$2:$F$13,D212))</f>
        <v/>
      </c>
      <c r="L212" s="62" t="str">
        <f>IF(COUNTIFS(POLICY_PARAMETERS!$B$2:$B$13,"r",POLICY_PARAMETERS!$E$2:$E$13,C212,POLICY_PARAMETERS!$F$2:$F$13,D212,POLICY_PARAMETERS!$G$2:$G$13,"&lt;&gt;")=0,"",SUMIFS(POLICY_PARAMETERS!$G$2:$G$13,POLICY_PARAMETERS!$B$2:$B$13,"r",POLICY_PARAMETERS!$E$2:$E$13,C212,POLICY_PARAMETERS!$F$2:$F$13,D212))</f>
        <v/>
      </c>
      <c r="M212" s="61" t="str">
        <f t="shared" si="4"/>
        <v/>
      </c>
      <c r="N212" s="56" t="str">
        <f t="shared" si="5"/>
        <v/>
      </c>
      <c r="O212" s="26">
        <f>IF(D212=2025,IFERROR(VLOOKUP(A212,OFFICIAL_ALLOCATIONS!$A$2:$F$111,5,FALSE),""),IFERROR(VLOOKUP(A212,OFFICIAL_ALLOCATIONS!$A$2:$F$111,6,FALSE),""))</f>
        <v>1982913</v>
      </c>
      <c r="P212" s="42" t="str">
        <f t="shared" si="6"/>
        <v/>
      </c>
      <c r="Q212" s="28" t="str">
        <f t="shared" si="7"/>
        <v/>
      </c>
      <c r="R212" s="5" t="str">
        <f t="shared" si="8"/>
        <v>MISSING HISTORICAL DATA</v>
      </c>
      <c r="S212" s="5" t="s">
        <v>179</v>
      </c>
      <c r="T212" s="5" t="s">
        <v>59</v>
      </c>
    </row>
    <row r="213" ht="15.75" customHeight="1">
      <c r="A213" s="5" t="s">
        <v>1078</v>
      </c>
      <c r="B213" s="5" t="s">
        <v>433</v>
      </c>
      <c r="C213" s="5" t="s">
        <v>123</v>
      </c>
      <c r="D213" s="5">
        <v>2026.0</v>
      </c>
      <c r="E213" s="5">
        <f t="shared" si="1"/>
        <v>2023</v>
      </c>
      <c r="F213" s="8">
        <f t="shared" si="2"/>
        <v>2025</v>
      </c>
      <c r="G213" s="31" t="str">
        <f>IF(COUNTIFS(HISTORICAL_DATA!$A$2:$A$441,$A213,HISTORICAL_DATA!$D$2:$D$441,"&gt;="&amp;$E213,HISTORICAL_DATA!$D$2:$D$441,"&lt;="&amp;$F213,HISTORICAL_DATA!$E$2:$E$441,"&lt;&gt;")&lt;3,"",SUMIFS(HISTORICAL_DATA!$E$2:$E$441,HISTORICAL_DATA!$A$2:$A$441,$A213,HISTORICAL_DATA!$D$2:$D$441,"&gt;="&amp;$E213,HISTORICAL_DATA!$D$2:$D$441,"&lt;="&amp;$F213)/3)</f>
        <v/>
      </c>
      <c r="H213" s="31" t="str">
        <f>IF(COUNTIFS(HISTORICAL_DATA!$A$2:$A$441,$A213,HISTORICAL_DATA!$D$2:$D$441,"&gt;="&amp;$E213,HISTORICAL_DATA!$D$2:$D$441,"&lt;="&amp;$F213,HISTORICAL_DATA!$G$2:$G$441,"&lt;&gt;")&lt;3,"",SUMIFS(HISTORICAL_DATA!$G$2:$G$441,HISTORICAL_DATA!$A$2:$A$441,$A213,HISTORICAL_DATA!$D$2:$D$441,"&gt;="&amp;$E213,HISTORICAL_DATA!$D$2:$D$441,"&lt;="&amp;$F213)/3)</f>
        <v/>
      </c>
      <c r="I213" s="31" t="str">
        <f>IF(OR(G213="",H213=""),"FACILITY DATA MISSING",IF(AND(COUNTIFS($C$2:$C$221,C213,$D$2:$D$221,D213,$G$2:$G$221,"&lt;&gt;")=COUNTIF(OFFICIAL_ALLOCATIONS!$C$2:$C$111,C213),COUNTIFS($C$2:$C$221,C213,$D$2:$D$221,D213,$H$2:$H$221,"&lt;&gt;")=COUNTIF(OFFICIAL_ALLOCATIONS!$C$2:$C$111,C213)),"COMPLETE","SECTOR DATA INCOMPLETE"))</f>
        <v>FACILITY DATA MISSING</v>
      </c>
      <c r="J213" s="31" t="str">
        <f t="shared" si="3"/>
        <v/>
      </c>
      <c r="K213" s="62" t="str">
        <f>IF(COUNTIFS(POLICY_PARAMETERS!$B$2:$B$13,"g",POLICY_PARAMETERS!$E$2:$E$13,C213,POLICY_PARAMETERS!$F$2:$F$13,D213,POLICY_PARAMETERS!$G$2:$G$13,"&lt;&gt;")=0,"",SUMIFS(POLICY_PARAMETERS!$G$2:$G$13,POLICY_PARAMETERS!$B$2:$B$13,"g",POLICY_PARAMETERS!$E$2:$E$13,C213,POLICY_PARAMETERS!$F$2:$F$13,D213))</f>
        <v/>
      </c>
      <c r="L213" s="62" t="str">
        <f>IF(COUNTIFS(POLICY_PARAMETERS!$B$2:$B$13,"r",POLICY_PARAMETERS!$E$2:$E$13,C213,POLICY_PARAMETERS!$F$2:$F$13,D213,POLICY_PARAMETERS!$G$2:$G$13,"&lt;&gt;")=0,"",SUMIFS(POLICY_PARAMETERS!$G$2:$G$13,POLICY_PARAMETERS!$B$2:$B$13,"r",POLICY_PARAMETERS!$E$2:$E$13,C213,POLICY_PARAMETERS!$F$2:$F$13,D213))</f>
        <v/>
      </c>
      <c r="M213" s="61" t="str">
        <f t="shared" si="4"/>
        <v/>
      </c>
      <c r="N213" s="56" t="str">
        <f t="shared" si="5"/>
        <v/>
      </c>
      <c r="O213" s="26">
        <f>IF(D213=2025,IFERROR(VLOOKUP(A213,OFFICIAL_ALLOCATIONS!$A$2:$F$111,5,FALSE),""),IFERROR(VLOOKUP(A213,OFFICIAL_ALLOCATIONS!$A$2:$F$111,6,FALSE),""))</f>
        <v>2169798</v>
      </c>
      <c r="P213" s="42" t="str">
        <f t="shared" si="6"/>
        <v/>
      </c>
      <c r="Q213" s="28" t="str">
        <f t="shared" si="7"/>
        <v/>
      </c>
      <c r="R213" s="5" t="str">
        <f t="shared" si="8"/>
        <v>MISSING HISTORICAL DATA</v>
      </c>
      <c r="S213" s="5" t="s">
        <v>179</v>
      </c>
      <c r="T213" s="5" t="s">
        <v>59</v>
      </c>
    </row>
    <row r="214" ht="15.75" customHeight="1">
      <c r="A214" s="5" t="s">
        <v>1079</v>
      </c>
      <c r="B214" s="5" t="s">
        <v>435</v>
      </c>
      <c r="C214" s="5" t="s">
        <v>123</v>
      </c>
      <c r="D214" s="5">
        <v>2025.0</v>
      </c>
      <c r="E214" s="5">
        <f t="shared" si="1"/>
        <v>2022</v>
      </c>
      <c r="F214" s="8">
        <f t="shared" si="2"/>
        <v>2024</v>
      </c>
      <c r="G214" s="31" t="str">
        <f>IF(COUNTIFS(HISTORICAL_DATA!$A$2:$A$441,$A214,HISTORICAL_DATA!$D$2:$D$441,"&gt;="&amp;$E214,HISTORICAL_DATA!$D$2:$D$441,"&lt;="&amp;$F214,HISTORICAL_DATA!$E$2:$E$441,"&lt;&gt;")&lt;3,"",SUMIFS(HISTORICAL_DATA!$E$2:$E$441,HISTORICAL_DATA!$A$2:$A$441,$A214,HISTORICAL_DATA!$D$2:$D$441,"&gt;="&amp;$E214,HISTORICAL_DATA!$D$2:$D$441,"&lt;="&amp;$F214)/3)</f>
        <v/>
      </c>
      <c r="H214" s="31" t="str">
        <f>IF(COUNTIFS(HISTORICAL_DATA!$A$2:$A$441,$A214,HISTORICAL_DATA!$D$2:$D$441,"&gt;="&amp;$E214,HISTORICAL_DATA!$D$2:$D$441,"&lt;="&amp;$F214,HISTORICAL_DATA!$G$2:$G$441,"&lt;&gt;")&lt;3,"",SUMIFS(HISTORICAL_DATA!$G$2:$G$441,HISTORICAL_DATA!$A$2:$A$441,$A214,HISTORICAL_DATA!$D$2:$D$441,"&gt;="&amp;$E214,HISTORICAL_DATA!$D$2:$D$441,"&lt;="&amp;$F214)/3)</f>
        <v/>
      </c>
      <c r="I214" s="31" t="str">
        <f>IF(OR(G214="",H214=""),"FACILITY DATA MISSING",IF(AND(COUNTIFS($C$2:$C$221,C214,$D$2:$D$221,D214,$G$2:$G$221,"&lt;&gt;")=COUNTIF(OFFICIAL_ALLOCATIONS!$C$2:$C$111,C214),COUNTIFS($C$2:$C$221,C214,$D$2:$D$221,D214,$H$2:$H$221,"&lt;&gt;")=COUNTIF(OFFICIAL_ALLOCATIONS!$C$2:$C$111,C214)),"COMPLETE","SECTOR DATA INCOMPLETE"))</f>
        <v>FACILITY DATA MISSING</v>
      </c>
      <c r="J214" s="31" t="str">
        <f t="shared" si="3"/>
        <v/>
      </c>
      <c r="K214" s="62" t="str">
        <f>IF(COUNTIFS(POLICY_PARAMETERS!$B$2:$B$13,"g",POLICY_PARAMETERS!$E$2:$E$13,C214,POLICY_PARAMETERS!$F$2:$F$13,D214,POLICY_PARAMETERS!$G$2:$G$13,"&lt;&gt;")=0,"",SUMIFS(POLICY_PARAMETERS!$G$2:$G$13,POLICY_PARAMETERS!$B$2:$B$13,"g",POLICY_PARAMETERS!$E$2:$E$13,C214,POLICY_PARAMETERS!$F$2:$F$13,D214))</f>
        <v/>
      </c>
      <c r="L214" s="62" t="str">
        <f>IF(COUNTIFS(POLICY_PARAMETERS!$B$2:$B$13,"r",POLICY_PARAMETERS!$E$2:$E$13,C214,POLICY_PARAMETERS!$F$2:$F$13,D214,POLICY_PARAMETERS!$G$2:$G$13,"&lt;&gt;")=0,"",SUMIFS(POLICY_PARAMETERS!$G$2:$G$13,POLICY_PARAMETERS!$B$2:$B$13,"r",POLICY_PARAMETERS!$E$2:$E$13,C214,POLICY_PARAMETERS!$F$2:$F$13,D214))</f>
        <v/>
      </c>
      <c r="M214" s="61" t="str">
        <f t="shared" si="4"/>
        <v/>
      </c>
      <c r="N214" s="56" t="str">
        <f t="shared" si="5"/>
        <v/>
      </c>
      <c r="O214" s="26">
        <f>IF(D214=2025,IFERROR(VLOOKUP(A214,OFFICIAL_ALLOCATIONS!$A$2:$F$111,5,FALSE),""),IFERROR(VLOOKUP(A214,OFFICIAL_ALLOCATIONS!$A$2:$F$111,6,FALSE),""))</f>
        <v>1072694</v>
      </c>
      <c r="P214" s="42" t="str">
        <f t="shared" si="6"/>
        <v/>
      </c>
      <c r="Q214" s="28" t="str">
        <f t="shared" si="7"/>
        <v/>
      </c>
      <c r="R214" s="5" t="str">
        <f t="shared" si="8"/>
        <v>MISSING HISTORICAL DATA</v>
      </c>
      <c r="S214" s="5" t="s">
        <v>179</v>
      </c>
      <c r="T214" s="5" t="s">
        <v>59</v>
      </c>
    </row>
    <row r="215" ht="15.75" customHeight="1">
      <c r="A215" s="5" t="s">
        <v>1079</v>
      </c>
      <c r="B215" s="5" t="s">
        <v>435</v>
      </c>
      <c r="C215" s="5" t="s">
        <v>123</v>
      </c>
      <c r="D215" s="5">
        <v>2026.0</v>
      </c>
      <c r="E215" s="5">
        <f t="shared" si="1"/>
        <v>2023</v>
      </c>
      <c r="F215" s="8">
        <f t="shared" si="2"/>
        <v>2025</v>
      </c>
      <c r="G215" s="31" t="str">
        <f>IF(COUNTIFS(HISTORICAL_DATA!$A$2:$A$441,$A215,HISTORICAL_DATA!$D$2:$D$441,"&gt;="&amp;$E215,HISTORICAL_DATA!$D$2:$D$441,"&lt;="&amp;$F215,HISTORICAL_DATA!$E$2:$E$441,"&lt;&gt;")&lt;3,"",SUMIFS(HISTORICAL_DATA!$E$2:$E$441,HISTORICAL_DATA!$A$2:$A$441,$A215,HISTORICAL_DATA!$D$2:$D$441,"&gt;="&amp;$E215,HISTORICAL_DATA!$D$2:$D$441,"&lt;="&amp;$F215)/3)</f>
        <v/>
      </c>
      <c r="H215" s="31" t="str">
        <f>IF(COUNTIFS(HISTORICAL_DATA!$A$2:$A$441,$A215,HISTORICAL_DATA!$D$2:$D$441,"&gt;="&amp;$E215,HISTORICAL_DATA!$D$2:$D$441,"&lt;="&amp;$F215,HISTORICAL_DATA!$G$2:$G$441,"&lt;&gt;")&lt;3,"",SUMIFS(HISTORICAL_DATA!$G$2:$G$441,HISTORICAL_DATA!$A$2:$A$441,$A215,HISTORICAL_DATA!$D$2:$D$441,"&gt;="&amp;$E215,HISTORICAL_DATA!$D$2:$D$441,"&lt;="&amp;$F215)/3)</f>
        <v/>
      </c>
      <c r="I215" s="31" t="str">
        <f>IF(OR(G215="",H215=""),"FACILITY DATA MISSING",IF(AND(COUNTIFS($C$2:$C$221,C215,$D$2:$D$221,D215,$G$2:$G$221,"&lt;&gt;")=COUNTIF(OFFICIAL_ALLOCATIONS!$C$2:$C$111,C215),COUNTIFS($C$2:$C$221,C215,$D$2:$D$221,D215,$H$2:$H$221,"&lt;&gt;")=COUNTIF(OFFICIAL_ALLOCATIONS!$C$2:$C$111,C215)),"COMPLETE","SECTOR DATA INCOMPLETE"))</f>
        <v>FACILITY DATA MISSING</v>
      </c>
      <c r="J215" s="31" t="str">
        <f t="shared" si="3"/>
        <v/>
      </c>
      <c r="K215" s="62" t="str">
        <f>IF(COUNTIFS(POLICY_PARAMETERS!$B$2:$B$13,"g",POLICY_PARAMETERS!$E$2:$E$13,C215,POLICY_PARAMETERS!$F$2:$F$13,D215,POLICY_PARAMETERS!$G$2:$G$13,"&lt;&gt;")=0,"",SUMIFS(POLICY_PARAMETERS!$G$2:$G$13,POLICY_PARAMETERS!$B$2:$B$13,"g",POLICY_PARAMETERS!$E$2:$E$13,C215,POLICY_PARAMETERS!$F$2:$F$13,D215))</f>
        <v/>
      </c>
      <c r="L215" s="62" t="str">
        <f>IF(COUNTIFS(POLICY_PARAMETERS!$B$2:$B$13,"r",POLICY_PARAMETERS!$E$2:$E$13,C215,POLICY_PARAMETERS!$F$2:$F$13,D215,POLICY_PARAMETERS!$G$2:$G$13,"&lt;&gt;")=0,"",SUMIFS(POLICY_PARAMETERS!$G$2:$G$13,POLICY_PARAMETERS!$B$2:$B$13,"r",POLICY_PARAMETERS!$E$2:$E$13,C215,POLICY_PARAMETERS!$F$2:$F$13,D215))</f>
        <v/>
      </c>
      <c r="M215" s="61" t="str">
        <f t="shared" si="4"/>
        <v/>
      </c>
      <c r="N215" s="56" t="str">
        <f t="shared" si="5"/>
        <v/>
      </c>
      <c r="O215" s="26">
        <f>IF(D215=2025,IFERROR(VLOOKUP(A215,OFFICIAL_ALLOCATIONS!$A$2:$F$111,5,FALSE),""),IFERROR(VLOOKUP(A215,OFFICIAL_ALLOCATIONS!$A$2:$F$111,6,FALSE),""))</f>
        <v>1173794</v>
      </c>
      <c r="P215" s="42" t="str">
        <f t="shared" si="6"/>
        <v/>
      </c>
      <c r="Q215" s="28" t="str">
        <f t="shared" si="7"/>
        <v/>
      </c>
      <c r="R215" s="5" t="str">
        <f t="shared" si="8"/>
        <v>MISSING HISTORICAL DATA</v>
      </c>
      <c r="S215" s="5" t="s">
        <v>179</v>
      </c>
      <c r="T215" s="5" t="s">
        <v>59</v>
      </c>
    </row>
    <row r="216" ht="15.75" customHeight="1">
      <c r="A216" s="5" t="s">
        <v>1080</v>
      </c>
      <c r="B216" s="5" t="s">
        <v>444</v>
      </c>
      <c r="C216" s="5" t="s">
        <v>123</v>
      </c>
      <c r="D216" s="5">
        <v>2025.0</v>
      </c>
      <c r="E216" s="5">
        <f t="shared" si="1"/>
        <v>2022</v>
      </c>
      <c r="F216" s="8">
        <f t="shared" si="2"/>
        <v>2024</v>
      </c>
      <c r="G216" s="31" t="str">
        <f>IF(COUNTIFS(HISTORICAL_DATA!$A$2:$A$441,$A216,HISTORICAL_DATA!$D$2:$D$441,"&gt;="&amp;$E216,HISTORICAL_DATA!$D$2:$D$441,"&lt;="&amp;$F216,HISTORICAL_DATA!$E$2:$E$441,"&lt;&gt;")&lt;3,"",SUMIFS(HISTORICAL_DATA!$E$2:$E$441,HISTORICAL_DATA!$A$2:$A$441,$A216,HISTORICAL_DATA!$D$2:$D$441,"&gt;="&amp;$E216,HISTORICAL_DATA!$D$2:$D$441,"&lt;="&amp;$F216)/3)</f>
        <v/>
      </c>
      <c r="H216" s="31" t="str">
        <f>IF(COUNTIFS(HISTORICAL_DATA!$A$2:$A$441,$A216,HISTORICAL_DATA!$D$2:$D$441,"&gt;="&amp;$E216,HISTORICAL_DATA!$D$2:$D$441,"&lt;="&amp;$F216,HISTORICAL_DATA!$G$2:$G$441,"&lt;&gt;")&lt;3,"",SUMIFS(HISTORICAL_DATA!$G$2:$G$441,HISTORICAL_DATA!$A$2:$A$441,$A216,HISTORICAL_DATA!$D$2:$D$441,"&gt;="&amp;$E216,HISTORICAL_DATA!$D$2:$D$441,"&lt;="&amp;$F216)/3)</f>
        <v/>
      </c>
      <c r="I216" s="31" t="str">
        <f>IF(OR(G216="",H216=""),"FACILITY DATA MISSING",IF(AND(COUNTIFS($C$2:$C$221,C216,$D$2:$D$221,D216,$G$2:$G$221,"&lt;&gt;")=COUNTIF(OFFICIAL_ALLOCATIONS!$C$2:$C$111,C216),COUNTIFS($C$2:$C$221,C216,$D$2:$D$221,D216,$H$2:$H$221,"&lt;&gt;")=COUNTIF(OFFICIAL_ALLOCATIONS!$C$2:$C$111,C216)),"COMPLETE","SECTOR DATA INCOMPLETE"))</f>
        <v>FACILITY DATA MISSING</v>
      </c>
      <c r="J216" s="31" t="str">
        <f t="shared" si="3"/>
        <v/>
      </c>
      <c r="K216" s="62" t="str">
        <f>IF(COUNTIFS(POLICY_PARAMETERS!$B$2:$B$13,"g",POLICY_PARAMETERS!$E$2:$E$13,C216,POLICY_PARAMETERS!$F$2:$F$13,D216,POLICY_PARAMETERS!$G$2:$G$13,"&lt;&gt;")=0,"",SUMIFS(POLICY_PARAMETERS!$G$2:$G$13,POLICY_PARAMETERS!$B$2:$B$13,"g",POLICY_PARAMETERS!$E$2:$E$13,C216,POLICY_PARAMETERS!$F$2:$F$13,D216))</f>
        <v/>
      </c>
      <c r="L216" s="62" t="str">
        <f>IF(COUNTIFS(POLICY_PARAMETERS!$B$2:$B$13,"r",POLICY_PARAMETERS!$E$2:$E$13,C216,POLICY_PARAMETERS!$F$2:$F$13,D216,POLICY_PARAMETERS!$G$2:$G$13,"&lt;&gt;")=0,"",SUMIFS(POLICY_PARAMETERS!$G$2:$G$13,POLICY_PARAMETERS!$B$2:$B$13,"r",POLICY_PARAMETERS!$E$2:$E$13,C216,POLICY_PARAMETERS!$F$2:$F$13,D216))</f>
        <v/>
      </c>
      <c r="M216" s="61" t="str">
        <f t="shared" si="4"/>
        <v/>
      </c>
      <c r="N216" s="56" t="str">
        <f t="shared" si="5"/>
        <v/>
      </c>
      <c r="O216" s="26">
        <f>IF(D216=2025,IFERROR(VLOOKUP(A216,OFFICIAL_ALLOCATIONS!$A$2:$F$111,5,FALSE),""),IFERROR(VLOOKUP(A216,OFFICIAL_ALLOCATIONS!$A$2:$F$111,6,FALSE),""))</f>
        <v>2045386</v>
      </c>
      <c r="P216" s="42" t="str">
        <f t="shared" si="6"/>
        <v/>
      </c>
      <c r="Q216" s="28" t="str">
        <f t="shared" si="7"/>
        <v/>
      </c>
      <c r="R216" s="5" t="str">
        <f t="shared" si="8"/>
        <v>MISSING HISTORICAL DATA</v>
      </c>
      <c r="S216" s="5" t="s">
        <v>179</v>
      </c>
      <c r="T216" s="5" t="s">
        <v>59</v>
      </c>
    </row>
    <row r="217" ht="15.75" customHeight="1">
      <c r="A217" s="5" t="s">
        <v>1080</v>
      </c>
      <c r="B217" s="5" t="s">
        <v>444</v>
      </c>
      <c r="C217" s="5" t="s">
        <v>123</v>
      </c>
      <c r="D217" s="5">
        <v>2026.0</v>
      </c>
      <c r="E217" s="5">
        <f t="shared" si="1"/>
        <v>2023</v>
      </c>
      <c r="F217" s="8">
        <f t="shared" si="2"/>
        <v>2025</v>
      </c>
      <c r="G217" s="31" t="str">
        <f>IF(COUNTIFS(HISTORICAL_DATA!$A$2:$A$441,$A217,HISTORICAL_DATA!$D$2:$D$441,"&gt;="&amp;$E217,HISTORICAL_DATA!$D$2:$D$441,"&lt;="&amp;$F217,HISTORICAL_DATA!$E$2:$E$441,"&lt;&gt;")&lt;3,"",SUMIFS(HISTORICAL_DATA!$E$2:$E$441,HISTORICAL_DATA!$A$2:$A$441,$A217,HISTORICAL_DATA!$D$2:$D$441,"&gt;="&amp;$E217,HISTORICAL_DATA!$D$2:$D$441,"&lt;="&amp;$F217)/3)</f>
        <v/>
      </c>
      <c r="H217" s="31" t="str">
        <f>IF(COUNTIFS(HISTORICAL_DATA!$A$2:$A$441,$A217,HISTORICAL_DATA!$D$2:$D$441,"&gt;="&amp;$E217,HISTORICAL_DATA!$D$2:$D$441,"&lt;="&amp;$F217,HISTORICAL_DATA!$G$2:$G$441,"&lt;&gt;")&lt;3,"",SUMIFS(HISTORICAL_DATA!$G$2:$G$441,HISTORICAL_DATA!$A$2:$A$441,$A217,HISTORICAL_DATA!$D$2:$D$441,"&gt;="&amp;$E217,HISTORICAL_DATA!$D$2:$D$441,"&lt;="&amp;$F217)/3)</f>
        <v/>
      </c>
      <c r="I217" s="31" t="str">
        <f>IF(OR(G217="",H217=""),"FACILITY DATA MISSING",IF(AND(COUNTIFS($C$2:$C$221,C217,$D$2:$D$221,D217,$G$2:$G$221,"&lt;&gt;")=COUNTIF(OFFICIAL_ALLOCATIONS!$C$2:$C$111,C217),COUNTIFS($C$2:$C$221,C217,$D$2:$D$221,D217,$H$2:$H$221,"&lt;&gt;")=COUNTIF(OFFICIAL_ALLOCATIONS!$C$2:$C$111,C217)),"COMPLETE","SECTOR DATA INCOMPLETE"))</f>
        <v>FACILITY DATA MISSING</v>
      </c>
      <c r="J217" s="31" t="str">
        <f t="shared" si="3"/>
        <v/>
      </c>
      <c r="K217" s="62" t="str">
        <f>IF(COUNTIFS(POLICY_PARAMETERS!$B$2:$B$13,"g",POLICY_PARAMETERS!$E$2:$E$13,C217,POLICY_PARAMETERS!$F$2:$F$13,D217,POLICY_PARAMETERS!$G$2:$G$13,"&lt;&gt;")=0,"",SUMIFS(POLICY_PARAMETERS!$G$2:$G$13,POLICY_PARAMETERS!$B$2:$B$13,"g",POLICY_PARAMETERS!$E$2:$E$13,C217,POLICY_PARAMETERS!$F$2:$F$13,D217))</f>
        <v/>
      </c>
      <c r="L217" s="62" t="str">
        <f>IF(COUNTIFS(POLICY_PARAMETERS!$B$2:$B$13,"r",POLICY_PARAMETERS!$E$2:$E$13,C217,POLICY_PARAMETERS!$F$2:$F$13,D217,POLICY_PARAMETERS!$G$2:$G$13,"&lt;&gt;")=0,"",SUMIFS(POLICY_PARAMETERS!$G$2:$G$13,POLICY_PARAMETERS!$B$2:$B$13,"r",POLICY_PARAMETERS!$E$2:$E$13,C217,POLICY_PARAMETERS!$F$2:$F$13,D217))</f>
        <v/>
      </c>
      <c r="M217" s="61" t="str">
        <f t="shared" si="4"/>
        <v/>
      </c>
      <c r="N217" s="56" t="str">
        <f t="shared" si="5"/>
        <v/>
      </c>
      <c r="O217" s="26">
        <f>IF(D217=2025,IFERROR(VLOOKUP(A217,OFFICIAL_ALLOCATIONS!$A$2:$F$111,5,FALSE),""),IFERROR(VLOOKUP(A217,OFFICIAL_ALLOCATIONS!$A$2:$F$111,6,FALSE),""))</f>
        <v>2238159</v>
      </c>
      <c r="P217" s="42" t="str">
        <f t="shared" si="6"/>
        <v/>
      </c>
      <c r="Q217" s="28" t="str">
        <f t="shared" si="7"/>
        <v/>
      </c>
      <c r="R217" s="5" t="str">
        <f t="shared" si="8"/>
        <v>MISSING HISTORICAL DATA</v>
      </c>
      <c r="S217" s="5" t="s">
        <v>179</v>
      </c>
      <c r="T217" s="5" t="s">
        <v>59</v>
      </c>
    </row>
    <row r="218" ht="15.75" customHeight="1">
      <c r="A218" s="5" t="s">
        <v>1081</v>
      </c>
      <c r="B218" s="5" t="s">
        <v>448</v>
      </c>
      <c r="C218" s="5" t="s">
        <v>123</v>
      </c>
      <c r="D218" s="5">
        <v>2025.0</v>
      </c>
      <c r="E218" s="5">
        <f t="shared" si="1"/>
        <v>2022</v>
      </c>
      <c r="F218" s="8">
        <f t="shared" si="2"/>
        <v>2024</v>
      </c>
      <c r="G218" s="31" t="str">
        <f>IF(COUNTIFS(HISTORICAL_DATA!$A$2:$A$441,$A218,HISTORICAL_DATA!$D$2:$D$441,"&gt;="&amp;$E218,HISTORICAL_DATA!$D$2:$D$441,"&lt;="&amp;$F218,HISTORICAL_DATA!$E$2:$E$441,"&lt;&gt;")&lt;3,"",SUMIFS(HISTORICAL_DATA!$E$2:$E$441,HISTORICAL_DATA!$A$2:$A$441,$A218,HISTORICAL_DATA!$D$2:$D$441,"&gt;="&amp;$E218,HISTORICAL_DATA!$D$2:$D$441,"&lt;="&amp;$F218)/3)</f>
        <v/>
      </c>
      <c r="H218" s="31" t="str">
        <f>IF(COUNTIFS(HISTORICAL_DATA!$A$2:$A$441,$A218,HISTORICAL_DATA!$D$2:$D$441,"&gt;="&amp;$E218,HISTORICAL_DATA!$D$2:$D$441,"&lt;="&amp;$F218,HISTORICAL_DATA!$G$2:$G$441,"&lt;&gt;")&lt;3,"",SUMIFS(HISTORICAL_DATA!$G$2:$G$441,HISTORICAL_DATA!$A$2:$A$441,$A218,HISTORICAL_DATA!$D$2:$D$441,"&gt;="&amp;$E218,HISTORICAL_DATA!$D$2:$D$441,"&lt;="&amp;$F218)/3)</f>
        <v/>
      </c>
      <c r="I218" s="31" t="str">
        <f>IF(OR(G218="",H218=""),"FACILITY DATA MISSING",IF(AND(COUNTIFS($C$2:$C$221,C218,$D$2:$D$221,D218,$G$2:$G$221,"&lt;&gt;")=COUNTIF(OFFICIAL_ALLOCATIONS!$C$2:$C$111,C218),COUNTIFS($C$2:$C$221,C218,$D$2:$D$221,D218,$H$2:$H$221,"&lt;&gt;")=COUNTIF(OFFICIAL_ALLOCATIONS!$C$2:$C$111,C218)),"COMPLETE","SECTOR DATA INCOMPLETE"))</f>
        <v>FACILITY DATA MISSING</v>
      </c>
      <c r="J218" s="31" t="str">
        <f t="shared" si="3"/>
        <v/>
      </c>
      <c r="K218" s="62" t="str">
        <f>IF(COUNTIFS(POLICY_PARAMETERS!$B$2:$B$13,"g",POLICY_PARAMETERS!$E$2:$E$13,C218,POLICY_PARAMETERS!$F$2:$F$13,D218,POLICY_PARAMETERS!$G$2:$G$13,"&lt;&gt;")=0,"",SUMIFS(POLICY_PARAMETERS!$G$2:$G$13,POLICY_PARAMETERS!$B$2:$B$13,"g",POLICY_PARAMETERS!$E$2:$E$13,C218,POLICY_PARAMETERS!$F$2:$F$13,D218))</f>
        <v/>
      </c>
      <c r="L218" s="62" t="str">
        <f>IF(COUNTIFS(POLICY_PARAMETERS!$B$2:$B$13,"r",POLICY_PARAMETERS!$E$2:$E$13,C218,POLICY_PARAMETERS!$F$2:$F$13,D218,POLICY_PARAMETERS!$G$2:$G$13,"&lt;&gt;")=0,"",SUMIFS(POLICY_PARAMETERS!$G$2:$G$13,POLICY_PARAMETERS!$B$2:$B$13,"r",POLICY_PARAMETERS!$E$2:$E$13,C218,POLICY_PARAMETERS!$F$2:$F$13,D218))</f>
        <v/>
      </c>
      <c r="M218" s="61" t="str">
        <f t="shared" si="4"/>
        <v/>
      </c>
      <c r="N218" s="56" t="str">
        <f t="shared" si="5"/>
        <v/>
      </c>
      <c r="O218" s="26">
        <f>IF(D218=2025,IFERROR(VLOOKUP(A218,OFFICIAL_ALLOCATIONS!$A$2:$F$111,5,FALSE),""),IFERROR(VLOOKUP(A218,OFFICIAL_ALLOCATIONS!$A$2:$F$111,6,FALSE),""))</f>
        <v>1505630</v>
      </c>
      <c r="P218" s="42" t="str">
        <f t="shared" si="6"/>
        <v/>
      </c>
      <c r="Q218" s="28" t="str">
        <f t="shared" si="7"/>
        <v/>
      </c>
      <c r="R218" s="5" t="str">
        <f t="shared" si="8"/>
        <v>MISSING HISTORICAL DATA</v>
      </c>
      <c r="S218" s="5" t="s">
        <v>179</v>
      </c>
      <c r="T218" s="5" t="s">
        <v>59</v>
      </c>
    </row>
    <row r="219" ht="15.75" customHeight="1">
      <c r="A219" s="5" t="s">
        <v>1081</v>
      </c>
      <c r="B219" s="5" t="s">
        <v>448</v>
      </c>
      <c r="C219" s="5" t="s">
        <v>123</v>
      </c>
      <c r="D219" s="5">
        <v>2026.0</v>
      </c>
      <c r="E219" s="5">
        <f t="shared" si="1"/>
        <v>2023</v>
      </c>
      <c r="F219" s="8">
        <f t="shared" si="2"/>
        <v>2025</v>
      </c>
      <c r="G219" s="31" t="str">
        <f>IF(COUNTIFS(HISTORICAL_DATA!$A$2:$A$441,$A219,HISTORICAL_DATA!$D$2:$D$441,"&gt;="&amp;$E219,HISTORICAL_DATA!$D$2:$D$441,"&lt;="&amp;$F219,HISTORICAL_DATA!$E$2:$E$441,"&lt;&gt;")&lt;3,"",SUMIFS(HISTORICAL_DATA!$E$2:$E$441,HISTORICAL_DATA!$A$2:$A$441,$A219,HISTORICAL_DATA!$D$2:$D$441,"&gt;="&amp;$E219,HISTORICAL_DATA!$D$2:$D$441,"&lt;="&amp;$F219)/3)</f>
        <v/>
      </c>
      <c r="H219" s="31" t="str">
        <f>IF(COUNTIFS(HISTORICAL_DATA!$A$2:$A$441,$A219,HISTORICAL_DATA!$D$2:$D$441,"&gt;="&amp;$E219,HISTORICAL_DATA!$D$2:$D$441,"&lt;="&amp;$F219,HISTORICAL_DATA!$G$2:$G$441,"&lt;&gt;")&lt;3,"",SUMIFS(HISTORICAL_DATA!$G$2:$G$441,HISTORICAL_DATA!$A$2:$A$441,$A219,HISTORICAL_DATA!$D$2:$D$441,"&gt;="&amp;$E219,HISTORICAL_DATA!$D$2:$D$441,"&lt;="&amp;$F219)/3)</f>
        <v/>
      </c>
      <c r="I219" s="31" t="str">
        <f>IF(OR(G219="",H219=""),"FACILITY DATA MISSING",IF(AND(COUNTIFS($C$2:$C$221,C219,$D$2:$D$221,D219,$G$2:$G$221,"&lt;&gt;")=COUNTIF(OFFICIAL_ALLOCATIONS!$C$2:$C$111,C219),COUNTIFS($C$2:$C$221,C219,$D$2:$D$221,D219,$H$2:$H$221,"&lt;&gt;")=COUNTIF(OFFICIAL_ALLOCATIONS!$C$2:$C$111,C219)),"COMPLETE","SECTOR DATA INCOMPLETE"))</f>
        <v>FACILITY DATA MISSING</v>
      </c>
      <c r="J219" s="31" t="str">
        <f t="shared" si="3"/>
        <v/>
      </c>
      <c r="K219" s="62" t="str">
        <f>IF(COUNTIFS(POLICY_PARAMETERS!$B$2:$B$13,"g",POLICY_PARAMETERS!$E$2:$E$13,C219,POLICY_PARAMETERS!$F$2:$F$13,D219,POLICY_PARAMETERS!$G$2:$G$13,"&lt;&gt;")=0,"",SUMIFS(POLICY_PARAMETERS!$G$2:$G$13,POLICY_PARAMETERS!$B$2:$B$13,"g",POLICY_PARAMETERS!$E$2:$E$13,C219,POLICY_PARAMETERS!$F$2:$F$13,D219))</f>
        <v/>
      </c>
      <c r="L219" s="62" t="str">
        <f>IF(COUNTIFS(POLICY_PARAMETERS!$B$2:$B$13,"r",POLICY_PARAMETERS!$E$2:$E$13,C219,POLICY_PARAMETERS!$F$2:$F$13,D219,POLICY_PARAMETERS!$G$2:$G$13,"&lt;&gt;")=0,"",SUMIFS(POLICY_PARAMETERS!$G$2:$G$13,POLICY_PARAMETERS!$B$2:$B$13,"r",POLICY_PARAMETERS!$E$2:$E$13,C219,POLICY_PARAMETERS!$F$2:$F$13,D219))</f>
        <v/>
      </c>
      <c r="M219" s="61" t="str">
        <f t="shared" si="4"/>
        <v/>
      </c>
      <c r="N219" s="56" t="str">
        <f t="shared" si="5"/>
        <v/>
      </c>
      <c r="O219" s="26">
        <f>IF(D219=2025,IFERROR(VLOOKUP(A219,OFFICIAL_ALLOCATIONS!$A$2:$F$111,5,FALSE),""),IFERROR(VLOOKUP(A219,OFFICIAL_ALLOCATIONS!$A$2:$F$111,6,FALSE),""))</f>
        <v>1647533</v>
      </c>
      <c r="P219" s="42" t="str">
        <f t="shared" si="6"/>
        <v/>
      </c>
      <c r="Q219" s="28" t="str">
        <f t="shared" si="7"/>
        <v/>
      </c>
      <c r="R219" s="5" t="str">
        <f t="shared" si="8"/>
        <v>MISSING HISTORICAL DATA</v>
      </c>
      <c r="S219" s="5" t="s">
        <v>179</v>
      </c>
      <c r="T219" s="5" t="s">
        <v>59</v>
      </c>
    </row>
    <row r="220" ht="15.75" customHeight="1">
      <c r="A220" s="5" t="s">
        <v>1082</v>
      </c>
      <c r="B220" s="5" t="s">
        <v>454</v>
      </c>
      <c r="C220" s="5" t="s">
        <v>123</v>
      </c>
      <c r="D220" s="5">
        <v>2025.0</v>
      </c>
      <c r="E220" s="5">
        <f t="shared" si="1"/>
        <v>2022</v>
      </c>
      <c r="F220" s="8">
        <f t="shared" si="2"/>
        <v>2024</v>
      </c>
      <c r="G220" s="31" t="str">
        <f>IF(COUNTIFS(HISTORICAL_DATA!$A$2:$A$441,$A220,HISTORICAL_DATA!$D$2:$D$441,"&gt;="&amp;$E220,HISTORICAL_DATA!$D$2:$D$441,"&lt;="&amp;$F220,HISTORICAL_DATA!$E$2:$E$441,"&lt;&gt;")&lt;3,"",SUMIFS(HISTORICAL_DATA!$E$2:$E$441,HISTORICAL_DATA!$A$2:$A$441,$A220,HISTORICAL_DATA!$D$2:$D$441,"&gt;="&amp;$E220,HISTORICAL_DATA!$D$2:$D$441,"&lt;="&amp;$F220)/3)</f>
        <v/>
      </c>
      <c r="H220" s="31" t="str">
        <f>IF(COUNTIFS(HISTORICAL_DATA!$A$2:$A$441,$A220,HISTORICAL_DATA!$D$2:$D$441,"&gt;="&amp;$E220,HISTORICAL_DATA!$D$2:$D$441,"&lt;="&amp;$F220,HISTORICAL_DATA!$G$2:$G$441,"&lt;&gt;")&lt;3,"",SUMIFS(HISTORICAL_DATA!$G$2:$G$441,HISTORICAL_DATA!$A$2:$A$441,$A220,HISTORICAL_DATA!$D$2:$D$441,"&gt;="&amp;$E220,HISTORICAL_DATA!$D$2:$D$441,"&lt;="&amp;$F220)/3)</f>
        <v/>
      </c>
      <c r="I220" s="31" t="str">
        <f>IF(OR(G220="",H220=""),"FACILITY DATA MISSING",IF(AND(COUNTIFS($C$2:$C$221,C220,$D$2:$D$221,D220,$G$2:$G$221,"&lt;&gt;")=COUNTIF(OFFICIAL_ALLOCATIONS!$C$2:$C$111,C220),COUNTIFS($C$2:$C$221,C220,$D$2:$D$221,D220,$H$2:$H$221,"&lt;&gt;")=COUNTIF(OFFICIAL_ALLOCATIONS!$C$2:$C$111,C220)),"COMPLETE","SECTOR DATA INCOMPLETE"))</f>
        <v>FACILITY DATA MISSING</v>
      </c>
      <c r="J220" s="31" t="str">
        <f t="shared" si="3"/>
        <v/>
      </c>
      <c r="K220" s="62" t="str">
        <f>IF(COUNTIFS(POLICY_PARAMETERS!$B$2:$B$13,"g",POLICY_PARAMETERS!$E$2:$E$13,C220,POLICY_PARAMETERS!$F$2:$F$13,D220,POLICY_PARAMETERS!$G$2:$G$13,"&lt;&gt;")=0,"",SUMIFS(POLICY_PARAMETERS!$G$2:$G$13,POLICY_PARAMETERS!$B$2:$B$13,"g",POLICY_PARAMETERS!$E$2:$E$13,C220,POLICY_PARAMETERS!$F$2:$F$13,D220))</f>
        <v/>
      </c>
      <c r="L220" s="62" t="str">
        <f>IF(COUNTIFS(POLICY_PARAMETERS!$B$2:$B$13,"r",POLICY_PARAMETERS!$E$2:$E$13,C220,POLICY_PARAMETERS!$F$2:$F$13,D220,POLICY_PARAMETERS!$G$2:$G$13,"&lt;&gt;")=0,"",SUMIFS(POLICY_PARAMETERS!$G$2:$G$13,POLICY_PARAMETERS!$B$2:$B$13,"r",POLICY_PARAMETERS!$E$2:$E$13,C220,POLICY_PARAMETERS!$F$2:$F$13,D220))</f>
        <v/>
      </c>
      <c r="M220" s="61" t="str">
        <f t="shared" si="4"/>
        <v/>
      </c>
      <c r="N220" s="56" t="str">
        <f t="shared" si="5"/>
        <v/>
      </c>
      <c r="O220" s="26">
        <f>IF(D220=2025,IFERROR(VLOOKUP(A220,OFFICIAL_ALLOCATIONS!$A$2:$F$111,5,FALSE),""),IFERROR(VLOOKUP(A220,OFFICIAL_ALLOCATIONS!$A$2:$F$111,6,FALSE),""))</f>
        <v>1324157</v>
      </c>
      <c r="P220" s="42" t="str">
        <f t="shared" si="6"/>
        <v/>
      </c>
      <c r="Q220" s="28" t="str">
        <f t="shared" si="7"/>
        <v/>
      </c>
      <c r="R220" s="5" t="str">
        <f t="shared" si="8"/>
        <v>MISSING HISTORICAL DATA</v>
      </c>
      <c r="S220" s="5" t="s">
        <v>179</v>
      </c>
      <c r="T220" s="5" t="s">
        <v>59</v>
      </c>
    </row>
    <row r="221" ht="15.75" customHeight="1">
      <c r="A221" s="5" t="s">
        <v>1082</v>
      </c>
      <c r="B221" s="5" t="s">
        <v>454</v>
      </c>
      <c r="C221" s="5" t="s">
        <v>123</v>
      </c>
      <c r="D221" s="5">
        <v>2026.0</v>
      </c>
      <c r="E221" s="5">
        <f t="shared" si="1"/>
        <v>2023</v>
      </c>
      <c r="F221" s="8">
        <f t="shared" si="2"/>
        <v>2025</v>
      </c>
      <c r="G221" s="31" t="str">
        <f>IF(COUNTIFS(HISTORICAL_DATA!$A$2:$A$441,$A221,HISTORICAL_DATA!$D$2:$D$441,"&gt;="&amp;$E221,HISTORICAL_DATA!$D$2:$D$441,"&lt;="&amp;$F221,HISTORICAL_DATA!$E$2:$E$441,"&lt;&gt;")&lt;3,"",SUMIFS(HISTORICAL_DATA!$E$2:$E$441,HISTORICAL_DATA!$A$2:$A$441,$A221,HISTORICAL_DATA!$D$2:$D$441,"&gt;="&amp;$E221,HISTORICAL_DATA!$D$2:$D$441,"&lt;="&amp;$F221)/3)</f>
        <v/>
      </c>
      <c r="H221" s="31" t="str">
        <f>IF(COUNTIFS(HISTORICAL_DATA!$A$2:$A$441,$A221,HISTORICAL_DATA!$D$2:$D$441,"&gt;="&amp;$E221,HISTORICAL_DATA!$D$2:$D$441,"&lt;="&amp;$F221,HISTORICAL_DATA!$G$2:$G$441,"&lt;&gt;")&lt;3,"",SUMIFS(HISTORICAL_DATA!$G$2:$G$441,HISTORICAL_DATA!$A$2:$A$441,$A221,HISTORICAL_DATA!$D$2:$D$441,"&gt;="&amp;$E221,HISTORICAL_DATA!$D$2:$D$441,"&lt;="&amp;$F221)/3)</f>
        <v/>
      </c>
      <c r="I221" s="31" t="str">
        <f>IF(OR(G221="",H221=""),"FACILITY DATA MISSING",IF(AND(COUNTIFS($C$2:$C$221,C221,$D$2:$D$221,D221,$G$2:$G$221,"&lt;&gt;")=COUNTIF(OFFICIAL_ALLOCATIONS!$C$2:$C$111,C221),COUNTIFS($C$2:$C$221,C221,$D$2:$D$221,D221,$H$2:$H$221,"&lt;&gt;")=COUNTIF(OFFICIAL_ALLOCATIONS!$C$2:$C$111,C221)),"COMPLETE","SECTOR DATA INCOMPLETE"))</f>
        <v>FACILITY DATA MISSING</v>
      </c>
      <c r="J221" s="31" t="str">
        <f t="shared" si="3"/>
        <v/>
      </c>
      <c r="K221" s="62" t="str">
        <f>IF(COUNTIFS(POLICY_PARAMETERS!$B$2:$B$13,"g",POLICY_PARAMETERS!$E$2:$E$13,C221,POLICY_PARAMETERS!$F$2:$F$13,D221,POLICY_PARAMETERS!$G$2:$G$13,"&lt;&gt;")=0,"",SUMIFS(POLICY_PARAMETERS!$G$2:$G$13,POLICY_PARAMETERS!$B$2:$B$13,"g",POLICY_PARAMETERS!$E$2:$E$13,C221,POLICY_PARAMETERS!$F$2:$F$13,D221))</f>
        <v/>
      </c>
      <c r="L221" s="62" t="str">
        <f>IF(COUNTIFS(POLICY_PARAMETERS!$B$2:$B$13,"r",POLICY_PARAMETERS!$E$2:$E$13,C221,POLICY_PARAMETERS!$F$2:$F$13,D221,POLICY_PARAMETERS!$G$2:$G$13,"&lt;&gt;")=0,"",SUMIFS(POLICY_PARAMETERS!$G$2:$G$13,POLICY_PARAMETERS!$B$2:$B$13,"r",POLICY_PARAMETERS!$E$2:$E$13,C221,POLICY_PARAMETERS!$F$2:$F$13,D221))</f>
        <v/>
      </c>
      <c r="M221" s="61" t="str">
        <f t="shared" si="4"/>
        <v/>
      </c>
      <c r="N221" s="56" t="str">
        <f t="shared" si="5"/>
        <v/>
      </c>
      <c r="O221" s="26">
        <f>IF(D221=2025,IFERROR(VLOOKUP(A221,OFFICIAL_ALLOCATIONS!$A$2:$F$111,5,FALSE),""),IFERROR(VLOOKUP(A221,OFFICIAL_ALLOCATIONS!$A$2:$F$111,6,FALSE),""))</f>
        <v>1448956</v>
      </c>
      <c r="P221" s="42" t="str">
        <f t="shared" si="6"/>
        <v/>
      </c>
      <c r="Q221" s="28" t="str">
        <f t="shared" si="7"/>
        <v/>
      </c>
      <c r="R221" s="5" t="str">
        <f t="shared" si="8"/>
        <v>MISSING HISTORICAL DATA</v>
      </c>
      <c r="S221" s="5" t="s">
        <v>179</v>
      </c>
      <c r="T221" s="5" t="s">
        <v>59</v>
      </c>
    </row>
    <row r="222" ht="15.75" customHeight="1">
      <c r="F222" s="13"/>
    </row>
    <row r="223" ht="15.75" customHeight="1">
      <c r="F223" s="13"/>
    </row>
    <row r="224" ht="15.75" customHeight="1">
      <c r="F224" s="13"/>
    </row>
    <row r="225" ht="15.75" customHeight="1">
      <c r="F225" s="13"/>
    </row>
    <row r="226" ht="15.75" customHeight="1">
      <c r="F226" s="13"/>
    </row>
    <row r="227" ht="15.75" customHeight="1">
      <c r="F227" s="13"/>
    </row>
    <row r="228" ht="15.75" customHeight="1">
      <c r="F228" s="13"/>
    </row>
    <row r="229" ht="15.75" customHeight="1">
      <c r="F229" s="13"/>
    </row>
    <row r="230" ht="15.75" customHeight="1">
      <c r="F230" s="13"/>
    </row>
    <row r="231" ht="15.75" customHeight="1">
      <c r="F231" s="13"/>
    </row>
    <row r="232" ht="15.75" customHeight="1">
      <c r="F232" s="13"/>
    </row>
    <row r="233" ht="15.75" customHeight="1">
      <c r="F233" s="13"/>
    </row>
    <row r="234" ht="15.75" customHeight="1">
      <c r="F234" s="13"/>
    </row>
    <row r="235" ht="15.75" customHeight="1">
      <c r="F235" s="13"/>
    </row>
    <row r="236" ht="15.75" customHeight="1">
      <c r="F236" s="13"/>
    </row>
    <row r="237" ht="15.75" customHeight="1">
      <c r="F237" s="13"/>
    </row>
    <row r="238" ht="15.75" customHeight="1">
      <c r="F238" s="13"/>
    </row>
    <row r="239" ht="15.75" customHeight="1">
      <c r="F239" s="13"/>
    </row>
    <row r="240" ht="15.75" customHeight="1">
      <c r="F240" s="13"/>
    </row>
    <row r="241" ht="15.75" customHeight="1">
      <c r="F241" s="13"/>
    </row>
    <row r="242" ht="15.75" customHeight="1">
      <c r="F242" s="13"/>
    </row>
    <row r="243" ht="15.75" customHeight="1">
      <c r="F243" s="13"/>
    </row>
    <row r="244" ht="15.75" customHeight="1">
      <c r="F244" s="13"/>
    </row>
    <row r="245" ht="15.75" customHeight="1">
      <c r="F245" s="13"/>
    </row>
    <row r="246" ht="15.75" customHeight="1">
      <c r="F246" s="13"/>
    </row>
    <row r="247" ht="15.75" customHeight="1">
      <c r="F247" s="13"/>
    </row>
    <row r="248" ht="15.75" customHeight="1">
      <c r="F248" s="13"/>
    </row>
    <row r="249" ht="15.75" customHeight="1">
      <c r="F249" s="13"/>
    </row>
    <row r="250" ht="15.75" customHeight="1">
      <c r="F250" s="13"/>
    </row>
    <row r="251" ht="15.75" customHeight="1">
      <c r="F251" s="13"/>
    </row>
    <row r="252" ht="15.75" customHeight="1">
      <c r="F252" s="13"/>
    </row>
    <row r="253" ht="15.75" customHeight="1">
      <c r="F253" s="13"/>
    </row>
    <row r="254" ht="15.75" customHeight="1">
      <c r="F254" s="13"/>
    </row>
    <row r="255" ht="15.75" customHeight="1">
      <c r="F255" s="13"/>
    </row>
    <row r="256" ht="15.75" customHeight="1">
      <c r="F256" s="13"/>
    </row>
    <row r="257" ht="15.75" customHeight="1">
      <c r="F257" s="13"/>
    </row>
    <row r="258" ht="15.75" customHeight="1">
      <c r="F258" s="13"/>
    </row>
    <row r="259" ht="15.75" customHeight="1">
      <c r="F259" s="13"/>
    </row>
    <row r="260" ht="15.75" customHeight="1">
      <c r="F260" s="13"/>
    </row>
    <row r="261" ht="15.75" customHeight="1">
      <c r="F261" s="13"/>
    </row>
    <row r="262" ht="15.75" customHeight="1">
      <c r="F262" s="13"/>
    </row>
    <row r="263" ht="15.75" customHeight="1">
      <c r="F263" s="13"/>
    </row>
    <row r="264" ht="15.75" customHeight="1">
      <c r="F264" s="13"/>
    </row>
    <row r="265" ht="15.75" customHeight="1">
      <c r="F265" s="13"/>
    </row>
    <row r="266" ht="15.75" customHeight="1">
      <c r="F266" s="13"/>
    </row>
    <row r="267" ht="15.75" customHeight="1">
      <c r="F267" s="13"/>
    </row>
    <row r="268" ht="15.75" customHeight="1">
      <c r="F268" s="13"/>
    </row>
    <row r="269" ht="15.75" customHeight="1">
      <c r="F269" s="13"/>
    </row>
    <row r="270" ht="15.75" customHeight="1">
      <c r="F270" s="13"/>
    </row>
    <row r="271" ht="15.75" customHeight="1">
      <c r="F271" s="13"/>
    </row>
    <row r="272" ht="15.75" customHeight="1">
      <c r="F272" s="13"/>
    </row>
    <row r="273" ht="15.75" customHeight="1">
      <c r="F273" s="13"/>
    </row>
    <row r="274" ht="15.75" customHeight="1">
      <c r="F274" s="13"/>
    </row>
    <row r="275" ht="15.75" customHeight="1">
      <c r="F275" s="13"/>
    </row>
    <row r="276" ht="15.75" customHeight="1">
      <c r="F276" s="13"/>
    </row>
    <row r="277" ht="15.75" customHeight="1">
      <c r="F277" s="13"/>
    </row>
    <row r="278" ht="15.75" customHeight="1">
      <c r="F278" s="13"/>
    </row>
    <row r="279" ht="15.75" customHeight="1">
      <c r="F279" s="13"/>
    </row>
    <row r="280" ht="15.75" customHeight="1">
      <c r="F280" s="13"/>
    </row>
    <row r="281" ht="15.75" customHeight="1">
      <c r="F281" s="13"/>
    </row>
    <row r="282" ht="15.75" customHeight="1">
      <c r="F282" s="13"/>
    </row>
    <row r="283" ht="15.75" customHeight="1">
      <c r="F283" s="13"/>
    </row>
    <row r="284" ht="15.75" customHeight="1">
      <c r="F284" s="13"/>
    </row>
    <row r="285" ht="15.75" customHeight="1">
      <c r="F285" s="13"/>
    </row>
    <row r="286" ht="15.75" customHeight="1">
      <c r="F286" s="13"/>
    </row>
    <row r="287" ht="15.75" customHeight="1">
      <c r="F287" s="13"/>
    </row>
    <row r="288" ht="15.75" customHeight="1">
      <c r="F288" s="13"/>
    </row>
    <row r="289" ht="15.75" customHeight="1">
      <c r="F289" s="13"/>
    </row>
    <row r="290" ht="15.75" customHeight="1">
      <c r="F290" s="13"/>
    </row>
    <row r="291" ht="15.75" customHeight="1">
      <c r="F291" s="13"/>
    </row>
    <row r="292" ht="15.75" customHeight="1">
      <c r="F292" s="13"/>
    </row>
    <row r="293" ht="15.75" customHeight="1">
      <c r="F293" s="13"/>
    </row>
    <row r="294" ht="15.75" customHeight="1">
      <c r="F294" s="13"/>
    </row>
    <row r="295" ht="15.75" customHeight="1">
      <c r="F295" s="13"/>
    </row>
    <row r="296" ht="15.75" customHeight="1">
      <c r="F296" s="13"/>
    </row>
    <row r="297" ht="15.75" customHeight="1">
      <c r="F297" s="13"/>
    </row>
    <row r="298" ht="15.75" customHeight="1">
      <c r="F298" s="13"/>
    </row>
    <row r="299" ht="15.75" customHeight="1">
      <c r="F299" s="13"/>
    </row>
    <row r="300" ht="15.75" customHeight="1">
      <c r="F300" s="13"/>
    </row>
    <row r="301" ht="15.75" customHeight="1">
      <c r="F301" s="13"/>
    </row>
    <row r="302" ht="15.75" customHeight="1">
      <c r="F302" s="13"/>
    </row>
    <row r="303" ht="15.75" customHeight="1">
      <c r="F303" s="13"/>
    </row>
    <row r="304" ht="15.75" customHeight="1">
      <c r="F304" s="13"/>
    </row>
    <row r="305" ht="15.75" customHeight="1">
      <c r="F305" s="13"/>
    </row>
    <row r="306" ht="15.75" customHeight="1">
      <c r="F306" s="13"/>
    </row>
    <row r="307" ht="15.75" customHeight="1">
      <c r="F307" s="13"/>
    </row>
    <row r="308" ht="15.75" customHeight="1">
      <c r="F308" s="13"/>
    </row>
    <row r="309" ht="15.75" customHeight="1">
      <c r="F309" s="13"/>
    </row>
    <row r="310" ht="15.75" customHeight="1">
      <c r="F310" s="13"/>
    </row>
    <row r="311" ht="15.75" customHeight="1">
      <c r="F311" s="13"/>
    </row>
    <row r="312" ht="15.75" customHeight="1">
      <c r="F312" s="13"/>
    </row>
    <row r="313" ht="15.75" customHeight="1">
      <c r="F313" s="13"/>
    </row>
    <row r="314" ht="15.75" customHeight="1">
      <c r="F314" s="13"/>
    </row>
    <row r="315" ht="15.75" customHeight="1">
      <c r="F315" s="13"/>
    </row>
    <row r="316" ht="15.75" customHeight="1">
      <c r="F316" s="13"/>
    </row>
    <row r="317" ht="15.75" customHeight="1">
      <c r="F317" s="13"/>
    </row>
    <row r="318" ht="15.75" customHeight="1">
      <c r="F318" s="13"/>
    </row>
    <row r="319" ht="15.75" customHeight="1">
      <c r="F319" s="13"/>
    </row>
    <row r="320" ht="15.75" customHeight="1">
      <c r="F320" s="13"/>
    </row>
    <row r="321" ht="15.75" customHeight="1">
      <c r="F321" s="13"/>
    </row>
    <row r="322" ht="15.75" customHeight="1">
      <c r="F322" s="13"/>
    </row>
    <row r="323" ht="15.75" customHeight="1">
      <c r="F323" s="13"/>
    </row>
    <row r="324" ht="15.75" customHeight="1">
      <c r="F324" s="13"/>
    </row>
    <row r="325" ht="15.75" customHeight="1">
      <c r="F325" s="13"/>
    </row>
    <row r="326" ht="15.75" customHeight="1">
      <c r="F326" s="13"/>
    </row>
    <row r="327" ht="15.75" customHeight="1">
      <c r="F327" s="13"/>
    </row>
    <row r="328" ht="15.75" customHeight="1">
      <c r="F328" s="13"/>
    </row>
    <row r="329" ht="15.75" customHeight="1">
      <c r="F329" s="13"/>
    </row>
    <row r="330" ht="15.75" customHeight="1">
      <c r="F330" s="13"/>
    </row>
    <row r="331" ht="15.75" customHeight="1">
      <c r="F331" s="13"/>
    </row>
    <row r="332" ht="15.75" customHeight="1">
      <c r="F332" s="13"/>
    </row>
    <row r="333" ht="15.75" customHeight="1">
      <c r="F333" s="13"/>
    </row>
    <row r="334" ht="15.75" customHeight="1">
      <c r="F334" s="13"/>
    </row>
    <row r="335" ht="15.75" customHeight="1">
      <c r="F335" s="13"/>
    </row>
    <row r="336" ht="15.75" customHeight="1">
      <c r="F336" s="13"/>
    </row>
    <row r="337" ht="15.75" customHeight="1">
      <c r="F337" s="13"/>
    </row>
    <row r="338" ht="15.75" customHeight="1">
      <c r="F338" s="13"/>
    </row>
    <row r="339" ht="15.75" customHeight="1">
      <c r="F339" s="13"/>
    </row>
    <row r="340" ht="15.75" customHeight="1">
      <c r="F340" s="13"/>
    </row>
    <row r="341" ht="15.75" customHeight="1">
      <c r="F341" s="13"/>
    </row>
    <row r="342" ht="15.75" customHeight="1">
      <c r="F342" s="13"/>
    </row>
    <row r="343" ht="15.75" customHeight="1">
      <c r="F343" s="13"/>
    </row>
    <row r="344" ht="15.75" customHeight="1">
      <c r="F344" s="13"/>
    </row>
    <row r="345" ht="15.75" customHeight="1">
      <c r="F345" s="13"/>
    </row>
    <row r="346" ht="15.75" customHeight="1">
      <c r="F346" s="13"/>
    </row>
    <row r="347" ht="15.75" customHeight="1">
      <c r="F347" s="13"/>
    </row>
    <row r="348" ht="15.75" customHeight="1">
      <c r="F348" s="13"/>
    </row>
    <row r="349" ht="15.75" customHeight="1">
      <c r="F349" s="13"/>
    </row>
    <row r="350" ht="15.75" customHeight="1">
      <c r="F350" s="13"/>
    </row>
    <row r="351" ht="15.75" customHeight="1">
      <c r="F351" s="13"/>
    </row>
    <row r="352" ht="15.75" customHeight="1">
      <c r="F352" s="13"/>
    </row>
    <row r="353" ht="15.75" customHeight="1">
      <c r="F353" s="13"/>
    </row>
    <row r="354" ht="15.75" customHeight="1">
      <c r="F354" s="13"/>
    </row>
    <row r="355" ht="15.75" customHeight="1">
      <c r="F355" s="13"/>
    </row>
    <row r="356" ht="15.75" customHeight="1">
      <c r="F356" s="13"/>
    </row>
    <row r="357" ht="15.75" customHeight="1">
      <c r="F357" s="13"/>
    </row>
    <row r="358" ht="15.75" customHeight="1">
      <c r="F358" s="13"/>
    </row>
    <row r="359" ht="15.75" customHeight="1">
      <c r="F359" s="13"/>
    </row>
    <row r="360" ht="15.75" customHeight="1">
      <c r="F360" s="13"/>
    </row>
    <row r="361" ht="15.75" customHeight="1">
      <c r="F361" s="13"/>
    </row>
    <row r="362" ht="15.75" customHeight="1">
      <c r="F362" s="13"/>
    </row>
    <row r="363" ht="15.75" customHeight="1">
      <c r="F363" s="13"/>
    </row>
    <row r="364" ht="15.75" customHeight="1">
      <c r="F364" s="13"/>
    </row>
    <row r="365" ht="15.75" customHeight="1">
      <c r="F365" s="13"/>
    </row>
    <row r="366" ht="15.75" customHeight="1">
      <c r="F366" s="13"/>
    </row>
    <row r="367" ht="15.75" customHeight="1">
      <c r="F367" s="13"/>
    </row>
    <row r="368" ht="15.75" customHeight="1">
      <c r="F368" s="13"/>
    </row>
    <row r="369" ht="15.75" customHeight="1">
      <c r="F369" s="13"/>
    </row>
    <row r="370" ht="15.75" customHeight="1">
      <c r="F370" s="13"/>
    </row>
    <row r="371" ht="15.75" customHeight="1">
      <c r="F371" s="13"/>
    </row>
    <row r="372" ht="15.75" customHeight="1">
      <c r="F372" s="13"/>
    </row>
    <row r="373" ht="15.75" customHeight="1">
      <c r="F373" s="13"/>
    </row>
    <row r="374" ht="15.75" customHeight="1">
      <c r="F374" s="13"/>
    </row>
    <row r="375" ht="15.75" customHeight="1">
      <c r="F375" s="13"/>
    </row>
    <row r="376" ht="15.75" customHeight="1">
      <c r="F376" s="13"/>
    </row>
    <row r="377" ht="15.75" customHeight="1">
      <c r="F377" s="13"/>
    </row>
    <row r="378" ht="15.75" customHeight="1">
      <c r="F378" s="13"/>
    </row>
    <row r="379" ht="15.75" customHeight="1">
      <c r="F379" s="13"/>
    </row>
    <row r="380" ht="15.75" customHeight="1">
      <c r="F380" s="13"/>
    </row>
    <row r="381" ht="15.75" customHeight="1">
      <c r="F381" s="13"/>
    </row>
    <row r="382" ht="15.75" customHeight="1">
      <c r="F382" s="13"/>
    </row>
    <row r="383" ht="15.75" customHeight="1">
      <c r="F383" s="13"/>
    </row>
    <row r="384" ht="15.75" customHeight="1">
      <c r="F384" s="13"/>
    </row>
    <row r="385" ht="15.75" customHeight="1">
      <c r="F385" s="13"/>
    </row>
    <row r="386" ht="15.75" customHeight="1">
      <c r="F386" s="13"/>
    </row>
    <row r="387" ht="15.75" customHeight="1">
      <c r="F387" s="13"/>
    </row>
    <row r="388" ht="15.75" customHeight="1">
      <c r="F388" s="13"/>
    </row>
    <row r="389" ht="15.75" customHeight="1">
      <c r="F389" s="13"/>
    </row>
    <row r="390" ht="15.75" customHeight="1">
      <c r="F390" s="13"/>
    </row>
    <row r="391" ht="15.75" customHeight="1">
      <c r="F391" s="13"/>
    </row>
    <row r="392" ht="15.75" customHeight="1">
      <c r="F392" s="13"/>
    </row>
    <row r="393" ht="15.75" customHeight="1">
      <c r="F393" s="13"/>
    </row>
    <row r="394" ht="15.75" customHeight="1">
      <c r="F394" s="13"/>
    </row>
    <row r="395" ht="15.75" customHeight="1">
      <c r="F395" s="13"/>
    </row>
    <row r="396" ht="15.75" customHeight="1">
      <c r="F396" s="13"/>
    </row>
    <row r="397" ht="15.75" customHeight="1">
      <c r="F397" s="13"/>
    </row>
    <row r="398" ht="15.75" customHeight="1">
      <c r="F398" s="13"/>
    </row>
    <row r="399" ht="15.75" customHeight="1">
      <c r="F399" s="13"/>
    </row>
    <row r="400" ht="15.75" customHeight="1">
      <c r="F400" s="13"/>
    </row>
    <row r="401" ht="15.75" customHeight="1">
      <c r="F401" s="13"/>
    </row>
    <row r="402" ht="15.75" customHeight="1">
      <c r="F402" s="13"/>
    </row>
    <row r="403" ht="15.75" customHeight="1">
      <c r="F403" s="13"/>
    </row>
    <row r="404" ht="15.75" customHeight="1">
      <c r="F404" s="13"/>
    </row>
    <row r="405" ht="15.75" customHeight="1">
      <c r="F405" s="13"/>
    </row>
    <row r="406" ht="15.75" customHeight="1">
      <c r="F406" s="13"/>
    </row>
    <row r="407" ht="15.75" customHeight="1">
      <c r="F407" s="13"/>
    </row>
    <row r="408" ht="15.75" customHeight="1">
      <c r="F408" s="13"/>
    </row>
    <row r="409" ht="15.75" customHeight="1">
      <c r="F409" s="13"/>
    </row>
    <row r="410" ht="15.75" customHeight="1">
      <c r="F410" s="13"/>
    </row>
    <row r="411" ht="15.75" customHeight="1">
      <c r="F411" s="13"/>
    </row>
    <row r="412" ht="15.75" customHeight="1">
      <c r="F412" s="13"/>
    </row>
    <row r="413" ht="15.75" customHeight="1">
      <c r="F413" s="13"/>
    </row>
    <row r="414" ht="15.75" customHeight="1">
      <c r="F414" s="13"/>
    </row>
    <row r="415" ht="15.75" customHeight="1">
      <c r="F415" s="13"/>
    </row>
    <row r="416" ht="15.75" customHeight="1">
      <c r="F416" s="13"/>
    </row>
    <row r="417" ht="15.75" customHeight="1">
      <c r="F417" s="13"/>
    </row>
    <row r="418" ht="15.75" customHeight="1">
      <c r="F418" s="13"/>
    </row>
    <row r="419" ht="15.75" customHeight="1">
      <c r="F419" s="13"/>
    </row>
    <row r="420" ht="15.75" customHeight="1">
      <c r="F420" s="13"/>
    </row>
    <row r="421" ht="15.75" customHeight="1">
      <c r="F421" s="13"/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Q3">
    <cfRule type="expression" dxfId="9" priority="1">
      <formula>Q3&lt;&gt;243082392</formula>
    </cfRule>
  </conditionalFormatting>
  <conditionalFormatting sqref="Q4">
    <cfRule type="expression" dxfId="9" priority="2">
      <formula>Q4&lt;&gt;268391454</formula>
    </cfRule>
  </conditionalFormatting>
  <conditionalFormatting sqref="R2:R221">
    <cfRule type="expression" dxfId="1" priority="3">
      <formula>R2="READY"</formula>
    </cfRule>
  </conditionalFormatting>
  <conditionalFormatting sqref="R2:R221">
    <cfRule type="expression" dxfId="10" priority="4">
      <formula>R2&lt;&gt;"READY"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9.0"/>
    <col customWidth="1" min="3" max="3" width="26.0"/>
    <col customWidth="1" min="4" max="4" width="32.0"/>
    <col customWidth="1" min="5" max="5" width="18.0"/>
    <col customWidth="1" min="6" max="6" width="15.0"/>
    <col customWidth="1" min="7" max="7" width="14.0"/>
    <col customWidth="1" min="8" max="8" width="10.0"/>
    <col customWidth="1" min="9" max="9" width="18.0"/>
    <col customWidth="1" min="10" max="10" width="36.0"/>
    <col customWidth="1" min="11" max="12" width="48.0"/>
  </cols>
  <sheetData>
    <row r="1" ht="15.7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10</v>
      </c>
      <c r="H1" s="1" t="s">
        <v>13</v>
      </c>
      <c r="I1" s="1" t="s">
        <v>15</v>
      </c>
      <c r="J1" s="1" t="s">
        <v>18</v>
      </c>
      <c r="K1" s="2" t="s">
        <v>21</v>
      </c>
      <c r="L1" s="2" t="s">
        <v>24</v>
      </c>
    </row>
    <row r="2" ht="15.75" customHeight="1">
      <c r="A2" s="3" t="s">
        <v>30</v>
      </c>
      <c r="B2" s="3" t="s">
        <v>34</v>
      </c>
      <c r="C2" s="3" t="s">
        <v>37</v>
      </c>
      <c r="D2" s="3" t="s">
        <v>38</v>
      </c>
      <c r="E2" s="5" t="s">
        <v>41</v>
      </c>
      <c r="F2" s="6">
        <v>2025.0</v>
      </c>
      <c r="G2" s="7"/>
      <c r="H2" s="5" t="s">
        <v>55</v>
      </c>
      <c r="I2" s="5" t="s">
        <v>57</v>
      </c>
      <c r="J2" s="3" t="s">
        <v>58</v>
      </c>
      <c r="K2" s="5" t="s">
        <v>59</v>
      </c>
      <c r="L2" s="5" t="s">
        <v>60</v>
      </c>
    </row>
    <row r="3" ht="15.75" customHeight="1">
      <c r="A3" s="3" t="s">
        <v>62</v>
      </c>
      <c r="B3" s="3" t="s">
        <v>46</v>
      </c>
      <c r="C3" s="3" t="s">
        <v>63</v>
      </c>
      <c r="D3" s="3" t="s">
        <v>65</v>
      </c>
      <c r="E3" s="5" t="s">
        <v>41</v>
      </c>
      <c r="F3" s="6">
        <v>2025.0</v>
      </c>
      <c r="G3" s="7"/>
      <c r="H3" s="5" t="s">
        <v>55</v>
      </c>
      <c r="I3" s="5" t="s">
        <v>57</v>
      </c>
      <c r="J3" s="3" t="s">
        <v>58</v>
      </c>
      <c r="K3" s="5" t="s">
        <v>59</v>
      </c>
      <c r="L3" s="5" t="s">
        <v>60</v>
      </c>
    </row>
    <row r="4" ht="15.75" customHeight="1">
      <c r="A4" s="3" t="s">
        <v>72</v>
      </c>
      <c r="B4" s="3" t="s">
        <v>34</v>
      </c>
      <c r="C4" s="3" t="s">
        <v>37</v>
      </c>
      <c r="D4" s="3" t="s">
        <v>38</v>
      </c>
      <c r="E4" s="5" t="s">
        <v>41</v>
      </c>
      <c r="F4" s="6">
        <v>2026.0</v>
      </c>
      <c r="G4" s="7"/>
      <c r="H4" s="5" t="s">
        <v>55</v>
      </c>
      <c r="I4" s="5" t="s">
        <v>57</v>
      </c>
      <c r="J4" s="3" t="s">
        <v>58</v>
      </c>
      <c r="K4" s="5" t="s">
        <v>59</v>
      </c>
      <c r="L4" s="5" t="s">
        <v>60</v>
      </c>
    </row>
    <row r="5" ht="15.75" customHeight="1">
      <c r="A5" s="5" t="s">
        <v>79</v>
      </c>
      <c r="B5" s="8" t="s">
        <v>46</v>
      </c>
      <c r="C5" s="8" t="s">
        <v>63</v>
      </c>
      <c r="D5" s="8" t="s">
        <v>65</v>
      </c>
      <c r="E5" s="5" t="s">
        <v>41</v>
      </c>
      <c r="F5" s="6">
        <v>2026.0</v>
      </c>
      <c r="G5" s="10"/>
      <c r="H5" s="5" t="s">
        <v>55</v>
      </c>
      <c r="I5" s="5" t="s">
        <v>57</v>
      </c>
      <c r="J5" s="8" t="s">
        <v>58</v>
      </c>
      <c r="K5" s="5" t="s">
        <v>59</v>
      </c>
      <c r="L5" s="5" t="s">
        <v>60</v>
      </c>
    </row>
    <row r="6" ht="15.75" customHeight="1">
      <c r="A6" s="5" t="s">
        <v>103</v>
      </c>
      <c r="B6" s="8" t="s">
        <v>34</v>
      </c>
      <c r="C6" s="8" t="s">
        <v>37</v>
      </c>
      <c r="D6" s="8" t="s">
        <v>38</v>
      </c>
      <c r="E6" s="5" t="s">
        <v>108</v>
      </c>
      <c r="F6" s="6">
        <v>2025.0</v>
      </c>
      <c r="G6" s="10"/>
      <c r="H6" s="5" t="s">
        <v>55</v>
      </c>
      <c r="I6" s="5" t="s">
        <v>57</v>
      </c>
      <c r="J6" s="8" t="s">
        <v>58</v>
      </c>
      <c r="K6" s="5" t="s">
        <v>59</v>
      </c>
      <c r="L6" s="5" t="s">
        <v>60</v>
      </c>
    </row>
    <row r="7" ht="15.75" customHeight="1">
      <c r="A7" s="5" t="s">
        <v>116</v>
      </c>
      <c r="B7" s="8" t="s">
        <v>46</v>
      </c>
      <c r="C7" s="8" t="s">
        <v>63</v>
      </c>
      <c r="D7" s="8" t="s">
        <v>65</v>
      </c>
      <c r="E7" s="5" t="s">
        <v>108</v>
      </c>
      <c r="F7" s="6">
        <v>2025.0</v>
      </c>
      <c r="G7" s="10"/>
      <c r="H7" s="5" t="s">
        <v>55</v>
      </c>
      <c r="I7" s="5" t="s">
        <v>57</v>
      </c>
      <c r="J7" s="8" t="s">
        <v>58</v>
      </c>
      <c r="K7" s="5" t="s">
        <v>59</v>
      </c>
      <c r="L7" s="5" t="s">
        <v>60</v>
      </c>
    </row>
    <row r="8" ht="15.75" customHeight="1">
      <c r="A8" s="5" t="s">
        <v>118</v>
      </c>
      <c r="B8" s="8" t="s">
        <v>34</v>
      </c>
      <c r="C8" s="8" t="s">
        <v>37</v>
      </c>
      <c r="D8" s="8" t="s">
        <v>38</v>
      </c>
      <c r="E8" s="5" t="s">
        <v>108</v>
      </c>
      <c r="F8" s="5">
        <v>2026.0</v>
      </c>
      <c r="G8" s="10"/>
      <c r="H8" s="5" t="s">
        <v>55</v>
      </c>
      <c r="I8" s="5" t="s">
        <v>57</v>
      </c>
      <c r="J8" s="8" t="s">
        <v>58</v>
      </c>
      <c r="K8" s="5" t="s">
        <v>59</v>
      </c>
      <c r="L8" s="5" t="s">
        <v>60</v>
      </c>
    </row>
    <row r="9" ht="15.75" customHeight="1">
      <c r="A9" s="5" t="s">
        <v>121</v>
      </c>
      <c r="B9" s="8" t="s">
        <v>46</v>
      </c>
      <c r="C9" s="8" t="s">
        <v>63</v>
      </c>
      <c r="D9" s="8" t="s">
        <v>65</v>
      </c>
      <c r="E9" s="5" t="s">
        <v>108</v>
      </c>
      <c r="F9" s="5">
        <v>2026.0</v>
      </c>
      <c r="G9" s="10"/>
      <c r="H9" s="5" t="s">
        <v>55</v>
      </c>
      <c r="I9" s="5" t="s">
        <v>57</v>
      </c>
      <c r="J9" s="8" t="s">
        <v>58</v>
      </c>
      <c r="K9" s="5" t="s">
        <v>59</v>
      </c>
      <c r="L9" s="5" t="s">
        <v>60</v>
      </c>
    </row>
    <row r="10" ht="15.75" customHeight="1">
      <c r="A10" s="5" t="s">
        <v>122</v>
      </c>
      <c r="B10" s="8" t="s">
        <v>34</v>
      </c>
      <c r="C10" s="8" t="s">
        <v>37</v>
      </c>
      <c r="D10" s="8" t="s">
        <v>38</v>
      </c>
      <c r="E10" s="5" t="s">
        <v>123</v>
      </c>
      <c r="F10" s="5">
        <v>2025.0</v>
      </c>
      <c r="G10" s="10"/>
      <c r="H10" s="5" t="s">
        <v>55</v>
      </c>
      <c r="I10" s="5" t="s">
        <v>57</v>
      </c>
      <c r="J10" s="8" t="s">
        <v>58</v>
      </c>
      <c r="K10" s="5" t="s">
        <v>59</v>
      </c>
      <c r="L10" s="5" t="s">
        <v>60</v>
      </c>
    </row>
    <row r="11" ht="15.75" customHeight="1">
      <c r="A11" s="5" t="s">
        <v>124</v>
      </c>
      <c r="B11" s="8" t="s">
        <v>46</v>
      </c>
      <c r="C11" s="8" t="s">
        <v>63</v>
      </c>
      <c r="D11" s="8" t="s">
        <v>65</v>
      </c>
      <c r="E11" s="5" t="s">
        <v>123</v>
      </c>
      <c r="F11" s="5">
        <v>2025.0</v>
      </c>
      <c r="G11" s="10"/>
      <c r="H11" s="5" t="s">
        <v>55</v>
      </c>
      <c r="I11" s="5" t="s">
        <v>57</v>
      </c>
      <c r="J11" s="8" t="s">
        <v>58</v>
      </c>
      <c r="K11" s="5" t="s">
        <v>59</v>
      </c>
      <c r="L11" s="5" t="s">
        <v>60</v>
      </c>
    </row>
    <row r="12" ht="15.75" customHeight="1">
      <c r="A12" s="5" t="s">
        <v>126</v>
      </c>
      <c r="B12" s="8" t="s">
        <v>34</v>
      </c>
      <c r="C12" s="8" t="s">
        <v>37</v>
      </c>
      <c r="D12" s="8" t="s">
        <v>38</v>
      </c>
      <c r="E12" s="5" t="s">
        <v>123</v>
      </c>
      <c r="F12" s="5">
        <v>2026.0</v>
      </c>
      <c r="G12" s="10"/>
      <c r="H12" s="5" t="s">
        <v>55</v>
      </c>
      <c r="I12" s="5" t="s">
        <v>57</v>
      </c>
      <c r="J12" s="8" t="s">
        <v>58</v>
      </c>
      <c r="K12" s="5" t="s">
        <v>59</v>
      </c>
      <c r="L12" s="5" t="s">
        <v>60</v>
      </c>
    </row>
    <row r="13" ht="15.75" customHeight="1">
      <c r="A13" s="5" t="s">
        <v>128</v>
      </c>
      <c r="B13" s="8" t="s">
        <v>46</v>
      </c>
      <c r="C13" s="8" t="s">
        <v>63</v>
      </c>
      <c r="D13" s="8" t="s">
        <v>65</v>
      </c>
      <c r="E13" s="5" t="s">
        <v>123</v>
      </c>
      <c r="F13" s="5">
        <v>2026.0</v>
      </c>
      <c r="G13" s="10"/>
      <c r="H13" s="5" t="s">
        <v>55</v>
      </c>
      <c r="I13" s="5" t="s">
        <v>57</v>
      </c>
      <c r="J13" s="8" t="s">
        <v>58</v>
      </c>
      <c r="K13" s="5" t="s">
        <v>59</v>
      </c>
      <c r="L13" s="5" t="s">
        <v>60</v>
      </c>
    </row>
    <row r="14" ht="15.75" customHeight="1">
      <c r="B14" s="13"/>
      <c r="C14" s="13"/>
      <c r="D14" s="13"/>
      <c r="J14" s="13"/>
    </row>
    <row r="15" ht="15.75" customHeight="1">
      <c r="B15" s="13"/>
      <c r="C15" s="13"/>
      <c r="D15" s="13"/>
      <c r="J15" s="13"/>
    </row>
    <row r="16" ht="15.75" customHeight="1">
      <c r="B16" s="13"/>
      <c r="C16" s="13"/>
      <c r="D16" s="13"/>
      <c r="J16" s="13"/>
    </row>
    <row r="17" ht="15.75" customHeight="1">
      <c r="B17" s="13"/>
      <c r="C17" s="13"/>
      <c r="D17" s="13"/>
      <c r="J17" s="13"/>
    </row>
    <row r="18" ht="15.75" customHeight="1">
      <c r="B18" s="13"/>
      <c r="C18" s="13"/>
      <c r="D18" s="13"/>
      <c r="J18" s="13"/>
    </row>
    <row r="19" ht="15.75" customHeight="1">
      <c r="B19" s="13"/>
      <c r="C19" s="13"/>
      <c r="D19" s="13"/>
      <c r="J19" s="13"/>
    </row>
    <row r="20" ht="15.75" customHeight="1">
      <c r="B20" s="13"/>
      <c r="C20" s="13"/>
      <c r="D20" s="13"/>
      <c r="J20" s="13"/>
    </row>
    <row r="21" ht="15.75" customHeight="1">
      <c r="B21" s="13"/>
      <c r="C21" s="13"/>
      <c r="D21" s="13"/>
      <c r="J21" s="13"/>
    </row>
    <row r="22" ht="15.75" customHeight="1">
      <c r="B22" s="13"/>
      <c r="C22" s="13"/>
      <c r="D22" s="13"/>
      <c r="J22" s="13"/>
    </row>
    <row r="23" ht="15.75" customHeight="1">
      <c r="B23" s="13"/>
      <c r="C23" s="13"/>
      <c r="D23" s="13"/>
      <c r="J23" s="13"/>
    </row>
    <row r="24" ht="15.75" customHeight="1">
      <c r="B24" s="13"/>
      <c r="C24" s="13"/>
      <c r="D24" s="13"/>
      <c r="J24" s="13"/>
    </row>
    <row r="25" ht="15.75" customHeight="1">
      <c r="B25" s="13"/>
      <c r="C25" s="13"/>
      <c r="D25" s="13"/>
      <c r="J25" s="13"/>
    </row>
    <row r="26" ht="15.75" customHeight="1">
      <c r="B26" s="13"/>
      <c r="C26" s="13"/>
      <c r="D26" s="13"/>
      <c r="J26" s="13"/>
    </row>
    <row r="27" ht="15.75" customHeight="1">
      <c r="B27" s="13"/>
      <c r="C27" s="13"/>
      <c r="D27" s="13"/>
      <c r="J27" s="13"/>
    </row>
    <row r="28" ht="15.75" customHeight="1">
      <c r="B28" s="13"/>
      <c r="C28" s="13"/>
      <c r="D28" s="13"/>
      <c r="J28" s="13"/>
    </row>
    <row r="29" ht="15.75" customHeight="1">
      <c r="B29" s="13"/>
      <c r="C29" s="13"/>
      <c r="D29" s="13"/>
      <c r="J29" s="13"/>
    </row>
    <row r="30" ht="15.75" customHeight="1">
      <c r="B30" s="13"/>
      <c r="C30" s="13"/>
      <c r="D30" s="13"/>
      <c r="J30" s="13"/>
    </row>
    <row r="31" ht="15.75" customHeight="1">
      <c r="B31" s="13"/>
      <c r="C31" s="13"/>
      <c r="D31" s="13"/>
      <c r="J31" s="13"/>
    </row>
    <row r="32" ht="15.75" customHeight="1">
      <c r="B32" s="13"/>
      <c r="C32" s="13"/>
      <c r="D32" s="13"/>
      <c r="J32" s="13"/>
    </row>
    <row r="33" ht="15.75" customHeight="1">
      <c r="B33" s="13"/>
      <c r="C33" s="13"/>
      <c r="D33" s="13"/>
      <c r="J33" s="13"/>
    </row>
    <row r="34" ht="15.75" customHeight="1">
      <c r="B34" s="13"/>
      <c r="C34" s="13"/>
      <c r="D34" s="13"/>
      <c r="J34" s="13"/>
    </row>
    <row r="35" ht="15.75" customHeight="1">
      <c r="B35" s="13"/>
      <c r="C35" s="13"/>
      <c r="D35" s="13"/>
      <c r="J35" s="13"/>
    </row>
    <row r="36" ht="15.75" customHeight="1">
      <c r="B36" s="13"/>
      <c r="C36" s="13"/>
      <c r="D36" s="13"/>
      <c r="J36" s="13"/>
    </row>
    <row r="37" ht="15.75" customHeight="1">
      <c r="B37" s="13"/>
      <c r="C37" s="13"/>
      <c r="D37" s="13"/>
      <c r="J37" s="13"/>
    </row>
    <row r="38" ht="15.75" customHeight="1">
      <c r="B38" s="13"/>
      <c r="C38" s="13"/>
      <c r="D38" s="13"/>
      <c r="J38" s="13"/>
    </row>
    <row r="39" ht="15.75" customHeight="1">
      <c r="B39" s="13"/>
      <c r="C39" s="13"/>
      <c r="D39" s="13"/>
      <c r="J39" s="13"/>
    </row>
    <row r="40" ht="15.75" customHeight="1">
      <c r="B40" s="13"/>
      <c r="C40" s="13"/>
      <c r="D40" s="13"/>
      <c r="J40" s="13"/>
    </row>
    <row r="41" ht="15.75" customHeight="1">
      <c r="B41" s="13"/>
      <c r="C41" s="13"/>
      <c r="D41" s="13"/>
      <c r="J41" s="13"/>
    </row>
    <row r="42" ht="15.75" customHeight="1">
      <c r="B42" s="13"/>
      <c r="C42" s="13"/>
      <c r="D42" s="13"/>
      <c r="J42" s="13"/>
    </row>
    <row r="43" ht="15.75" customHeight="1">
      <c r="B43" s="13"/>
      <c r="C43" s="13"/>
      <c r="D43" s="13"/>
      <c r="J43" s="13"/>
    </row>
    <row r="44" ht="15.75" customHeight="1">
      <c r="B44" s="13"/>
      <c r="C44" s="13"/>
      <c r="D44" s="13"/>
      <c r="J44" s="13"/>
    </row>
    <row r="45" ht="15.75" customHeight="1">
      <c r="B45" s="13"/>
      <c r="C45" s="13"/>
      <c r="D45" s="13"/>
      <c r="J45" s="13"/>
    </row>
    <row r="46" ht="15.75" customHeight="1">
      <c r="B46" s="13"/>
      <c r="C46" s="13"/>
      <c r="D46" s="13"/>
      <c r="J46" s="13"/>
    </row>
    <row r="47" ht="15.75" customHeight="1">
      <c r="B47" s="13"/>
      <c r="C47" s="13"/>
      <c r="D47" s="13"/>
      <c r="J47" s="13"/>
    </row>
    <row r="48" ht="15.75" customHeight="1">
      <c r="B48" s="13"/>
      <c r="C48" s="13"/>
      <c r="D48" s="13"/>
      <c r="J48" s="13"/>
    </row>
    <row r="49" ht="15.75" customHeight="1">
      <c r="B49" s="13"/>
      <c r="C49" s="13"/>
      <c r="D49" s="13"/>
      <c r="J49" s="13"/>
    </row>
    <row r="50" ht="15.75" customHeight="1">
      <c r="B50" s="13"/>
      <c r="C50" s="13"/>
      <c r="D50" s="13"/>
      <c r="J50" s="13"/>
    </row>
    <row r="51" ht="15.75" customHeight="1">
      <c r="B51" s="13"/>
      <c r="C51" s="13"/>
      <c r="D51" s="13"/>
      <c r="J51" s="13"/>
    </row>
    <row r="52" ht="15.75" customHeight="1">
      <c r="B52" s="13"/>
      <c r="C52" s="13"/>
      <c r="D52" s="13"/>
      <c r="J52" s="13"/>
    </row>
    <row r="53" ht="15.75" customHeight="1">
      <c r="B53" s="13"/>
      <c r="C53" s="13"/>
      <c r="D53" s="13"/>
      <c r="J53" s="13"/>
    </row>
    <row r="54" ht="15.75" customHeight="1">
      <c r="B54" s="13"/>
      <c r="C54" s="13"/>
      <c r="D54" s="13"/>
      <c r="J54" s="13"/>
    </row>
    <row r="55" ht="15.75" customHeight="1">
      <c r="B55" s="13"/>
      <c r="C55" s="13"/>
      <c r="D55" s="13"/>
      <c r="J55" s="13"/>
    </row>
    <row r="56" ht="15.75" customHeight="1">
      <c r="B56" s="13"/>
      <c r="C56" s="13"/>
      <c r="D56" s="13"/>
      <c r="J56" s="13"/>
    </row>
    <row r="57" ht="15.75" customHeight="1">
      <c r="B57" s="13"/>
      <c r="C57" s="13"/>
      <c r="D57" s="13"/>
      <c r="J57" s="13"/>
    </row>
    <row r="58" ht="15.75" customHeight="1">
      <c r="B58" s="13"/>
      <c r="C58" s="13"/>
      <c r="D58" s="13"/>
      <c r="J58" s="13"/>
    </row>
    <row r="59" ht="15.75" customHeight="1">
      <c r="B59" s="13"/>
      <c r="C59" s="13"/>
      <c r="D59" s="13"/>
      <c r="J59" s="13"/>
    </row>
    <row r="60" ht="15.75" customHeight="1">
      <c r="B60" s="13"/>
      <c r="C60" s="13"/>
      <c r="D60" s="13"/>
      <c r="J60" s="13"/>
    </row>
    <row r="61" ht="15.75" customHeight="1">
      <c r="B61" s="13"/>
      <c r="C61" s="13"/>
      <c r="D61" s="13"/>
      <c r="J61" s="13"/>
    </row>
    <row r="62" ht="15.75" customHeight="1">
      <c r="B62" s="13"/>
      <c r="C62" s="13"/>
      <c r="D62" s="13"/>
      <c r="J62" s="13"/>
    </row>
    <row r="63" ht="15.75" customHeight="1">
      <c r="B63" s="13"/>
      <c r="C63" s="13"/>
      <c r="D63" s="13"/>
      <c r="J63" s="13"/>
    </row>
    <row r="64" ht="15.75" customHeight="1">
      <c r="B64" s="13"/>
      <c r="C64" s="13"/>
      <c r="D64" s="13"/>
      <c r="J64" s="13"/>
    </row>
    <row r="65" ht="15.75" customHeight="1">
      <c r="B65" s="13"/>
      <c r="C65" s="13"/>
      <c r="D65" s="13"/>
      <c r="J65" s="13"/>
    </row>
    <row r="66" ht="15.75" customHeight="1">
      <c r="B66" s="13"/>
      <c r="C66" s="13"/>
      <c r="D66" s="13"/>
      <c r="J66" s="13"/>
    </row>
    <row r="67" ht="15.75" customHeight="1">
      <c r="B67" s="13"/>
      <c r="C67" s="13"/>
      <c r="D67" s="13"/>
      <c r="J67" s="13"/>
    </row>
    <row r="68" ht="15.75" customHeight="1">
      <c r="B68" s="13"/>
      <c r="C68" s="13"/>
      <c r="D68" s="13"/>
      <c r="J68" s="13"/>
    </row>
    <row r="69" ht="15.75" customHeight="1">
      <c r="B69" s="13"/>
      <c r="C69" s="13"/>
      <c r="D69" s="13"/>
      <c r="J69" s="13"/>
    </row>
    <row r="70" ht="15.75" customHeight="1">
      <c r="B70" s="13"/>
      <c r="C70" s="13"/>
      <c r="D70" s="13"/>
      <c r="J70" s="13"/>
    </row>
    <row r="71" ht="15.75" customHeight="1">
      <c r="B71" s="13"/>
      <c r="C71" s="13"/>
      <c r="D71" s="13"/>
      <c r="J71" s="13"/>
    </row>
    <row r="72" ht="15.75" customHeight="1">
      <c r="B72" s="13"/>
      <c r="C72" s="13"/>
      <c r="D72" s="13"/>
      <c r="J72" s="13"/>
    </row>
    <row r="73" ht="15.75" customHeight="1">
      <c r="B73" s="13"/>
      <c r="C73" s="13"/>
      <c r="D73" s="13"/>
      <c r="J73" s="13"/>
    </row>
    <row r="74" ht="15.75" customHeight="1">
      <c r="B74" s="13"/>
      <c r="C74" s="13"/>
      <c r="D74" s="13"/>
      <c r="J74" s="13"/>
    </row>
    <row r="75" ht="15.75" customHeight="1">
      <c r="B75" s="13"/>
      <c r="C75" s="13"/>
      <c r="D75" s="13"/>
      <c r="J75" s="13"/>
    </row>
    <row r="76" ht="15.75" customHeight="1">
      <c r="B76" s="13"/>
      <c r="C76" s="13"/>
      <c r="D76" s="13"/>
      <c r="J76" s="13"/>
    </row>
    <row r="77" ht="15.75" customHeight="1">
      <c r="B77" s="13"/>
      <c r="C77" s="13"/>
      <c r="D77" s="13"/>
      <c r="J77" s="13"/>
    </row>
    <row r="78" ht="15.75" customHeight="1">
      <c r="B78" s="13"/>
      <c r="C78" s="13"/>
      <c r="D78" s="13"/>
      <c r="J78" s="13"/>
    </row>
    <row r="79" ht="15.75" customHeight="1">
      <c r="B79" s="13"/>
      <c r="C79" s="13"/>
      <c r="D79" s="13"/>
      <c r="J79" s="13"/>
    </row>
    <row r="80" ht="15.75" customHeight="1">
      <c r="B80" s="13"/>
      <c r="C80" s="13"/>
      <c r="D80" s="13"/>
      <c r="J80" s="13"/>
    </row>
    <row r="81" ht="15.75" customHeight="1">
      <c r="B81" s="13"/>
      <c r="C81" s="13"/>
      <c r="D81" s="13"/>
      <c r="J81" s="13"/>
    </row>
    <row r="82" ht="15.75" customHeight="1">
      <c r="B82" s="13"/>
      <c r="C82" s="13"/>
      <c r="D82" s="13"/>
      <c r="J82" s="13"/>
    </row>
    <row r="83" ht="15.75" customHeight="1">
      <c r="B83" s="13"/>
      <c r="C83" s="13"/>
      <c r="D83" s="13"/>
      <c r="J83" s="13"/>
    </row>
    <row r="84" ht="15.75" customHeight="1">
      <c r="B84" s="13"/>
      <c r="C84" s="13"/>
      <c r="D84" s="13"/>
      <c r="J84" s="13"/>
    </row>
    <row r="85" ht="15.75" customHeight="1">
      <c r="B85" s="13"/>
      <c r="C85" s="13"/>
      <c r="D85" s="13"/>
      <c r="J85" s="13"/>
    </row>
    <row r="86" ht="15.75" customHeight="1">
      <c r="B86" s="13"/>
      <c r="C86" s="13"/>
      <c r="D86" s="13"/>
      <c r="J86" s="13"/>
    </row>
    <row r="87" ht="15.75" customHeight="1">
      <c r="B87" s="13"/>
      <c r="C87" s="13"/>
      <c r="D87" s="13"/>
      <c r="J87" s="13"/>
    </row>
    <row r="88" ht="15.75" customHeight="1">
      <c r="B88" s="13"/>
      <c r="C88" s="13"/>
      <c r="D88" s="13"/>
      <c r="J88" s="13"/>
    </row>
    <row r="89" ht="15.75" customHeight="1">
      <c r="B89" s="13"/>
      <c r="C89" s="13"/>
      <c r="D89" s="13"/>
      <c r="J89" s="13"/>
    </row>
    <row r="90" ht="15.75" customHeight="1">
      <c r="B90" s="13"/>
      <c r="C90" s="13"/>
      <c r="D90" s="13"/>
      <c r="J90" s="13"/>
    </row>
    <row r="91" ht="15.75" customHeight="1">
      <c r="B91" s="13"/>
      <c r="C91" s="13"/>
      <c r="D91" s="13"/>
      <c r="J91" s="13"/>
    </row>
    <row r="92" ht="15.75" customHeight="1">
      <c r="B92" s="13"/>
      <c r="C92" s="13"/>
      <c r="D92" s="13"/>
      <c r="J92" s="13"/>
    </row>
    <row r="93" ht="15.75" customHeight="1">
      <c r="B93" s="13"/>
      <c r="C93" s="13"/>
      <c r="D93" s="13"/>
      <c r="J93" s="13"/>
    </row>
    <row r="94" ht="15.75" customHeight="1">
      <c r="B94" s="13"/>
      <c r="C94" s="13"/>
      <c r="D94" s="13"/>
      <c r="J94" s="13"/>
    </row>
    <row r="95" ht="15.75" customHeight="1">
      <c r="B95" s="13"/>
      <c r="C95" s="13"/>
      <c r="D95" s="13"/>
      <c r="J95" s="13"/>
    </row>
    <row r="96" ht="15.75" customHeight="1">
      <c r="B96" s="13"/>
      <c r="C96" s="13"/>
      <c r="D96" s="13"/>
      <c r="J96" s="13"/>
    </row>
    <row r="97" ht="15.75" customHeight="1">
      <c r="B97" s="13"/>
      <c r="C97" s="13"/>
      <c r="D97" s="13"/>
      <c r="J97" s="13"/>
    </row>
    <row r="98" ht="15.75" customHeight="1">
      <c r="B98" s="13"/>
      <c r="C98" s="13"/>
      <c r="D98" s="13"/>
      <c r="J98" s="13"/>
    </row>
    <row r="99" ht="15.75" customHeight="1">
      <c r="B99" s="13"/>
      <c r="C99" s="13"/>
      <c r="D99" s="13"/>
      <c r="J99" s="13"/>
    </row>
    <row r="100" ht="15.75" customHeight="1">
      <c r="B100" s="13"/>
      <c r="C100" s="13"/>
      <c r="D100" s="13"/>
      <c r="J100" s="13"/>
    </row>
    <row r="101" ht="15.75" customHeight="1">
      <c r="B101" s="13"/>
      <c r="C101" s="13"/>
      <c r="D101" s="13"/>
      <c r="J101" s="13"/>
    </row>
    <row r="102" ht="15.75" customHeight="1">
      <c r="B102" s="13"/>
      <c r="C102" s="13"/>
      <c r="D102" s="13"/>
      <c r="J102" s="13"/>
    </row>
    <row r="103" ht="15.75" customHeight="1">
      <c r="B103" s="13"/>
      <c r="C103" s="13"/>
      <c r="D103" s="13"/>
      <c r="J103" s="13"/>
    </row>
    <row r="104" ht="15.75" customHeight="1">
      <c r="B104" s="13"/>
      <c r="C104" s="13"/>
      <c r="D104" s="13"/>
      <c r="J104" s="13"/>
    </row>
    <row r="105" ht="15.75" customHeight="1">
      <c r="B105" s="13"/>
      <c r="C105" s="13"/>
      <c r="D105" s="13"/>
      <c r="J105" s="13"/>
    </row>
    <row r="106" ht="15.75" customHeight="1">
      <c r="B106" s="13"/>
      <c r="C106" s="13"/>
      <c r="D106" s="13"/>
      <c r="J106" s="13"/>
    </row>
    <row r="107" ht="15.75" customHeight="1">
      <c r="B107" s="13"/>
      <c r="C107" s="13"/>
      <c r="D107" s="13"/>
      <c r="J107" s="13"/>
    </row>
    <row r="108" ht="15.75" customHeight="1">
      <c r="B108" s="13"/>
      <c r="C108" s="13"/>
      <c r="D108" s="13"/>
      <c r="J108" s="13"/>
    </row>
    <row r="109" ht="15.75" customHeight="1">
      <c r="B109" s="13"/>
      <c r="C109" s="13"/>
      <c r="D109" s="13"/>
      <c r="J109" s="13"/>
    </row>
    <row r="110" ht="15.75" customHeight="1">
      <c r="B110" s="13"/>
      <c r="C110" s="13"/>
      <c r="D110" s="13"/>
      <c r="J110" s="13"/>
    </row>
    <row r="111" ht="15.75" customHeight="1">
      <c r="B111" s="13"/>
      <c r="C111" s="13"/>
      <c r="D111" s="13"/>
      <c r="J111" s="13"/>
    </row>
    <row r="112" ht="15.75" customHeight="1">
      <c r="B112" s="13"/>
      <c r="C112" s="13"/>
      <c r="D112" s="13"/>
      <c r="J112" s="13"/>
    </row>
    <row r="113" ht="15.75" customHeight="1">
      <c r="B113" s="13"/>
      <c r="C113" s="13"/>
      <c r="D113" s="13"/>
      <c r="J113" s="13"/>
    </row>
    <row r="114" ht="15.75" customHeight="1">
      <c r="B114" s="13"/>
      <c r="C114" s="13"/>
      <c r="D114" s="13"/>
      <c r="J114" s="13"/>
    </row>
    <row r="115" ht="15.75" customHeight="1">
      <c r="B115" s="13"/>
      <c r="C115" s="13"/>
      <c r="D115" s="13"/>
      <c r="J115" s="13"/>
    </row>
    <row r="116" ht="15.75" customHeight="1">
      <c r="B116" s="13"/>
      <c r="C116" s="13"/>
      <c r="D116" s="13"/>
      <c r="J116" s="13"/>
    </row>
    <row r="117" ht="15.75" customHeight="1">
      <c r="B117" s="13"/>
      <c r="C117" s="13"/>
      <c r="D117" s="13"/>
      <c r="J117" s="13"/>
    </row>
    <row r="118" ht="15.75" customHeight="1">
      <c r="B118" s="13"/>
      <c r="C118" s="13"/>
      <c r="D118" s="13"/>
      <c r="J118" s="13"/>
    </row>
    <row r="119" ht="15.75" customHeight="1">
      <c r="B119" s="13"/>
      <c r="C119" s="13"/>
      <c r="D119" s="13"/>
      <c r="J119" s="13"/>
    </row>
    <row r="120" ht="15.75" customHeight="1">
      <c r="B120" s="13"/>
      <c r="C120" s="13"/>
      <c r="D120" s="13"/>
      <c r="J120" s="13"/>
    </row>
    <row r="121" ht="15.75" customHeight="1">
      <c r="B121" s="13"/>
      <c r="C121" s="13"/>
      <c r="D121" s="13"/>
      <c r="J121" s="13"/>
    </row>
    <row r="122" ht="15.75" customHeight="1">
      <c r="B122" s="13"/>
      <c r="C122" s="13"/>
      <c r="D122" s="13"/>
      <c r="J122" s="13"/>
    </row>
    <row r="123" ht="15.75" customHeight="1">
      <c r="B123" s="13"/>
      <c r="C123" s="13"/>
      <c r="D123" s="13"/>
      <c r="J123" s="13"/>
    </row>
    <row r="124" ht="15.75" customHeight="1">
      <c r="B124" s="13"/>
      <c r="C124" s="13"/>
      <c r="D124" s="13"/>
      <c r="J124" s="13"/>
    </row>
    <row r="125" ht="15.75" customHeight="1">
      <c r="B125" s="13"/>
      <c r="C125" s="13"/>
      <c r="D125" s="13"/>
      <c r="J125" s="13"/>
    </row>
    <row r="126" ht="15.75" customHeight="1">
      <c r="B126" s="13"/>
      <c r="C126" s="13"/>
      <c r="D126" s="13"/>
      <c r="J126" s="13"/>
    </row>
    <row r="127" ht="15.75" customHeight="1">
      <c r="B127" s="13"/>
      <c r="C127" s="13"/>
      <c r="D127" s="13"/>
      <c r="J127" s="13"/>
    </row>
    <row r="128" ht="15.75" customHeight="1">
      <c r="B128" s="13"/>
      <c r="C128" s="13"/>
      <c r="D128" s="13"/>
      <c r="J128" s="13"/>
    </row>
    <row r="129" ht="15.75" customHeight="1">
      <c r="B129" s="13"/>
      <c r="C129" s="13"/>
      <c r="D129" s="13"/>
      <c r="J129" s="13"/>
    </row>
    <row r="130" ht="15.75" customHeight="1">
      <c r="B130" s="13"/>
      <c r="C130" s="13"/>
      <c r="D130" s="13"/>
      <c r="J130" s="13"/>
    </row>
    <row r="131" ht="15.75" customHeight="1">
      <c r="B131" s="13"/>
      <c r="C131" s="13"/>
      <c r="D131" s="13"/>
      <c r="J131" s="13"/>
    </row>
    <row r="132" ht="15.75" customHeight="1">
      <c r="B132" s="13"/>
      <c r="C132" s="13"/>
      <c r="D132" s="13"/>
      <c r="J132" s="13"/>
    </row>
    <row r="133" ht="15.75" customHeight="1">
      <c r="B133" s="13"/>
      <c r="C133" s="13"/>
      <c r="D133" s="13"/>
      <c r="J133" s="13"/>
    </row>
    <row r="134" ht="15.75" customHeight="1">
      <c r="B134" s="13"/>
      <c r="C134" s="13"/>
      <c r="D134" s="13"/>
      <c r="J134" s="13"/>
    </row>
    <row r="135" ht="15.75" customHeight="1">
      <c r="B135" s="13"/>
      <c r="C135" s="13"/>
      <c r="D135" s="13"/>
      <c r="J135" s="13"/>
    </row>
    <row r="136" ht="15.75" customHeight="1">
      <c r="B136" s="13"/>
      <c r="C136" s="13"/>
      <c r="D136" s="13"/>
      <c r="J136" s="13"/>
    </row>
    <row r="137" ht="15.75" customHeight="1">
      <c r="B137" s="13"/>
      <c r="C137" s="13"/>
      <c r="D137" s="13"/>
      <c r="J137" s="13"/>
    </row>
    <row r="138" ht="15.75" customHeight="1">
      <c r="B138" s="13"/>
      <c r="C138" s="13"/>
      <c r="D138" s="13"/>
      <c r="J138" s="13"/>
    </row>
    <row r="139" ht="15.75" customHeight="1">
      <c r="B139" s="13"/>
      <c r="C139" s="13"/>
      <c r="D139" s="13"/>
      <c r="J139" s="13"/>
    </row>
    <row r="140" ht="15.75" customHeight="1">
      <c r="B140" s="13"/>
      <c r="C140" s="13"/>
      <c r="D140" s="13"/>
      <c r="J140" s="13"/>
    </row>
    <row r="141" ht="15.75" customHeight="1">
      <c r="B141" s="13"/>
      <c r="C141" s="13"/>
      <c r="D141" s="13"/>
      <c r="J141" s="13"/>
    </row>
    <row r="142" ht="15.75" customHeight="1">
      <c r="B142" s="13"/>
      <c r="C142" s="13"/>
      <c r="D142" s="13"/>
      <c r="J142" s="13"/>
    </row>
    <row r="143" ht="15.75" customHeight="1">
      <c r="B143" s="13"/>
      <c r="C143" s="13"/>
      <c r="D143" s="13"/>
      <c r="J143" s="13"/>
    </row>
    <row r="144" ht="15.75" customHeight="1">
      <c r="B144" s="13"/>
      <c r="C144" s="13"/>
      <c r="D144" s="13"/>
      <c r="J144" s="13"/>
    </row>
    <row r="145" ht="15.75" customHeight="1">
      <c r="B145" s="13"/>
      <c r="C145" s="13"/>
      <c r="D145" s="13"/>
      <c r="J145" s="13"/>
    </row>
    <row r="146" ht="15.75" customHeight="1">
      <c r="B146" s="13"/>
      <c r="C146" s="13"/>
      <c r="D146" s="13"/>
      <c r="J146" s="13"/>
    </row>
    <row r="147" ht="15.75" customHeight="1">
      <c r="B147" s="13"/>
      <c r="C147" s="13"/>
      <c r="D147" s="13"/>
      <c r="J147" s="13"/>
    </row>
    <row r="148" ht="15.75" customHeight="1">
      <c r="B148" s="13"/>
      <c r="C148" s="13"/>
      <c r="D148" s="13"/>
      <c r="J148" s="13"/>
    </row>
    <row r="149" ht="15.75" customHeight="1">
      <c r="B149" s="13"/>
      <c r="C149" s="13"/>
      <c r="D149" s="13"/>
      <c r="J149" s="13"/>
    </row>
    <row r="150" ht="15.75" customHeight="1">
      <c r="B150" s="13"/>
      <c r="C150" s="13"/>
      <c r="D150" s="13"/>
      <c r="J150" s="13"/>
    </row>
    <row r="151" ht="15.75" customHeight="1">
      <c r="B151" s="13"/>
      <c r="C151" s="13"/>
      <c r="D151" s="13"/>
      <c r="J151" s="13"/>
    </row>
    <row r="152" ht="15.75" customHeight="1">
      <c r="B152" s="13"/>
      <c r="C152" s="13"/>
      <c r="D152" s="13"/>
      <c r="J152" s="13"/>
    </row>
    <row r="153" ht="15.75" customHeight="1">
      <c r="B153" s="13"/>
      <c r="C153" s="13"/>
      <c r="D153" s="13"/>
      <c r="J153" s="13"/>
    </row>
    <row r="154" ht="15.75" customHeight="1">
      <c r="B154" s="13"/>
      <c r="C154" s="13"/>
      <c r="D154" s="13"/>
      <c r="J154" s="13"/>
    </row>
    <row r="155" ht="15.75" customHeight="1">
      <c r="B155" s="13"/>
      <c r="C155" s="13"/>
      <c r="D155" s="13"/>
      <c r="J155" s="13"/>
    </row>
    <row r="156" ht="15.75" customHeight="1">
      <c r="B156" s="13"/>
      <c r="C156" s="13"/>
      <c r="D156" s="13"/>
      <c r="J156" s="13"/>
    </row>
    <row r="157" ht="15.75" customHeight="1">
      <c r="B157" s="13"/>
      <c r="C157" s="13"/>
      <c r="D157" s="13"/>
      <c r="J157" s="13"/>
    </row>
    <row r="158" ht="15.75" customHeight="1">
      <c r="B158" s="13"/>
      <c r="C158" s="13"/>
      <c r="D158" s="13"/>
      <c r="J158" s="13"/>
    </row>
    <row r="159" ht="15.75" customHeight="1">
      <c r="B159" s="13"/>
      <c r="C159" s="13"/>
      <c r="D159" s="13"/>
      <c r="J159" s="13"/>
    </row>
    <row r="160" ht="15.75" customHeight="1">
      <c r="B160" s="13"/>
      <c r="C160" s="13"/>
      <c r="D160" s="13"/>
      <c r="J160" s="13"/>
    </row>
    <row r="161" ht="15.75" customHeight="1">
      <c r="B161" s="13"/>
      <c r="C161" s="13"/>
      <c r="D161" s="13"/>
      <c r="J161" s="13"/>
    </row>
    <row r="162" ht="15.75" customHeight="1">
      <c r="B162" s="13"/>
      <c r="C162" s="13"/>
      <c r="D162" s="13"/>
      <c r="J162" s="13"/>
    </row>
    <row r="163" ht="15.75" customHeight="1">
      <c r="B163" s="13"/>
      <c r="C163" s="13"/>
      <c r="D163" s="13"/>
      <c r="J163" s="13"/>
    </row>
    <row r="164" ht="15.75" customHeight="1">
      <c r="B164" s="13"/>
      <c r="C164" s="13"/>
      <c r="D164" s="13"/>
      <c r="J164" s="13"/>
    </row>
    <row r="165" ht="15.75" customHeight="1">
      <c r="B165" s="13"/>
      <c r="C165" s="13"/>
      <c r="D165" s="13"/>
      <c r="J165" s="13"/>
    </row>
    <row r="166" ht="15.75" customHeight="1">
      <c r="B166" s="13"/>
      <c r="C166" s="13"/>
      <c r="D166" s="13"/>
      <c r="J166" s="13"/>
    </row>
    <row r="167" ht="15.75" customHeight="1">
      <c r="B167" s="13"/>
      <c r="C167" s="13"/>
      <c r="D167" s="13"/>
      <c r="J167" s="13"/>
    </row>
    <row r="168" ht="15.75" customHeight="1">
      <c r="B168" s="13"/>
      <c r="C168" s="13"/>
      <c r="D168" s="13"/>
      <c r="J168" s="13"/>
    </row>
    <row r="169" ht="15.75" customHeight="1">
      <c r="B169" s="13"/>
      <c r="C169" s="13"/>
      <c r="D169" s="13"/>
      <c r="J169" s="13"/>
    </row>
    <row r="170" ht="15.75" customHeight="1">
      <c r="B170" s="13"/>
      <c r="C170" s="13"/>
      <c r="D170" s="13"/>
      <c r="J170" s="13"/>
    </row>
    <row r="171" ht="15.75" customHeight="1">
      <c r="B171" s="13"/>
      <c r="C171" s="13"/>
      <c r="D171" s="13"/>
      <c r="J171" s="13"/>
    </row>
    <row r="172" ht="15.75" customHeight="1">
      <c r="B172" s="13"/>
      <c r="C172" s="13"/>
      <c r="D172" s="13"/>
      <c r="J172" s="13"/>
    </row>
    <row r="173" ht="15.75" customHeight="1">
      <c r="B173" s="13"/>
      <c r="C173" s="13"/>
      <c r="D173" s="13"/>
      <c r="J173" s="13"/>
    </row>
    <row r="174" ht="15.75" customHeight="1">
      <c r="B174" s="13"/>
      <c r="C174" s="13"/>
      <c r="D174" s="13"/>
      <c r="J174" s="13"/>
    </row>
    <row r="175" ht="15.75" customHeight="1">
      <c r="B175" s="13"/>
      <c r="C175" s="13"/>
      <c r="D175" s="13"/>
      <c r="J175" s="13"/>
    </row>
    <row r="176" ht="15.75" customHeight="1">
      <c r="B176" s="13"/>
      <c r="C176" s="13"/>
      <c r="D176" s="13"/>
      <c r="J176" s="13"/>
    </row>
    <row r="177" ht="15.75" customHeight="1">
      <c r="B177" s="13"/>
      <c r="C177" s="13"/>
      <c r="D177" s="13"/>
      <c r="J177" s="13"/>
    </row>
    <row r="178" ht="15.75" customHeight="1">
      <c r="B178" s="13"/>
      <c r="C178" s="13"/>
      <c r="D178" s="13"/>
      <c r="J178" s="13"/>
    </row>
    <row r="179" ht="15.75" customHeight="1">
      <c r="B179" s="13"/>
      <c r="C179" s="13"/>
      <c r="D179" s="13"/>
      <c r="J179" s="13"/>
    </row>
    <row r="180" ht="15.75" customHeight="1">
      <c r="B180" s="13"/>
      <c r="C180" s="13"/>
      <c r="D180" s="13"/>
      <c r="J180" s="13"/>
    </row>
    <row r="181" ht="15.75" customHeight="1">
      <c r="B181" s="13"/>
      <c r="C181" s="13"/>
      <c r="D181" s="13"/>
      <c r="J181" s="13"/>
    </row>
    <row r="182" ht="15.75" customHeight="1">
      <c r="B182" s="13"/>
      <c r="C182" s="13"/>
      <c r="D182" s="13"/>
      <c r="J182" s="13"/>
    </row>
    <row r="183" ht="15.75" customHeight="1">
      <c r="B183" s="13"/>
      <c r="C183" s="13"/>
      <c r="D183" s="13"/>
      <c r="J183" s="13"/>
    </row>
    <row r="184" ht="15.75" customHeight="1">
      <c r="B184" s="13"/>
      <c r="C184" s="13"/>
      <c r="D184" s="13"/>
      <c r="J184" s="13"/>
    </row>
    <row r="185" ht="15.75" customHeight="1">
      <c r="B185" s="13"/>
      <c r="C185" s="13"/>
      <c r="D185" s="13"/>
      <c r="J185" s="13"/>
    </row>
    <row r="186" ht="15.75" customHeight="1">
      <c r="B186" s="13"/>
      <c r="C186" s="13"/>
      <c r="D186" s="13"/>
      <c r="J186" s="13"/>
    </row>
    <row r="187" ht="15.75" customHeight="1">
      <c r="B187" s="13"/>
      <c r="C187" s="13"/>
      <c r="D187" s="13"/>
      <c r="J187" s="13"/>
    </row>
    <row r="188" ht="15.75" customHeight="1">
      <c r="B188" s="13"/>
      <c r="C188" s="13"/>
      <c r="D188" s="13"/>
      <c r="J188" s="13"/>
    </row>
    <row r="189" ht="15.75" customHeight="1">
      <c r="B189" s="13"/>
      <c r="C189" s="13"/>
      <c r="D189" s="13"/>
      <c r="J189" s="13"/>
    </row>
    <row r="190" ht="15.75" customHeight="1">
      <c r="B190" s="13"/>
      <c r="C190" s="13"/>
      <c r="D190" s="13"/>
      <c r="J190" s="13"/>
    </row>
    <row r="191" ht="15.75" customHeight="1">
      <c r="B191" s="13"/>
      <c r="C191" s="13"/>
      <c r="D191" s="13"/>
      <c r="J191" s="13"/>
    </row>
    <row r="192" ht="15.75" customHeight="1">
      <c r="B192" s="13"/>
      <c r="C192" s="13"/>
      <c r="D192" s="13"/>
      <c r="J192" s="13"/>
    </row>
    <row r="193" ht="15.75" customHeight="1">
      <c r="B193" s="13"/>
      <c r="C193" s="13"/>
      <c r="D193" s="13"/>
      <c r="J193" s="13"/>
    </row>
    <row r="194" ht="15.75" customHeight="1">
      <c r="B194" s="13"/>
      <c r="C194" s="13"/>
      <c r="D194" s="13"/>
      <c r="J194" s="13"/>
    </row>
    <row r="195" ht="15.75" customHeight="1">
      <c r="B195" s="13"/>
      <c r="C195" s="13"/>
      <c r="D195" s="13"/>
      <c r="J195" s="13"/>
    </row>
    <row r="196" ht="15.75" customHeight="1">
      <c r="B196" s="13"/>
      <c r="C196" s="13"/>
      <c r="D196" s="13"/>
      <c r="J196" s="13"/>
    </row>
    <row r="197" ht="15.75" customHeight="1">
      <c r="B197" s="13"/>
      <c r="C197" s="13"/>
      <c r="D197" s="13"/>
      <c r="J197" s="13"/>
    </row>
    <row r="198" ht="15.75" customHeight="1">
      <c r="B198" s="13"/>
      <c r="C198" s="13"/>
      <c r="D198" s="13"/>
      <c r="J198" s="13"/>
    </row>
    <row r="199" ht="15.75" customHeight="1">
      <c r="B199" s="13"/>
      <c r="C199" s="13"/>
      <c r="D199" s="13"/>
      <c r="J199" s="13"/>
    </row>
    <row r="200" ht="15.75" customHeight="1">
      <c r="B200" s="13"/>
      <c r="C200" s="13"/>
      <c r="D200" s="13"/>
      <c r="J200" s="13"/>
    </row>
    <row r="201" ht="15.75" customHeight="1">
      <c r="B201" s="13"/>
      <c r="C201" s="13"/>
      <c r="D201" s="13"/>
      <c r="J201" s="13"/>
    </row>
    <row r="202" ht="15.75" customHeight="1">
      <c r="B202" s="13"/>
      <c r="C202" s="13"/>
      <c r="D202" s="13"/>
      <c r="J202" s="13"/>
    </row>
    <row r="203" ht="15.75" customHeight="1">
      <c r="B203" s="13"/>
      <c r="C203" s="13"/>
      <c r="D203" s="13"/>
      <c r="J203" s="13"/>
    </row>
    <row r="204" ht="15.75" customHeight="1">
      <c r="B204" s="13"/>
      <c r="C204" s="13"/>
      <c r="D204" s="13"/>
      <c r="J204" s="13"/>
    </row>
    <row r="205" ht="15.75" customHeight="1">
      <c r="B205" s="13"/>
      <c r="C205" s="13"/>
      <c r="D205" s="13"/>
      <c r="J205" s="13"/>
    </row>
    <row r="206" ht="15.75" customHeight="1">
      <c r="B206" s="13"/>
      <c r="C206" s="13"/>
      <c r="D206" s="13"/>
      <c r="J206" s="13"/>
    </row>
    <row r="207" ht="15.75" customHeight="1">
      <c r="B207" s="13"/>
      <c r="C207" s="13"/>
      <c r="D207" s="13"/>
      <c r="J207" s="13"/>
    </row>
    <row r="208" ht="15.75" customHeight="1">
      <c r="B208" s="13"/>
      <c r="C208" s="13"/>
      <c r="D208" s="13"/>
      <c r="J208" s="13"/>
    </row>
    <row r="209" ht="15.75" customHeight="1">
      <c r="B209" s="13"/>
      <c r="C209" s="13"/>
      <c r="D209" s="13"/>
      <c r="J209" s="13"/>
    </row>
    <row r="210" ht="15.75" customHeight="1">
      <c r="B210" s="13"/>
      <c r="C210" s="13"/>
      <c r="D210" s="13"/>
      <c r="J210" s="13"/>
    </row>
    <row r="211" ht="15.75" customHeight="1">
      <c r="B211" s="13"/>
      <c r="C211" s="13"/>
      <c r="D211" s="13"/>
      <c r="J211" s="13"/>
    </row>
    <row r="212" ht="15.75" customHeight="1">
      <c r="B212" s="13"/>
      <c r="C212" s="13"/>
      <c r="D212" s="13"/>
      <c r="J212" s="13"/>
    </row>
    <row r="213" ht="15.75" customHeight="1">
      <c r="B213" s="13"/>
      <c r="C213" s="13"/>
      <c r="D213" s="13"/>
      <c r="J213" s="13"/>
    </row>
    <row r="214" ht="15.75" customHeight="1">
      <c r="B214" s="13"/>
      <c r="C214" s="13"/>
      <c r="D214" s="13"/>
      <c r="J214" s="13"/>
    </row>
    <row r="215" ht="15.75" customHeight="1">
      <c r="B215" s="13"/>
      <c r="C215" s="13"/>
      <c r="D215" s="13"/>
      <c r="J215" s="13"/>
    </row>
    <row r="216" ht="15.75" customHeight="1">
      <c r="B216" s="13"/>
      <c r="C216" s="13"/>
      <c r="D216" s="13"/>
      <c r="J216" s="13"/>
    </row>
    <row r="217" ht="15.75" customHeight="1">
      <c r="B217" s="13"/>
      <c r="C217" s="13"/>
      <c r="D217" s="13"/>
      <c r="J217" s="13"/>
    </row>
    <row r="218" ht="15.75" customHeight="1">
      <c r="B218" s="13"/>
      <c r="C218" s="13"/>
      <c r="D218" s="13"/>
      <c r="J218" s="13"/>
    </row>
    <row r="219" ht="15.75" customHeight="1">
      <c r="B219" s="13"/>
      <c r="C219" s="13"/>
      <c r="D219" s="13"/>
      <c r="J219" s="13"/>
    </row>
    <row r="220" ht="15.75" customHeight="1">
      <c r="B220" s="13"/>
      <c r="C220" s="13"/>
      <c r="D220" s="13"/>
      <c r="J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4" width="26.0"/>
    <col customWidth="1" min="5" max="5" width="36.0"/>
    <col customWidth="1" min="6" max="6" width="28.0"/>
    <col customWidth="1" min="7" max="7" width="34.0"/>
    <col customWidth="1" min="8" max="8" width="24.0"/>
    <col customWidth="1" min="9" max="9" width="48.0"/>
    <col customWidth="1" min="10" max="10" width="46.0"/>
  </cols>
  <sheetData>
    <row r="1" ht="15.75" customHeight="1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70</v>
      </c>
      <c r="H1" s="1" t="s">
        <v>230</v>
      </c>
      <c r="I1" s="1" t="s">
        <v>71</v>
      </c>
      <c r="J1" s="1" t="s">
        <v>232</v>
      </c>
      <c r="K1" s="29"/>
    </row>
    <row r="2" ht="15.75" customHeight="1">
      <c r="A2" s="3" t="s">
        <v>233</v>
      </c>
      <c r="B2" s="5" t="s">
        <v>234</v>
      </c>
      <c r="C2" s="3" t="s">
        <v>235</v>
      </c>
      <c r="D2" s="5" t="s">
        <v>236</v>
      </c>
      <c r="E2" s="5" t="s">
        <v>237</v>
      </c>
      <c r="F2" s="5" t="s">
        <v>238</v>
      </c>
      <c r="G2" s="3" t="s">
        <v>239</v>
      </c>
      <c r="H2" s="3" t="s">
        <v>240</v>
      </c>
      <c r="I2" s="3" t="s">
        <v>241</v>
      </c>
      <c r="J2" s="5" t="s">
        <v>242</v>
      </c>
    </row>
    <row r="3" ht="15.75" customHeight="1">
      <c r="A3" s="3" t="s">
        <v>244</v>
      </c>
      <c r="B3" s="5" t="s">
        <v>234</v>
      </c>
      <c r="C3" s="3" t="s">
        <v>245</v>
      </c>
      <c r="D3" s="5" t="s">
        <v>247</v>
      </c>
      <c r="E3" s="5" t="s">
        <v>248</v>
      </c>
      <c r="F3" s="5" t="s">
        <v>238</v>
      </c>
      <c r="G3" s="3" t="s">
        <v>249</v>
      </c>
      <c r="H3" s="3" t="s">
        <v>240</v>
      </c>
      <c r="I3" s="3" t="s">
        <v>241</v>
      </c>
      <c r="J3" s="5" t="s">
        <v>250</v>
      </c>
    </row>
    <row r="4" ht="15.75" customHeight="1">
      <c r="A4" s="3" t="s">
        <v>251</v>
      </c>
      <c r="B4" s="5" t="s">
        <v>234</v>
      </c>
      <c r="C4" s="3" t="s">
        <v>252</v>
      </c>
      <c r="D4" s="5" t="s">
        <v>253</v>
      </c>
      <c r="E4" s="5" t="s">
        <v>248</v>
      </c>
      <c r="F4" s="5" t="s">
        <v>238</v>
      </c>
      <c r="G4" s="3" t="s">
        <v>254</v>
      </c>
      <c r="H4" s="3" t="s">
        <v>240</v>
      </c>
      <c r="I4" s="3" t="s">
        <v>241</v>
      </c>
      <c r="J4" s="5" t="s">
        <v>255</v>
      </c>
    </row>
    <row r="5" ht="15.75" customHeight="1">
      <c r="A5" s="5" t="s">
        <v>256</v>
      </c>
      <c r="B5" s="5" t="s">
        <v>234</v>
      </c>
      <c r="C5" s="8" t="s">
        <v>257</v>
      </c>
      <c r="D5" s="5" t="s">
        <v>247</v>
      </c>
      <c r="E5" s="5" t="s">
        <v>248</v>
      </c>
      <c r="F5" s="5" t="s">
        <v>238</v>
      </c>
      <c r="G5" s="5" t="s">
        <v>259</v>
      </c>
      <c r="H5" s="5" t="s">
        <v>240</v>
      </c>
      <c r="I5" s="5" t="s">
        <v>241</v>
      </c>
      <c r="J5" s="5" t="s">
        <v>261</v>
      </c>
    </row>
    <row r="6" ht="15.75" customHeight="1">
      <c r="A6" s="5" t="s">
        <v>262</v>
      </c>
      <c r="B6" s="5" t="s">
        <v>234</v>
      </c>
      <c r="C6" s="8" t="s">
        <v>263</v>
      </c>
      <c r="D6" s="5" t="s">
        <v>264</v>
      </c>
      <c r="E6" s="5" t="s">
        <v>265</v>
      </c>
      <c r="F6" s="5" t="s">
        <v>238</v>
      </c>
      <c r="G6" s="5" t="s">
        <v>266</v>
      </c>
      <c r="H6" s="5" t="s">
        <v>240</v>
      </c>
      <c r="I6" s="5" t="s">
        <v>241</v>
      </c>
      <c r="J6" s="5" t="s">
        <v>267</v>
      </c>
    </row>
    <row r="7" ht="15.75" customHeight="1">
      <c r="A7" s="5" t="s">
        <v>268</v>
      </c>
      <c r="B7" s="5" t="s">
        <v>269</v>
      </c>
      <c r="C7" s="8" t="s">
        <v>270</v>
      </c>
      <c r="D7" s="5" t="s">
        <v>271</v>
      </c>
      <c r="E7" s="5" t="s">
        <v>272</v>
      </c>
      <c r="F7" s="5" t="s">
        <v>273</v>
      </c>
      <c r="G7" s="5" t="s">
        <v>272</v>
      </c>
      <c r="H7" s="5" t="s">
        <v>274</v>
      </c>
      <c r="I7" s="5" t="s">
        <v>275</v>
      </c>
      <c r="J7" s="5" t="s">
        <v>276</v>
      </c>
    </row>
    <row r="8" ht="15.75" customHeight="1">
      <c r="A8" s="5" t="s">
        <v>278</v>
      </c>
      <c r="B8" s="5" t="s">
        <v>269</v>
      </c>
      <c r="C8" s="8" t="s">
        <v>270</v>
      </c>
      <c r="D8" s="5" t="s">
        <v>271</v>
      </c>
      <c r="E8" s="5" t="s">
        <v>280</v>
      </c>
      <c r="F8" s="5" t="s">
        <v>273</v>
      </c>
      <c r="G8" s="5" t="s">
        <v>281</v>
      </c>
      <c r="H8" s="5" t="s">
        <v>282</v>
      </c>
      <c r="I8" s="5" t="s">
        <v>283</v>
      </c>
      <c r="J8" s="5" t="s">
        <v>284</v>
      </c>
    </row>
    <row r="9" ht="15.75" customHeight="1">
      <c r="A9" s="5" t="s">
        <v>285</v>
      </c>
      <c r="B9" s="5" t="s">
        <v>286</v>
      </c>
      <c r="C9" s="8" t="s">
        <v>287</v>
      </c>
      <c r="D9" s="5" t="s">
        <v>288</v>
      </c>
      <c r="E9" s="5" t="s">
        <v>289</v>
      </c>
      <c r="F9" s="5" t="s">
        <v>290</v>
      </c>
      <c r="G9" s="5" t="s">
        <v>291</v>
      </c>
      <c r="H9" s="5" t="s">
        <v>292</v>
      </c>
      <c r="I9" s="5" t="s">
        <v>293</v>
      </c>
      <c r="J9" s="5" t="s">
        <v>294</v>
      </c>
    </row>
    <row r="10" ht="15.75" customHeight="1">
      <c r="A10" s="5" t="s">
        <v>295</v>
      </c>
      <c r="B10" s="5" t="s">
        <v>296</v>
      </c>
      <c r="C10" s="8" t="s">
        <v>41</v>
      </c>
      <c r="D10" s="5" t="s">
        <v>298</v>
      </c>
      <c r="E10" s="5" t="s">
        <v>299</v>
      </c>
      <c r="F10" s="5" t="s">
        <v>300</v>
      </c>
      <c r="G10" s="5" t="s">
        <v>179</v>
      </c>
      <c r="H10" s="5" t="s">
        <v>302</v>
      </c>
      <c r="I10" s="5" t="s">
        <v>59</v>
      </c>
      <c r="J10" s="5" t="s">
        <v>303</v>
      </c>
    </row>
    <row r="11" ht="15.75" customHeight="1">
      <c r="A11" s="5" t="s">
        <v>304</v>
      </c>
      <c r="B11" s="5" t="s">
        <v>296</v>
      </c>
      <c r="C11" s="8" t="s">
        <v>108</v>
      </c>
      <c r="D11" s="5" t="s">
        <v>298</v>
      </c>
      <c r="E11" s="5" t="s">
        <v>305</v>
      </c>
      <c r="F11" s="5" t="s">
        <v>300</v>
      </c>
      <c r="G11" s="5" t="s">
        <v>179</v>
      </c>
      <c r="H11" s="5" t="s">
        <v>302</v>
      </c>
      <c r="I11" s="5" t="s">
        <v>59</v>
      </c>
      <c r="J11" s="5" t="s">
        <v>303</v>
      </c>
    </row>
    <row r="12" ht="15.75" customHeight="1">
      <c r="A12" s="5" t="s">
        <v>306</v>
      </c>
      <c r="B12" s="5" t="s">
        <v>296</v>
      </c>
      <c r="C12" s="8" t="s">
        <v>123</v>
      </c>
      <c r="D12" s="5" t="s">
        <v>298</v>
      </c>
      <c r="E12" s="5" t="s">
        <v>307</v>
      </c>
      <c r="F12" s="5" t="s">
        <v>300</v>
      </c>
      <c r="G12" s="5" t="s">
        <v>179</v>
      </c>
      <c r="H12" s="5" t="s">
        <v>302</v>
      </c>
      <c r="I12" s="5" t="s">
        <v>59</v>
      </c>
      <c r="J12" s="5" t="s">
        <v>303</v>
      </c>
    </row>
    <row r="13" ht="15.75" customHeight="1">
      <c r="A13" s="5" t="s">
        <v>310</v>
      </c>
      <c r="B13" s="5" t="s">
        <v>311</v>
      </c>
      <c r="C13" s="8" t="s">
        <v>312</v>
      </c>
      <c r="D13" s="5" t="s">
        <v>313</v>
      </c>
      <c r="E13" s="5" t="s">
        <v>314</v>
      </c>
      <c r="F13" s="5" t="s">
        <v>315</v>
      </c>
      <c r="G13" s="5" t="s">
        <v>316</v>
      </c>
      <c r="H13" s="5" t="s">
        <v>317</v>
      </c>
      <c r="I13" s="5" t="s">
        <v>241</v>
      </c>
      <c r="J13" s="5" t="s">
        <v>318</v>
      </c>
    </row>
    <row r="14" ht="15.75" customHeight="1">
      <c r="A14" s="5" t="s">
        <v>319</v>
      </c>
      <c r="B14" s="5" t="s">
        <v>311</v>
      </c>
      <c r="C14" s="8" t="s">
        <v>312</v>
      </c>
      <c r="D14" s="5" t="s">
        <v>320</v>
      </c>
      <c r="E14" s="5" t="s">
        <v>321</v>
      </c>
      <c r="F14" s="5" t="s">
        <v>322</v>
      </c>
      <c r="G14" s="5" t="s">
        <v>323</v>
      </c>
      <c r="H14" s="5" t="s">
        <v>240</v>
      </c>
      <c r="I14" s="5" t="s">
        <v>241</v>
      </c>
      <c r="J14" s="5" t="s">
        <v>324</v>
      </c>
    </row>
    <row r="15" ht="15.75" customHeight="1">
      <c r="A15" s="5" t="s">
        <v>326</v>
      </c>
      <c r="B15" s="5" t="s">
        <v>311</v>
      </c>
      <c r="C15" s="8" t="s">
        <v>312</v>
      </c>
      <c r="D15" s="5" t="s">
        <v>328</v>
      </c>
      <c r="E15" s="5" t="s">
        <v>329</v>
      </c>
      <c r="F15" s="5" t="s">
        <v>330</v>
      </c>
      <c r="G15" s="5" t="s">
        <v>331</v>
      </c>
      <c r="H15" s="5" t="s">
        <v>332</v>
      </c>
      <c r="I15" s="5" t="s">
        <v>241</v>
      </c>
      <c r="J15" s="5" t="s">
        <v>333</v>
      </c>
    </row>
    <row r="16" ht="15.75" customHeight="1">
      <c r="C16" s="13"/>
    </row>
    <row r="17" ht="15.75" customHeight="1">
      <c r="C17" s="13"/>
    </row>
    <row r="18" ht="15.75" customHeight="1">
      <c r="C18" s="13"/>
    </row>
    <row r="19" ht="15.75" customHeight="1">
      <c r="C19" s="13"/>
    </row>
    <row r="20" ht="15.75" customHeight="1">
      <c r="C20" s="13"/>
    </row>
    <row r="21" ht="15.75" customHeight="1">
      <c r="C21" s="13"/>
    </row>
    <row r="22" ht="15.75" customHeight="1">
      <c r="C22" s="13"/>
    </row>
    <row r="23" ht="15.75" customHeight="1">
      <c r="C23" s="13"/>
    </row>
    <row r="24" ht="15.75" customHeight="1">
      <c r="C24" s="13"/>
    </row>
    <row r="25" ht="15.75" customHeight="1">
      <c r="C25" s="13"/>
    </row>
    <row r="26" ht="15.75" customHeight="1">
      <c r="C26" s="13"/>
    </row>
    <row r="27" ht="15.75" customHeight="1">
      <c r="C27" s="13"/>
    </row>
    <row r="28" ht="15.75" customHeight="1">
      <c r="C28" s="13"/>
    </row>
    <row r="29" ht="15.75" customHeight="1">
      <c r="C29" s="13"/>
    </row>
    <row r="30" ht="15.75" customHeight="1">
      <c r="C30" s="13"/>
    </row>
    <row r="31" ht="15.75" customHeight="1">
      <c r="C31" s="13"/>
    </row>
    <row r="32" ht="15.75" customHeight="1">
      <c r="C32" s="13"/>
    </row>
    <row r="33" ht="15.75" customHeight="1">
      <c r="C33" s="13"/>
    </row>
    <row r="34" ht="15.75" customHeight="1">
      <c r="C34" s="13"/>
    </row>
    <row r="35" ht="15.75" customHeight="1">
      <c r="C35" s="13"/>
    </row>
    <row r="36" ht="15.75" customHeight="1">
      <c r="C36" s="13"/>
    </row>
    <row r="37" ht="15.75" customHeight="1">
      <c r="C37" s="13"/>
    </row>
    <row r="38" ht="15.75" customHeight="1">
      <c r="C38" s="13"/>
    </row>
    <row r="39" ht="15.75" customHeight="1">
      <c r="C39" s="13"/>
    </row>
    <row r="40" ht="15.75" customHeight="1">
      <c r="C40" s="13"/>
    </row>
    <row r="41" ht="15.75" customHeight="1">
      <c r="C41" s="13"/>
    </row>
    <row r="42" ht="15.75" customHeight="1">
      <c r="C42" s="13"/>
    </row>
    <row r="43" ht="15.75" customHeight="1">
      <c r="C43" s="13"/>
    </row>
    <row r="44" ht="15.75" customHeight="1">
      <c r="C44" s="13"/>
    </row>
    <row r="45" ht="15.75" customHeight="1">
      <c r="C45" s="13"/>
    </row>
    <row r="46" ht="15.75" customHeight="1">
      <c r="C46" s="13"/>
    </row>
    <row r="47" ht="15.75" customHeight="1">
      <c r="C47" s="13"/>
    </row>
    <row r="48" ht="15.75" customHeight="1">
      <c r="C48" s="13"/>
    </row>
    <row r="49" ht="15.75" customHeight="1">
      <c r="C49" s="13"/>
    </row>
    <row r="50" ht="15.75" customHeight="1">
      <c r="C50" s="13"/>
    </row>
    <row r="51" ht="15.75" customHeight="1">
      <c r="C51" s="13"/>
    </row>
    <row r="52" ht="15.75" customHeight="1">
      <c r="C52" s="13"/>
    </row>
    <row r="53" ht="15.75" customHeight="1">
      <c r="C53" s="13"/>
    </row>
    <row r="54" ht="15.75" customHeight="1">
      <c r="C54" s="13"/>
    </row>
    <row r="55" ht="15.75" customHeight="1">
      <c r="C55" s="13"/>
    </row>
    <row r="56" ht="15.75" customHeight="1">
      <c r="C56" s="13"/>
    </row>
    <row r="57" ht="15.75" customHeight="1">
      <c r="C57" s="13"/>
    </row>
    <row r="58" ht="15.75" customHeight="1">
      <c r="C58" s="13"/>
    </row>
    <row r="59" ht="15.75" customHeight="1">
      <c r="C59" s="13"/>
    </row>
    <row r="60" ht="15.75" customHeight="1">
      <c r="C60" s="13"/>
    </row>
    <row r="61" ht="15.75" customHeight="1">
      <c r="C61" s="13"/>
    </row>
    <row r="62" ht="15.75" customHeight="1">
      <c r="C62" s="13"/>
    </row>
    <row r="63" ht="15.75" customHeight="1">
      <c r="C63" s="13"/>
    </row>
    <row r="64" ht="15.75" customHeight="1">
      <c r="C64" s="13"/>
    </row>
    <row r="65" ht="15.75" customHeight="1">
      <c r="C65" s="13"/>
    </row>
    <row r="66" ht="15.75" customHeight="1">
      <c r="C66" s="13"/>
    </row>
    <row r="67" ht="15.75" customHeight="1">
      <c r="C67" s="13"/>
    </row>
    <row r="68" ht="15.75" customHeight="1">
      <c r="C68" s="13"/>
    </row>
    <row r="69" ht="15.75" customHeight="1">
      <c r="C69" s="13"/>
    </row>
    <row r="70" ht="15.75" customHeight="1">
      <c r="C70" s="13"/>
    </row>
    <row r="71" ht="15.75" customHeight="1">
      <c r="C71" s="13"/>
    </row>
    <row r="72" ht="15.75" customHeight="1">
      <c r="C72" s="13"/>
    </row>
    <row r="73" ht="15.75" customHeight="1">
      <c r="C73" s="13"/>
    </row>
    <row r="74" ht="15.75" customHeight="1">
      <c r="C74" s="13"/>
    </row>
    <row r="75" ht="15.75" customHeight="1">
      <c r="C75" s="13"/>
    </row>
    <row r="76" ht="15.75" customHeight="1">
      <c r="C76" s="13"/>
    </row>
    <row r="77" ht="15.75" customHeight="1">
      <c r="C77" s="13"/>
    </row>
    <row r="78" ht="15.75" customHeight="1">
      <c r="C78" s="13"/>
    </row>
    <row r="79" ht="15.75" customHeight="1">
      <c r="C79" s="13"/>
    </row>
    <row r="80" ht="15.75" customHeight="1">
      <c r="C80" s="13"/>
    </row>
    <row r="81" ht="15.75" customHeight="1">
      <c r="C81" s="13"/>
    </row>
    <row r="82" ht="15.75" customHeight="1">
      <c r="C82" s="13"/>
    </row>
    <row r="83" ht="15.75" customHeight="1">
      <c r="C83" s="13"/>
    </row>
    <row r="84" ht="15.75" customHeight="1">
      <c r="C84" s="13"/>
    </row>
    <row r="85" ht="15.75" customHeight="1">
      <c r="C85" s="13"/>
    </row>
    <row r="86" ht="15.75" customHeight="1">
      <c r="C86" s="13"/>
    </row>
    <row r="87" ht="15.75" customHeight="1">
      <c r="C87" s="13"/>
    </row>
    <row r="88" ht="15.75" customHeight="1">
      <c r="C88" s="13"/>
    </row>
    <row r="89" ht="15.75" customHeight="1">
      <c r="C89" s="13"/>
    </row>
    <row r="90" ht="15.75" customHeight="1">
      <c r="C90" s="13"/>
    </row>
    <row r="91" ht="15.75" customHeight="1">
      <c r="C91" s="13"/>
    </row>
    <row r="92" ht="15.75" customHeight="1">
      <c r="C92" s="13"/>
    </row>
    <row r="93" ht="15.75" customHeight="1">
      <c r="C93" s="13"/>
    </row>
    <row r="94" ht="15.75" customHeight="1">
      <c r="C94" s="13"/>
    </row>
    <row r="95" ht="15.75" customHeight="1">
      <c r="C95" s="13"/>
    </row>
    <row r="96" ht="15.75" customHeight="1">
      <c r="C96" s="13"/>
    </row>
    <row r="97" ht="15.75" customHeight="1">
      <c r="C97" s="13"/>
    </row>
    <row r="98" ht="15.75" customHeight="1">
      <c r="C98" s="13"/>
    </row>
    <row r="99" ht="15.75" customHeight="1">
      <c r="C99" s="13"/>
    </row>
    <row r="100" ht="15.75" customHeight="1">
      <c r="C100" s="13"/>
    </row>
    <row r="101" ht="15.75" customHeight="1">
      <c r="C101" s="13"/>
    </row>
    <row r="102" ht="15.75" customHeight="1">
      <c r="C102" s="13"/>
    </row>
    <row r="103" ht="15.75" customHeight="1">
      <c r="C103" s="13"/>
    </row>
    <row r="104" ht="15.75" customHeight="1">
      <c r="C104" s="13"/>
    </row>
    <row r="105" ht="15.75" customHeight="1">
      <c r="C105" s="13"/>
    </row>
    <row r="106" ht="15.75" customHeight="1">
      <c r="C106" s="13"/>
    </row>
    <row r="107" ht="15.75" customHeight="1">
      <c r="C107" s="13"/>
    </row>
    <row r="108" ht="15.75" customHeight="1">
      <c r="C108" s="13"/>
    </row>
    <row r="109" ht="15.75" customHeight="1">
      <c r="C109" s="13"/>
    </row>
    <row r="110" ht="15.75" customHeight="1">
      <c r="C110" s="13"/>
    </row>
    <row r="111" ht="15.75" customHeight="1">
      <c r="C111" s="13"/>
    </row>
    <row r="112" ht="15.75" customHeight="1">
      <c r="C112" s="13"/>
    </row>
    <row r="113" ht="15.75" customHeight="1">
      <c r="C113" s="13"/>
    </row>
    <row r="114" ht="15.75" customHeight="1">
      <c r="C114" s="13"/>
    </row>
    <row r="115" ht="15.75" customHeight="1">
      <c r="C115" s="13"/>
    </row>
    <row r="116" ht="15.75" customHeight="1">
      <c r="C116" s="13"/>
    </row>
    <row r="117" ht="15.75" customHeight="1">
      <c r="C117" s="13"/>
    </row>
    <row r="118" ht="15.75" customHeight="1">
      <c r="C118" s="13"/>
    </row>
    <row r="119" ht="15.75" customHeight="1">
      <c r="C119" s="13"/>
    </row>
    <row r="120" ht="15.75" customHeight="1">
      <c r="C120" s="13"/>
    </row>
    <row r="121" ht="15.75" customHeight="1">
      <c r="C121" s="13"/>
    </row>
    <row r="122" ht="15.75" customHeight="1">
      <c r="C122" s="13"/>
    </row>
    <row r="123" ht="15.75" customHeight="1">
      <c r="C123" s="13"/>
    </row>
    <row r="124" ht="15.75" customHeight="1">
      <c r="C124" s="13"/>
    </row>
    <row r="125" ht="15.75" customHeight="1">
      <c r="C125" s="13"/>
    </row>
    <row r="126" ht="15.75" customHeight="1">
      <c r="C126" s="13"/>
    </row>
    <row r="127" ht="15.75" customHeight="1">
      <c r="C127" s="13"/>
    </row>
    <row r="128" ht="15.75" customHeight="1">
      <c r="C128" s="13"/>
    </row>
    <row r="129" ht="15.75" customHeight="1">
      <c r="C129" s="13"/>
    </row>
    <row r="130" ht="15.75" customHeight="1">
      <c r="C130" s="13"/>
    </row>
    <row r="131" ht="15.75" customHeight="1">
      <c r="C131" s="13"/>
    </row>
    <row r="132" ht="15.75" customHeight="1">
      <c r="C132" s="13"/>
    </row>
    <row r="133" ht="15.75" customHeight="1">
      <c r="C133" s="13"/>
    </row>
    <row r="134" ht="15.75" customHeight="1">
      <c r="C134" s="13"/>
    </row>
    <row r="135" ht="15.75" customHeight="1">
      <c r="C135" s="13"/>
    </row>
    <row r="136" ht="15.75" customHeight="1">
      <c r="C136" s="13"/>
    </row>
    <row r="137" ht="15.75" customHeight="1">
      <c r="C137" s="13"/>
    </row>
    <row r="138" ht="15.75" customHeight="1">
      <c r="C138" s="13"/>
    </row>
    <row r="139" ht="15.75" customHeight="1">
      <c r="C139" s="13"/>
    </row>
    <row r="140" ht="15.75" customHeight="1">
      <c r="C140" s="13"/>
    </row>
    <row r="141" ht="15.75" customHeight="1">
      <c r="C141" s="13"/>
    </row>
    <row r="142" ht="15.75" customHeight="1">
      <c r="C142" s="13"/>
    </row>
    <row r="143" ht="15.75" customHeight="1">
      <c r="C143" s="13"/>
    </row>
    <row r="144" ht="15.75" customHeight="1">
      <c r="C144" s="13"/>
    </row>
    <row r="145" ht="15.75" customHeight="1">
      <c r="C145" s="13"/>
    </row>
    <row r="146" ht="15.75" customHeight="1">
      <c r="C146" s="13"/>
    </row>
    <row r="147" ht="15.75" customHeight="1">
      <c r="C147" s="13"/>
    </row>
    <row r="148" ht="15.75" customHeight="1">
      <c r="C148" s="13"/>
    </row>
    <row r="149" ht="15.75" customHeight="1">
      <c r="C149" s="13"/>
    </row>
    <row r="150" ht="15.75" customHeight="1">
      <c r="C150" s="13"/>
    </row>
    <row r="151" ht="15.75" customHeight="1">
      <c r="C151" s="13"/>
    </row>
    <row r="152" ht="15.75" customHeight="1">
      <c r="C152" s="13"/>
    </row>
    <row r="153" ht="15.75" customHeight="1">
      <c r="C153" s="13"/>
    </row>
    <row r="154" ht="15.75" customHeight="1">
      <c r="C154" s="13"/>
    </row>
    <row r="155" ht="15.75" customHeight="1">
      <c r="C155" s="13"/>
    </row>
    <row r="156" ht="15.75" customHeight="1">
      <c r="C156" s="13"/>
    </row>
    <row r="157" ht="15.75" customHeight="1">
      <c r="C157" s="13"/>
    </row>
    <row r="158" ht="15.75" customHeight="1">
      <c r="C158" s="13"/>
    </row>
    <row r="159" ht="15.75" customHeight="1">
      <c r="C159" s="13"/>
    </row>
    <row r="160" ht="15.75" customHeight="1">
      <c r="C160" s="13"/>
    </row>
    <row r="161" ht="15.75" customHeight="1">
      <c r="C161" s="13"/>
    </row>
    <row r="162" ht="15.75" customHeight="1">
      <c r="C162" s="13"/>
    </row>
    <row r="163" ht="15.75" customHeight="1">
      <c r="C163" s="13"/>
    </row>
    <row r="164" ht="15.75" customHeight="1">
      <c r="C164" s="13"/>
    </row>
    <row r="165" ht="15.75" customHeight="1">
      <c r="C165" s="13"/>
    </row>
    <row r="166" ht="15.75" customHeight="1">
      <c r="C166" s="13"/>
    </row>
    <row r="167" ht="15.75" customHeight="1">
      <c r="C167" s="13"/>
    </row>
    <row r="168" ht="15.75" customHeight="1">
      <c r="C168" s="13"/>
    </row>
    <row r="169" ht="15.75" customHeight="1">
      <c r="C169" s="13"/>
    </row>
    <row r="170" ht="15.75" customHeight="1">
      <c r="C170" s="13"/>
    </row>
    <row r="171" ht="15.75" customHeight="1">
      <c r="C171" s="13"/>
    </row>
    <row r="172" ht="15.75" customHeight="1">
      <c r="C172" s="13"/>
    </row>
    <row r="173" ht="15.75" customHeight="1">
      <c r="C173" s="13"/>
    </row>
    <row r="174" ht="15.75" customHeight="1">
      <c r="C174" s="13"/>
    </row>
    <row r="175" ht="15.75" customHeight="1">
      <c r="C175" s="13"/>
    </row>
    <row r="176" ht="15.75" customHeight="1">
      <c r="C176" s="13"/>
    </row>
    <row r="177" ht="15.75" customHeight="1">
      <c r="C177" s="13"/>
    </row>
    <row r="178" ht="15.75" customHeight="1">
      <c r="C178" s="13"/>
    </row>
    <row r="179" ht="15.75" customHeight="1">
      <c r="C179" s="13"/>
    </row>
    <row r="180" ht="15.75" customHeight="1">
      <c r="C180" s="13"/>
    </row>
    <row r="181" ht="15.75" customHeight="1">
      <c r="C181" s="13"/>
    </row>
    <row r="182" ht="15.75" customHeight="1">
      <c r="C182" s="13"/>
    </row>
    <row r="183" ht="15.75" customHeight="1">
      <c r="C183" s="13"/>
    </row>
    <row r="184" ht="15.75" customHeight="1">
      <c r="C184" s="13"/>
    </row>
    <row r="185" ht="15.75" customHeight="1">
      <c r="C185" s="13"/>
    </row>
    <row r="186" ht="15.75" customHeight="1">
      <c r="C186" s="13"/>
    </row>
    <row r="187" ht="15.75" customHeight="1">
      <c r="C187" s="13"/>
    </row>
    <row r="188" ht="15.75" customHeight="1">
      <c r="C188" s="13"/>
    </row>
    <row r="189" ht="15.75" customHeight="1">
      <c r="C189" s="13"/>
    </row>
    <row r="190" ht="15.75" customHeight="1">
      <c r="C190" s="13"/>
    </row>
    <row r="191" ht="15.75" customHeight="1">
      <c r="C191" s="13"/>
    </row>
    <row r="192" ht="15.75" customHeight="1">
      <c r="C192" s="13"/>
    </row>
    <row r="193" ht="15.75" customHeight="1">
      <c r="C193" s="13"/>
    </row>
    <row r="194" ht="15.75" customHeight="1">
      <c r="C194" s="13"/>
    </row>
    <row r="195" ht="15.75" customHeight="1">
      <c r="C195" s="13"/>
    </row>
    <row r="196" ht="15.75" customHeight="1">
      <c r="C196" s="13"/>
    </row>
    <row r="197" ht="15.75" customHeight="1">
      <c r="C197" s="13"/>
    </row>
    <row r="198" ht="15.75" customHeight="1">
      <c r="C198" s="13"/>
    </row>
    <row r="199" ht="15.75" customHeight="1">
      <c r="C199" s="13"/>
    </row>
    <row r="200" ht="15.75" customHeight="1">
      <c r="C200" s="13"/>
    </row>
    <row r="201" ht="15.75" customHeight="1">
      <c r="C201" s="13"/>
    </row>
    <row r="202" ht="15.75" customHeight="1">
      <c r="C202" s="13"/>
    </row>
    <row r="203" ht="15.75" customHeight="1">
      <c r="C203" s="13"/>
    </row>
    <row r="204" ht="15.75" customHeight="1">
      <c r="C204" s="13"/>
    </row>
    <row r="205" ht="15.75" customHeight="1">
      <c r="C205" s="13"/>
    </row>
    <row r="206" ht="15.75" customHeight="1">
      <c r="C206" s="13"/>
    </row>
    <row r="207" ht="15.75" customHeight="1">
      <c r="C207" s="13"/>
    </row>
    <row r="208" ht="15.75" customHeight="1">
      <c r="C208" s="13"/>
    </row>
    <row r="209" ht="15.75" customHeight="1">
      <c r="C209" s="13"/>
    </row>
    <row r="210" ht="15.75" customHeight="1">
      <c r="C210" s="13"/>
    </row>
    <row r="211" ht="15.75" customHeight="1">
      <c r="C211" s="13"/>
    </row>
    <row r="212" ht="15.75" customHeight="1">
      <c r="C212" s="13"/>
    </row>
    <row r="213" ht="15.75" customHeight="1">
      <c r="C213" s="13"/>
    </row>
    <row r="214" ht="15.75" customHeight="1">
      <c r="C214" s="13"/>
    </row>
    <row r="215" ht="15.75" customHeight="1">
      <c r="C215" s="13"/>
    </row>
    <row r="216" ht="15.75" customHeight="1">
      <c r="C216" s="13"/>
    </row>
    <row r="217" ht="15.75" customHeight="1">
      <c r="C217" s="13"/>
    </row>
    <row r="218" ht="15.75" customHeight="1">
      <c r="C218" s="13"/>
    </row>
    <row r="219" ht="15.75" customHeight="1">
      <c r="C219" s="13"/>
    </row>
    <row r="220" ht="15.75" customHeight="1">
      <c r="C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42.0"/>
    <col customWidth="1" min="3" max="4" width="18.0"/>
    <col customWidth="1" min="5" max="6" width="22.0"/>
    <col customWidth="1" min="7" max="7" width="24.0"/>
    <col customWidth="1" min="8" max="8" width="14.0"/>
    <col customWidth="1" min="9" max="9" width="38.0"/>
  </cols>
  <sheetData>
    <row r="1" ht="15.75" customHeight="1">
      <c r="A1" s="1" t="s">
        <v>1</v>
      </c>
      <c r="B1" s="1" t="s">
        <v>6</v>
      </c>
      <c r="C1" s="1" t="s">
        <v>7</v>
      </c>
      <c r="D1" s="1" t="s">
        <v>17</v>
      </c>
      <c r="E1" s="1" t="s">
        <v>23</v>
      </c>
      <c r="F1" s="1" t="s">
        <v>25</v>
      </c>
      <c r="G1" s="1" t="s">
        <v>336</v>
      </c>
      <c r="H1" s="1" t="s">
        <v>31</v>
      </c>
      <c r="I1" s="1" t="s">
        <v>24</v>
      </c>
    </row>
    <row r="2" ht="15.75" customHeight="1">
      <c r="A2" s="3" t="str">
        <f t="shared" ref="A2:A111" si="1">"F"&amp;TEXT(ROW()-1,"000")</f>
        <v>F001</v>
      </c>
      <c r="B2" s="3" t="str">
        <f>CLEAN_699!B2</f>
        <v>Công ty nhiệt điện Na Dương</v>
      </c>
      <c r="C2" s="3" t="str">
        <f t="shared" ref="C2:C111" si="2">"Thermal power"</f>
        <v>Thermal power</v>
      </c>
      <c r="D2" s="3" t="str">
        <f>CLEAN_699!D2</f>
        <v>0104297034-001</v>
      </c>
      <c r="E2" s="30">
        <f>CLEAN_699!F2</f>
        <v>1035566</v>
      </c>
      <c r="F2" s="30">
        <f>CLEAN_699!G2</f>
        <v>1134493</v>
      </c>
      <c r="G2" s="3" t="str">
        <f t="shared" ref="G2:G111" si="3">"Decision 699/QĐ-BNNMT"</f>
        <v>Decision 699/QĐ-BNNMT</v>
      </c>
      <c r="H2" s="3" t="str">
        <f t="shared" ref="H2:H111" si="4">"Official"</f>
        <v>Official</v>
      </c>
      <c r="I2" s="3" t="str">
        <f t="shared" ref="I2:I111" si="5">"Official allocation under Decision 699/QĐ-BNNMT"</f>
        <v>Official allocation under Decision 699/QĐ-BNNMT</v>
      </c>
    </row>
    <row r="3" ht="15.75" customHeight="1">
      <c r="A3" s="3" t="str">
        <f t="shared" si="1"/>
        <v>F002</v>
      </c>
      <c r="B3" s="3" t="str">
        <f>CLEAN_699!B3</f>
        <v>Công ty nhiệt điện Sơn động Việt Nam</v>
      </c>
      <c r="C3" s="3" t="str">
        <f t="shared" si="2"/>
        <v>Thermal power</v>
      </c>
      <c r="D3" s="3" t="str">
        <f>CLEAN_699!D3</f>
        <v>0104297034-003</v>
      </c>
      <c r="E3" s="30">
        <f>CLEAN_699!F3</f>
        <v>2032458</v>
      </c>
      <c r="F3" s="30">
        <f>CLEAN_699!G3</f>
        <v>2226618</v>
      </c>
      <c r="G3" s="3" t="str">
        <f t="shared" si="3"/>
        <v>Decision 699/QĐ-BNNMT</v>
      </c>
      <c r="H3" s="3" t="str">
        <f t="shared" si="4"/>
        <v>Official</v>
      </c>
      <c r="I3" s="3" t="str">
        <f t="shared" si="5"/>
        <v>Official allocation under Decision 699/QĐ-BNNMT</v>
      </c>
    </row>
    <row r="4" ht="15.75" customHeight="1">
      <c r="A4" s="3" t="str">
        <f t="shared" si="1"/>
        <v>F003</v>
      </c>
      <c r="B4" s="3" t="str">
        <f>CLEAN_699!B4</f>
        <v>Công ty Nhiệt điện Uông Bí</v>
      </c>
      <c r="C4" s="3" t="str">
        <f t="shared" si="2"/>
        <v>Thermal power</v>
      </c>
      <c r="D4" s="3" t="str">
        <f>CLEAN_699!D4</f>
        <v>5701662152-010</v>
      </c>
      <c r="E4" s="30">
        <f>CLEAN_699!F4</f>
        <v>5691098</v>
      </c>
      <c r="F4" s="30">
        <f>CLEAN_699!G4</f>
        <v>6234766</v>
      </c>
      <c r="G4" s="3" t="str">
        <f t="shared" si="3"/>
        <v>Decision 699/QĐ-BNNMT</v>
      </c>
      <c r="H4" s="3" t="str">
        <f t="shared" si="4"/>
        <v>Official</v>
      </c>
      <c r="I4" s="3" t="str">
        <f t="shared" si="5"/>
        <v>Official allocation under Decision 699/QĐ-BNNMT</v>
      </c>
    </row>
    <row r="5" ht="15.75" customHeight="1">
      <c r="A5" s="3" t="str">
        <f t="shared" si="1"/>
        <v>F004</v>
      </c>
      <c r="B5" s="3" t="str">
        <f>CLEAN_699!B5</f>
        <v>Công ty Cổ phần Nhiệt điện Quảng Ninh</v>
      </c>
      <c r="C5" s="3" t="str">
        <f t="shared" si="2"/>
        <v>Thermal power</v>
      </c>
      <c r="D5" s="3" t="str">
        <f>CLEAN_699!D5</f>
        <v>5700434869</v>
      </c>
      <c r="E5" s="30">
        <f>CLEAN_699!F5</f>
        <v>11097421</v>
      </c>
      <c r="F5" s="30">
        <f>CLEAN_699!G5</f>
        <v>12157553</v>
      </c>
      <c r="G5" s="3" t="str">
        <f t="shared" si="3"/>
        <v>Decision 699/QĐ-BNNMT</v>
      </c>
      <c r="H5" s="3" t="str">
        <f t="shared" si="4"/>
        <v>Official</v>
      </c>
      <c r="I5" s="3" t="str">
        <f t="shared" si="5"/>
        <v>Official allocation under Decision 699/QĐ-BNNMT</v>
      </c>
    </row>
    <row r="6" ht="15.75" customHeight="1">
      <c r="A6" s="3" t="str">
        <f t="shared" si="1"/>
        <v>F005</v>
      </c>
      <c r="B6" s="3" t="str">
        <f>CLEAN_699!B6</f>
        <v>Công ty Nhiệt điện Cẩm Phả - TKV</v>
      </c>
      <c r="C6" s="3" t="str">
        <f t="shared" si="2"/>
        <v>Thermal power</v>
      </c>
      <c r="D6" s="3" t="str">
        <f>CLEAN_699!D6</f>
        <v>0104297034-008</v>
      </c>
      <c r="E6" s="30">
        <f>CLEAN_699!F6</f>
        <v>3585092</v>
      </c>
      <c r="F6" s="30">
        <f>CLEAN_699!G6</f>
        <v>3927575</v>
      </c>
      <c r="G6" s="3" t="str">
        <f t="shared" si="3"/>
        <v>Decision 699/QĐ-BNNMT</v>
      </c>
      <c r="H6" s="3" t="str">
        <f t="shared" si="4"/>
        <v>Official</v>
      </c>
      <c r="I6" s="3" t="str">
        <f t="shared" si="5"/>
        <v>Official allocation under Decision 699/QĐ-BNNMT</v>
      </c>
    </row>
    <row r="7" ht="15.75" customHeight="1">
      <c r="A7" s="3" t="str">
        <f t="shared" si="1"/>
        <v>F006</v>
      </c>
      <c r="B7" s="3" t="str">
        <f>CLEAN_699!B7</f>
        <v>Công ty TNHH Điện Lực AES Mông Dương - Nhà máy nhiệt điện Mông Dương II</v>
      </c>
      <c r="C7" s="3" t="str">
        <f t="shared" si="2"/>
        <v>Thermal power</v>
      </c>
      <c r="D7" s="3" t="str">
        <f>CLEAN_699!D7</f>
        <v>5701384498</v>
      </c>
      <c r="E7" s="30">
        <f>CLEAN_699!F7</f>
        <v>12190431</v>
      </c>
      <c r="F7" s="30">
        <f>CLEAN_699!G7</f>
        <v>13354978</v>
      </c>
      <c r="G7" s="3" t="str">
        <f t="shared" si="3"/>
        <v>Decision 699/QĐ-BNNMT</v>
      </c>
      <c r="H7" s="3" t="str">
        <f t="shared" si="4"/>
        <v>Official</v>
      </c>
      <c r="I7" s="3" t="str">
        <f t="shared" si="5"/>
        <v>Official allocation under Decision 699/QĐ-BNNMT</v>
      </c>
    </row>
    <row r="8" ht="15.75" customHeight="1">
      <c r="A8" s="3" t="str">
        <f t="shared" si="1"/>
        <v>F007</v>
      </c>
      <c r="B8" s="3" t="str">
        <f>CLEAN_699!B8</f>
        <v>Công ty Nhiệt điện Đông Triều - TKV - Nhà máy nhiệt điện Mạo Khê</v>
      </c>
      <c r="C8" s="3" t="str">
        <f t="shared" si="2"/>
        <v>Thermal power</v>
      </c>
      <c r="D8" s="3" t="str">
        <f>CLEAN_699!D8</f>
        <v>0104297034-006</v>
      </c>
      <c r="E8" s="30">
        <f>CLEAN_699!F8</f>
        <v>4436759</v>
      </c>
      <c r="F8" s="30">
        <f>CLEAN_699!G8</f>
        <v>4860601</v>
      </c>
      <c r="G8" s="3" t="str">
        <f t="shared" si="3"/>
        <v>Decision 699/QĐ-BNNMT</v>
      </c>
      <c r="H8" s="3" t="str">
        <f t="shared" si="4"/>
        <v>Official</v>
      </c>
      <c r="I8" s="3" t="str">
        <f t="shared" si="5"/>
        <v>Official allocation under Decision 699/QĐ-BNNMT</v>
      </c>
    </row>
    <row r="9" ht="15.75" customHeight="1">
      <c r="A9" s="3" t="str">
        <f t="shared" si="1"/>
        <v>F008</v>
      </c>
      <c r="B9" s="3" t="str">
        <f>CLEAN_699!B9</f>
        <v>Nhà máy nhiệt điện Mông Dương I - Công ty Nhiệt điện Mông Dương</v>
      </c>
      <c r="C9" s="3" t="str">
        <f t="shared" si="2"/>
        <v>Thermal power</v>
      </c>
      <c r="D9" s="3" t="str">
        <f>CLEAN_699!D9</f>
        <v>3502208399-008</v>
      </c>
      <c r="E9" s="30">
        <f>CLEAN_699!F9</f>
        <v>9556403</v>
      </c>
      <c r="F9" s="30">
        <f>CLEAN_699!G9</f>
        <v>10469322</v>
      </c>
      <c r="G9" s="3" t="str">
        <f t="shared" si="3"/>
        <v>Decision 699/QĐ-BNNMT</v>
      </c>
      <c r="H9" s="3" t="str">
        <f t="shared" si="4"/>
        <v>Official</v>
      </c>
      <c r="I9" s="3" t="str">
        <f t="shared" si="5"/>
        <v>Official allocation under Decision 699/QĐ-BNNMT</v>
      </c>
    </row>
    <row r="10" ht="15.75" customHeight="1">
      <c r="A10" s="3" t="str">
        <f t="shared" si="1"/>
        <v>F009</v>
      </c>
      <c r="B10" s="3" t="str">
        <f>CLEAN_699!B10</f>
        <v>Công ty Cổ phần Nhiệt điện Hải Phòng</v>
      </c>
      <c r="C10" s="3" t="str">
        <f t="shared" si="2"/>
        <v>Thermal power</v>
      </c>
      <c r="D10" s="3" t="str">
        <f>CLEAN_699!D10</f>
        <v>200493225</v>
      </c>
      <c r="E10" s="30">
        <f>CLEAN_699!F10</f>
        <v>10239469</v>
      </c>
      <c r="F10" s="30">
        <f>CLEAN_699!G10</f>
        <v>11217642</v>
      </c>
      <c r="G10" s="3" t="str">
        <f t="shared" si="3"/>
        <v>Decision 699/QĐ-BNNMT</v>
      </c>
      <c r="H10" s="3" t="str">
        <f t="shared" si="4"/>
        <v>Official</v>
      </c>
      <c r="I10" s="3" t="str">
        <f t="shared" si="5"/>
        <v>Official allocation under Decision 699/QĐ-BNNMT</v>
      </c>
    </row>
    <row r="11" ht="15.75" customHeight="1">
      <c r="A11" s="3" t="str">
        <f t="shared" si="1"/>
        <v>F010</v>
      </c>
      <c r="B11" s="3" t="str">
        <f>CLEAN_699!B11</f>
        <v>Nhà máy điện Nghi Sơn 1</v>
      </c>
      <c r="C11" s="3" t="str">
        <f t="shared" si="2"/>
        <v>Thermal power</v>
      </c>
      <c r="D11" s="3" t="str">
        <f>CLEAN_699!D11</f>
        <v>5701662152-011</v>
      </c>
      <c r="E11" s="30">
        <f>CLEAN_699!F11</f>
        <v>5036163</v>
      </c>
      <c r="F11" s="30">
        <f>CLEAN_699!G11</f>
        <v>5517266</v>
      </c>
      <c r="G11" s="3" t="str">
        <f t="shared" si="3"/>
        <v>Decision 699/QĐ-BNNMT</v>
      </c>
      <c r="H11" s="3" t="str">
        <f t="shared" si="4"/>
        <v>Official</v>
      </c>
      <c r="I11" s="3" t="str">
        <f t="shared" si="5"/>
        <v>Official allocation under Decision 699/QĐ-BNNMT</v>
      </c>
    </row>
    <row r="12" ht="15.75" customHeight="1">
      <c r="A12" s="3" t="str">
        <f t="shared" si="1"/>
        <v>F011</v>
      </c>
      <c r="B12" s="3" t="str">
        <f>CLEAN_699!B12</f>
        <v>Công ty Điện lực Dầu khí Hà Tĩnh</v>
      </c>
      <c r="C12" s="3" t="str">
        <f t="shared" si="2"/>
        <v>Thermal power</v>
      </c>
      <c r="D12" s="3" t="str">
        <f>CLEAN_699!D12</f>
        <v>0102276173-007</v>
      </c>
      <c r="E12" s="30">
        <f>CLEAN_699!F12</f>
        <v>7214687</v>
      </c>
      <c r="F12" s="30">
        <f>CLEAN_699!G12</f>
        <v>7903903</v>
      </c>
      <c r="G12" s="3" t="str">
        <f t="shared" si="3"/>
        <v>Decision 699/QĐ-BNNMT</v>
      </c>
      <c r="H12" s="3" t="str">
        <f t="shared" si="4"/>
        <v>Official</v>
      </c>
      <c r="I12" s="3" t="str">
        <f t="shared" si="5"/>
        <v>Official allocation under Decision 699/QĐ-BNNMT</v>
      </c>
    </row>
    <row r="13" ht="15.75" customHeight="1">
      <c r="A13" s="3" t="str">
        <f t="shared" si="1"/>
        <v>F012</v>
      </c>
      <c r="B13" s="3" t="str">
        <f>CLEAN_699!B13</f>
        <v>Công ty TNHH Hưng Nghiệp Formosa</v>
      </c>
      <c r="C13" s="3" t="str">
        <f t="shared" si="2"/>
        <v>Thermal power</v>
      </c>
      <c r="D13" s="3" t="str">
        <f>CLEAN_699!D13</f>
        <v>3600517557</v>
      </c>
      <c r="E13" s="30">
        <f>CLEAN_699!F13</f>
        <v>2558365</v>
      </c>
      <c r="F13" s="30">
        <f>CLEAN_699!G13</f>
        <v>2802764</v>
      </c>
      <c r="G13" s="3" t="str">
        <f t="shared" si="3"/>
        <v>Decision 699/QĐ-BNNMT</v>
      </c>
      <c r="H13" s="3" t="str">
        <f t="shared" si="4"/>
        <v>Official</v>
      </c>
      <c r="I13" s="3" t="str">
        <f t="shared" si="5"/>
        <v>Official allocation under Decision 699/QĐ-BNNMT</v>
      </c>
    </row>
    <row r="14" ht="15.75" customHeight="1">
      <c r="A14" s="3" t="str">
        <f t="shared" si="1"/>
        <v>F013</v>
      </c>
      <c r="B14" s="3" t="str">
        <f>CLEAN_699!B14</f>
        <v>Công ty TNHH Điện lực Vĩnh Tân 1 (Nhà máy nhiệt điện BOT Vĩnh Tân 1)</v>
      </c>
      <c r="C14" s="3" t="str">
        <f t="shared" si="2"/>
        <v>Thermal power</v>
      </c>
      <c r="D14" s="3" t="str">
        <f>CLEAN_699!D14</f>
        <v>3401060812</v>
      </c>
      <c r="E14" s="30">
        <f>CLEAN_699!F14</f>
        <v>11856608</v>
      </c>
      <c r="F14" s="30">
        <f>CLEAN_699!G14</f>
        <v>12989265</v>
      </c>
      <c r="G14" s="3" t="str">
        <f t="shared" si="3"/>
        <v>Decision 699/QĐ-BNNMT</v>
      </c>
      <c r="H14" s="3" t="str">
        <f t="shared" si="4"/>
        <v>Official</v>
      </c>
      <c r="I14" s="3" t="str">
        <f t="shared" si="5"/>
        <v>Official allocation under Decision 699/QĐ-BNNMT</v>
      </c>
    </row>
    <row r="15" ht="15.75" customHeight="1">
      <c r="A15" s="3" t="str">
        <f t="shared" si="1"/>
        <v>F014</v>
      </c>
      <c r="B15" s="3" t="str">
        <f>CLEAN_699!B15</f>
        <v>Công ty Nhiệt điện Vĩnh Tân -CW nhánh TNHH MTV Tổng công ty Phát điện 3 (Nhà máy nhiệt điện Vĩnh Tân 2)</v>
      </c>
      <c r="C15" s="3" t="str">
        <f t="shared" si="2"/>
        <v>Thermal power</v>
      </c>
      <c r="D15" s="3" t="str">
        <f>CLEAN_699!D15</f>
        <v>3502208399-007</v>
      </c>
      <c r="E15" s="30">
        <f>CLEAN_699!F15</f>
        <v>10530658</v>
      </c>
      <c r="F15" s="30">
        <f>CLEAN_699!G15</f>
        <v>11536648</v>
      </c>
      <c r="G15" s="3" t="str">
        <f t="shared" si="3"/>
        <v>Decision 699/QĐ-BNNMT</v>
      </c>
      <c r="H15" s="3" t="str">
        <f t="shared" si="4"/>
        <v>Official</v>
      </c>
      <c r="I15" s="3" t="str">
        <f t="shared" si="5"/>
        <v>Official allocation under Decision 699/QĐ-BNNMT</v>
      </c>
    </row>
    <row r="16" ht="15.75" customHeight="1">
      <c r="A16" s="3" t="str">
        <f t="shared" si="1"/>
        <v>F015</v>
      </c>
      <c r="B16" s="3" t="str">
        <f>CLEAN_699!B16</f>
        <v>Nhà máy nhiệt điện Vĩnh Tân 4 - 4 Mở rộng - Chi nhánh Tập đoàn Điện lực Việt Nam</v>
      </c>
      <c r="C16" s="3" t="str">
        <f t="shared" si="2"/>
        <v>Thermal power</v>
      </c>
      <c r="D16" s="3" t="str">
        <f>CLEAN_699!D16</f>
        <v>0100100079-088</v>
      </c>
      <c r="E16" s="30">
        <f>CLEAN_699!F16</f>
        <v>8528067</v>
      </c>
      <c r="F16" s="30">
        <f>CLEAN_699!G16</f>
        <v>9342750</v>
      </c>
      <c r="G16" s="3" t="str">
        <f t="shared" si="3"/>
        <v>Decision 699/QĐ-BNNMT</v>
      </c>
      <c r="H16" s="3" t="str">
        <f t="shared" si="4"/>
        <v>Official</v>
      </c>
      <c r="I16" s="3" t="str">
        <f t="shared" si="5"/>
        <v>Official allocation under Decision 699/QĐ-BNNMT</v>
      </c>
    </row>
    <row r="17" ht="15.75" customHeight="1">
      <c r="A17" s="3" t="str">
        <f t="shared" si="1"/>
        <v>F016</v>
      </c>
      <c r="B17" s="3" t="str">
        <f>CLEAN_699!B17</f>
        <v>Nhà máy điện Diesel Phú Quý</v>
      </c>
      <c r="C17" s="3" t="str">
        <f t="shared" si="2"/>
        <v>Thermal power</v>
      </c>
      <c r="D17" s="3" t="str">
        <f>CLEAN_699!D17</f>
        <v>0300942001-012</v>
      </c>
      <c r="E17" s="30">
        <f>CLEAN_699!F17</f>
        <v>21460</v>
      </c>
      <c r="F17" s="30">
        <f>CLEAN_699!G17</f>
        <v>23510</v>
      </c>
      <c r="G17" s="3" t="str">
        <f t="shared" si="3"/>
        <v>Decision 699/QĐ-BNNMT</v>
      </c>
      <c r="H17" s="3" t="str">
        <f t="shared" si="4"/>
        <v>Official</v>
      </c>
      <c r="I17" s="3" t="str">
        <f t="shared" si="5"/>
        <v>Official allocation under Decision 699/QĐ-BNNMT</v>
      </c>
    </row>
    <row r="18" ht="15.75" customHeight="1">
      <c r="A18" s="3" t="str">
        <f t="shared" si="1"/>
        <v>F017</v>
      </c>
      <c r="B18" s="3" t="str">
        <f>CLEAN_699!B18</f>
        <v>Nhà máy nhiệt điện Phú Mỹ 1 - Công ty Nhiệt điện Phú Mỹ</v>
      </c>
      <c r="C18" s="3" t="str">
        <f t="shared" si="2"/>
        <v>Thermal power</v>
      </c>
      <c r="D18" s="3" t="str">
        <f>CLEAN_699!D18</f>
        <v>3502208399-010</v>
      </c>
      <c r="E18" s="30">
        <f>CLEAN_699!F18</f>
        <v>2519925</v>
      </c>
      <c r="F18" s="30">
        <f>CLEAN_699!G18</f>
        <v>2760653</v>
      </c>
      <c r="G18" s="3" t="str">
        <f t="shared" si="3"/>
        <v>Decision 699/QĐ-BNNMT</v>
      </c>
      <c r="H18" s="3" t="str">
        <f t="shared" si="4"/>
        <v>Official</v>
      </c>
      <c r="I18" s="3" t="str">
        <f t="shared" si="5"/>
        <v>Official allocation under Decision 699/QĐ-BNNMT</v>
      </c>
    </row>
    <row r="19" ht="15.75" customHeight="1">
      <c r="A19" s="3" t="str">
        <f t="shared" si="1"/>
        <v>F018</v>
      </c>
      <c r="B19" s="3" t="str">
        <f>CLEAN_699!B19</f>
        <v>Nhà máy nhiệt điện Phú Mỹ 2,1 và Phú Mỹ 2,1 mở rộng - Công ty Nhiệt điện Phú Mỹ</v>
      </c>
      <c r="C19" s="3" t="str">
        <f t="shared" si="2"/>
        <v>Thermal power</v>
      </c>
      <c r="D19" s="3" t="str">
        <f>CLEAN_699!D19</f>
        <v>3502208399-010</v>
      </c>
      <c r="E19" s="30">
        <f>CLEAN_699!F19</f>
        <v>1079828</v>
      </c>
      <c r="F19" s="30">
        <f>CLEAN_699!G19</f>
        <v>1182984</v>
      </c>
      <c r="G19" s="3" t="str">
        <f t="shared" si="3"/>
        <v>Decision 699/QĐ-BNNMT</v>
      </c>
      <c r="H19" s="3" t="str">
        <f t="shared" si="4"/>
        <v>Official</v>
      </c>
      <c r="I19" s="3" t="str">
        <f t="shared" si="5"/>
        <v>Official allocation under Decision 699/QĐ-BNNMT</v>
      </c>
    </row>
    <row r="20" ht="15.75" customHeight="1">
      <c r="A20" s="3" t="str">
        <f t="shared" si="1"/>
        <v>F019</v>
      </c>
      <c r="B20" s="3" t="str">
        <f>CLEAN_699!B20</f>
        <v>Nhà máy nhiệt điện Phú Mỹ 4 - Công ty Nhiệt điện Phú Mỹ</v>
      </c>
      <c r="C20" s="3" t="str">
        <f t="shared" si="2"/>
        <v>Thermal power</v>
      </c>
      <c r="D20" s="3" t="str">
        <f>CLEAN_699!D20</f>
        <v>3502208399-010</v>
      </c>
      <c r="E20" s="30">
        <f>CLEAN_699!F20</f>
        <v>876004</v>
      </c>
      <c r="F20" s="30">
        <f>CLEAN_699!G20</f>
        <v>959689</v>
      </c>
      <c r="G20" s="3" t="str">
        <f t="shared" si="3"/>
        <v>Decision 699/QĐ-BNNMT</v>
      </c>
      <c r="H20" s="3" t="str">
        <f t="shared" si="4"/>
        <v>Official</v>
      </c>
      <c r="I20" s="3" t="str">
        <f t="shared" si="5"/>
        <v>Official allocation under Decision 699/QĐ-BNNMT</v>
      </c>
    </row>
    <row r="21" ht="15.75" customHeight="1">
      <c r="A21" s="3" t="str">
        <f t="shared" si="1"/>
        <v>F020</v>
      </c>
      <c r="B21" s="3" t="str">
        <f>CLEAN_699!B21</f>
        <v>Công ty Cổ phần Nhiệt điện Bà Rịa</v>
      </c>
      <c r="C21" s="3" t="str">
        <f t="shared" si="2"/>
        <v>Thermal power</v>
      </c>
      <c r="D21" s="3" t="str">
        <f>CLEAN_699!D21</f>
        <v>3500701305</v>
      </c>
      <c r="E21" s="30">
        <f>CLEAN_699!F21</f>
        <v>68969</v>
      </c>
      <c r="F21" s="30">
        <f>CLEAN_699!G21</f>
        <v>75558</v>
      </c>
      <c r="G21" s="3" t="str">
        <f t="shared" si="3"/>
        <v>Decision 699/QĐ-BNNMT</v>
      </c>
      <c r="H21" s="3" t="str">
        <f t="shared" si="4"/>
        <v>Official</v>
      </c>
      <c r="I21" s="3" t="str">
        <f t="shared" si="5"/>
        <v>Official allocation under Decision 699/QĐ-BNNMT</v>
      </c>
    </row>
    <row r="22" ht="15.75" customHeight="1">
      <c r="A22" s="3" t="str">
        <f t="shared" si="1"/>
        <v>F021</v>
      </c>
      <c r="B22" s="3" t="str">
        <f>CLEAN_699!B22</f>
        <v>Nhà máy Điện An Hội</v>
      </c>
      <c r="C22" s="3" t="str">
        <f t="shared" si="2"/>
        <v>Thermal power</v>
      </c>
      <c r="D22" s="3" t="str">
        <f>CLEAN_699!D22</f>
        <v>0300942001-026</v>
      </c>
      <c r="E22" s="30">
        <f>CLEAN_699!F22</f>
        <v>31803</v>
      </c>
      <c r="F22" s="30">
        <f>CLEAN_699!G22</f>
        <v>34842</v>
      </c>
      <c r="G22" s="3" t="str">
        <f t="shared" si="3"/>
        <v>Decision 699/QĐ-BNNMT</v>
      </c>
      <c r="H22" s="3" t="str">
        <f t="shared" si="4"/>
        <v>Official</v>
      </c>
      <c r="I22" s="3" t="str">
        <f t="shared" si="5"/>
        <v>Official allocation under Decision 699/QĐ-BNNMT</v>
      </c>
    </row>
    <row r="23" ht="15.75" customHeight="1">
      <c r="A23" s="3" t="str">
        <f t="shared" si="1"/>
        <v>F022</v>
      </c>
      <c r="B23" s="3" t="str">
        <f>CLEAN_699!B23</f>
        <v>Chi nhánh Tổng Công ty Điện lực Dầu khí Việt Nam - Công ty Cổ phần - Công ty Điện lục Dầu khí Nhơn Trạch</v>
      </c>
      <c r="C23" s="3" t="str">
        <f t="shared" si="2"/>
        <v>Thermal power</v>
      </c>
      <c r="D23" s="3" t="str">
        <f>CLEAN_699!D23</f>
        <v>0102276173-003</v>
      </c>
      <c r="E23" s="30">
        <f>CLEAN_699!F23</f>
        <v>407990</v>
      </c>
      <c r="F23" s="30">
        <f>CLEAN_699!G23</f>
        <v>446965</v>
      </c>
      <c r="G23" s="3" t="str">
        <f t="shared" si="3"/>
        <v>Decision 699/QĐ-BNNMT</v>
      </c>
      <c r="H23" s="3" t="str">
        <f t="shared" si="4"/>
        <v>Official</v>
      </c>
      <c r="I23" s="3" t="str">
        <f t="shared" si="5"/>
        <v>Official allocation under Decision 699/QĐ-BNNMT</v>
      </c>
    </row>
    <row r="24" ht="15.75" customHeight="1">
      <c r="A24" s="3" t="str">
        <f t="shared" si="1"/>
        <v>F023</v>
      </c>
      <c r="B24" s="3" t="str">
        <f>CLEAN_699!B24</f>
        <v>Nhà máy nhiệt điện VEDAN</v>
      </c>
      <c r="C24" s="3" t="str">
        <f t="shared" si="2"/>
        <v>Thermal power</v>
      </c>
      <c r="D24" s="3" t="str">
        <f>CLEAN_699!D24</f>
        <v>3600239719</v>
      </c>
      <c r="E24" s="30">
        <f>CLEAN_699!F24</f>
        <v>512653</v>
      </c>
      <c r="F24" s="30">
        <f>CLEAN_699!G24</f>
        <v>561627</v>
      </c>
      <c r="G24" s="3" t="str">
        <f t="shared" si="3"/>
        <v>Decision 699/QĐ-BNNMT</v>
      </c>
      <c r="H24" s="3" t="str">
        <f t="shared" si="4"/>
        <v>Official</v>
      </c>
      <c r="I24" s="3" t="str">
        <f t="shared" si="5"/>
        <v>Official allocation under Decision 699/QĐ-BNNMT</v>
      </c>
    </row>
    <row r="25" ht="15.75" customHeight="1">
      <c r="A25" s="3" t="str">
        <f t="shared" si="1"/>
        <v>F024</v>
      </c>
      <c r="B25" s="3" t="str">
        <f>CLEAN_699!B25</f>
        <v>Nhà máy nhiệt điện Amata</v>
      </c>
      <c r="C25" s="3" t="str">
        <f t="shared" si="2"/>
        <v>Thermal power</v>
      </c>
      <c r="D25" s="3" t="str">
        <f>CLEAN_699!D25</f>
        <v>3600257958</v>
      </c>
      <c r="E25" s="30">
        <f>CLEAN_699!F25</f>
        <v>89</v>
      </c>
      <c r="F25" s="30">
        <f>CLEAN_699!G25</f>
        <v>97</v>
      </c>
      <c r="G25" s="3" t="str">
        <f t="shared" si="3"/>
        <v>Decision 699/QĐ-BNNMT</v>
      </c>
      <c r="H25" s="3" t="str">
        <f t="shared" si="4"/>
        <v>Official</v>
      </c>
      <c r="I25" s="3" t="str">
        <f t="shared" si="5"/>
        <v>Official allocation under Decision 699/QĐ-BNNMT</v>
      </c>
    </row>
    <row r="26" ht="15.75" customHeight="1">
      <c r="A26" s="3" t="str">
        <f t="shared" si="1"/>
        <v>F025</v>
      </c>
      <c r="B26" s="3" t="str">
        <f>CLEAN_699!B26</f>
        <v>Nhà máy nhiệt điện Nhơn Trạch 2</v>
      </c>
      <c r="C26" s="3" t="str">
        <f t="shared" si="2"/>
        <v>Thermal power</v>
      </c>
      <c r="D26" s="3" t="str">
        <f>CLEAN_699!D26</f>
        <v>3600897316</v>
      </c>
      <c r="E26" s="30">
        <f>CLEAN_699!F26</f>
        <v>1617372</v>
      </c>
      <c r="F26" s="30">
        <f>CLEAN_699!G26</f>
        <v>1771879</v>
      </c>
      <c r="G26" s="3" t="str">
        <f t="shared" si="3"/>
        <v>Decision 699/QĐ-BNNMT</v>
      </c>
      <c r="H26" s="3" t="str">
        <f t="shared" si="4"/>
        <v>Official</v>
      </c>
      <c r="I26" s="3" t="str">
        <f t="shared" si="5"/>
        <v>Official allocation under Decision 699/QĐ-BNNMT</v>
      </c>
    </row>
    <row r="27" ht="15.75" customHeight="1">
      <c r="A27" s="3" t="str">
        <f t="shared" si="1"/>
        <v>F026</v>
      </c>
      <c r="B27" s="3" t="str">
        <f>CLEAN_699!B27</f>
        <v>Công ty Nhiệt điện Duyên Hải (Nhà máy Duyên Hải 1)</v>
      </c>
      <c r="C27" s="3" t="str">
        <f t="shared" si="2"/>
        <v>Thermal power</v>
      </c>
      <c r="D27" s="3" t="str">
        <f>CLEAN_699!D27</f>
        <v>5701662152-009</v>
      </c>
      <c r="E27" s="30">
        <f>CLEAN_699!F27</f>
        <v>9663688</v>
      </c>
      <c r="F27" s="30">
        <f>CLEAN_699!G27</f>
        <v>10586856</v>
      </c>
      <c r="G27" s="3" t="str">
        <f t="shared" si="3"/>
        <v>Decision 699/QĐ-BNNMT</v>
      </c>
      <c r="H27" s="3" t="str">
        <f t="shared" si="4"/>
        <v>Official</v>
      </c>
      <c r="I27" s="3" t="str">
        <f t="shared" si="5"/>
        <v>Official allocation under Decision 699/QĐ-BNNMT</v>
      </c>
    </row>
    <row r="28" ht="15.75" customHeight="1">
      <c r="A28" s="3" t="str">
        <f t="shared" si="1"/>
        <v>F027</v>
      </c>
      <c r="B28" s="3" t="str">
        <f>CLEAN_699!B28</f>
        <v>Công ty Nhiệt điện Duyên Hải (Nhà máy Duyên Hải 3)</v>
      </c>
      <c r="C28" s="3" t="str">
        <f t="shared" si="2"/>
        <v>Thermal power</v>
      </c>
      <c r="D28" s="3" t="str">
        <f>CLEAN_699!D28</f>
        <v>5701662152-009</v>
      </c>
      <c r="E28" s="30">
        <f>CLEAN_699!F28</f>
        <v>3623243</v>
      </c>
      <c r="F28" s="30">
        <f>CLEAN_699!G28</f>
        <v>3969369</v>
      </c>
      <c r="G28" s="3" t="str">
        <f t="shared" si="3"/>
        <v>Decision 699/QĐ-BNNMT</v>
      </c>
      <c r="H28" s="3" t="str">
        <f t="shared" si="4"/>
        <v>Official</v>
      </c>
      <c r="I28" s="3" t="str">
        <f t="shared" si="5"/>
        <v>Official allocation under Decision 699/QĐ-BNNMT</v>
      </c>
    </row>
    <row r="29" ht="15.75" customHeight="1">
      <c r="A29" s="3" t="str">
        <f t="shared" si="1"/>
        <v>F028</v>
      </c>
      <c r="B29" s="3" t="str">
        <f>CLEAN_699!B29</f>
        <v>Công ty Nhiệt điện Duyên Hải (Nhà máy Duyên Hải 3 MR)</v>
      </c>
      <c r="C29" s="3" t="str">
        <f t="shared" si="2"/>
        <v>Thermal power</v>
      </c>
      <c r="D29" s="3" t="str">
        <f>CLEAN_699!D29</f>
        <v>5701662152-009</v>
      </c>
      <c r="E29" s="30">
        <f>CLEAN_699!F29</f>
        <v>2728391</v>
      </c>
      <c r="F29" s="30">
        <f>CLEAN_699!G29</f>
        <v>2989033</v>
      </c>
      <c r="G29" s="3" t="str">
        <f t="shared" si="3"/>
        <v>Decision 699/QĐ-BNNMT</v>
      </c>
      <c r="H29" s="3" t="str">
        <f t="shared" si="4"/>
        <v>Official</v>
      </c>
      <c r="I29" s="3" t="str">
        <f t="shared" si="5"/>
        <v>Official allocation under Decision 699/QĐ-BNNMT</v>
      </c>
    </row>
    <row r="30" ht="15.75" customHeight="1">
      <c r="A30" s="3" t="str">
        <f t="shared" si="1"/>
        <v>F029</v>
      </c>
      <c r="B30" s="3" t="str">
        <f>CLEAN_699!B30</f>
        <v>Công ty TNHH gang thép Hưng Nghiệp Formosa Hà Tĩnh</v>
      </c>
      <c r="C30" s="3" t="str">
        <f t="shared" si="2"/>
        <v>Thermal power</v>
      </c>
      <c r="D30" s="3" t="str">
        <f>CLEAN_699!D30</f>
        <v>3000437821</v>
      </c>
      <c r="E30" s="30">
        <f>CLEAN_699!F30</f>
        <v>5199840</v>
      </c>
      <c r="F30" s="30">
        <f>CLEAN_699!G30</f>
        <v>5696578</v>
      </c>
      <c r="G30" s="3" t="str">
        <f t="shared" si="3"/>
        <v>Decision 699/QĐ-BNNMT</v>
      </c>
      <c r="H30" s="3" t="str">
        <f t="shared" si="4"/>
        <v>Official</v>
      </c>
      <c r="I30" s="3" t="str">
        <f t="shared" si="5"/>
        <v>Official allocation under Decision 699/QĐ-BNNMT</v>
      </c>
    </row>
    <row r="31" ht="15.75" customHeight="1">
      <c r="A31" s="3" t="str">
        <f t="shared" si="1"/>
        <v>F030</v>
      </c>
      <c r="B31" s="3" t="str">
        <f>CLEAN_699!B31</f>
        <v>Công ty Điện lực dầu khí Cà Mau (Nhà máy điện Cà Mau 1)</v>
      </c>
      <c r="C31" s="3" t="str">
        <f t="shared" si="2"/>
        <v>Thermal power</v>
      </c>
      <c r="D31" s="3" t="str">
        <f>CLEAN_699!D31</f>
        <v>0102276173-002</v>
      </c>
      <c r="E31" s="30">
        <f>CLEAN_699!F31</f>
        <v>1006602</v>
      </c>
      <c r="F31" s="30">
        <f>CLEAN_699!G31</f>
        <v>1102763</v>
      </c>
      <c r="G31" s="3" t="str">
        <f t="shared" si="3"/>
        <v>Decision 699/QĐ-BNNMT</v>
      </c>
      <c r="H31" s="3" t="str">
        <f t="shared" si="4"/>
        <v>Official</v>
      </c>
      <c r="I31" s="3" t="str">
        <f t="shared" si="5"/>
        <v>Official allocation under Decision 699/QĐ-BNNMT</v>
      </c>
    </row>
    <row r="32" ht="15.75" customHeight="1">
      <c r="A32" s="3" t="str">
        <f t="shared" si="1"/>
        <v>F031</v>
      </c>
      <c r="B32" s="3" t="str">
        <f>CLEAN_699!B32</f>
        <v>Công ty Điện lực dầu khí Cà Mau (Nhà máy điện Cà Mau 2)</v>
      </c>
      <c r="C32" s="3" t="str">
        <f t="shared" si="2"/>
        <v>Thermal power</v>
      </c>
      <c r="D32" s="3" t="str">
        <f>CLEAN_699!D32</f>
        <v>0102276173-002</v>
      </c>
      <c r="E32" s="30">
        <f>CLEAN_699!F32</f>
        <v>1550998</v>
      </c>
      <c r="F32" s="30">
        <f>CLEAN_699!G32</f>
        <v>1699164</v>
      </c>
      <c r="G32" s="3" t="str">
        <f t="shared" si="3"/>
        <v>Decision 699/QĐ-BNNMT</v>
      </c>
      <c r="H32" s="3" t="str">
        <f t="shared" si="4"/>
        <v>Official</v>
      </c>
      <c r="I32" s="3" t="str">
        <f t="shared" si="5"/>
        <v>Official allocation under Decision 699/QĐ-BNNMT</v>
      </c>
    </row>
    <row r="33" ht="15.75" customHeight="1">
      <c r="A33" s="3" t="str">
        <f t="shared" si="1"/>
        <v>F032</v>
      </c>
      <c r="B33" s="3" t="str">
        <f>CLEAN_699!B33</f>
        <v>Công ty cổ phần nhiệt điện An Khánh</v>
      </c>
      <c r="C33" s="3" t="str">
        <f t="shared" si="2"/>
        <v>Thermal power</v>
      </c>
      <c r="D33" s="3" t="str">
        <f>CLEAN_699!D33</f>
        <v>4600421021</v>
      </c>
      <c r="E33" s="30">
        <f>CLEAN_699!F33</f>
        <v>924021</v>
      </c>
      <c r="F33" s="30">
        <f>CLEAN_699!G33</f>
        <v>1012292</v>
      </c>
      <c r="G33" s="3" t="str">
        <f t="shared" si="3"/>
        <v>Decision 699/QĐ-BNNMT</v>
      </c>
      <c r="H33" s="3" t="str">
        <f t="shared" si="4"/>
        <v>Official</v>
      </c>
      <c r="I33" s="3" t="str">
        <f t="shared" si="5"/>
        <v>Official allocation under Decision 699/QĐ-BNNMT</v>
      </c>
    </row>
    <row r="34" ht="15.75" customHeight="1">
      <c r="A34" s="3" t="str">
        <f t="shared" si="1"/>
        <v>F033</v>
      </c>
      <c r="B34" s="3" t="str">
        <f>CLEAN_699!B34</f>
        <v>Công ty nhiệt điện Cao Ngạn</v>
      </c>
      <c r="C34" s="3" t="str">
        <f t="shared" si="2"/>
        <v>Thermal power</v>
      </c>
      <c r="D34" s="3" t="str">
        <f>CLEAN_699!D34</f>
        <v>0104297034-002</v>
      </c>
      <c r="E34" s="30">
        <f>CLEAN_699!F34</f>
        <v>1240305</v>
      </c>
      <c r="F34" s="30">
        <f>CLEAN_699!G34</f>
        <v>1358791</v>
      </c>
      <c r="G34" s="3" t="str">
        <f t="shared" si="3"/>
        <v>Decision 699/QĐ-BNNMT</v>
      </c>
      <c r="H34" s="3" t="str">
        <f t="shared" si="4"/>
        <v>Official</v>
      </c>
      <c r="I34" s="3" t="str">
        <f t="shared" si="5"/>
        <v>Official allocation under Decision 699/QĐ-BNNMT</v>
      </c>
    </row>
    <row r="35" ht="15.75" customHeight="1">
      <c r="A35" s="3" t="str">
        <f t="shared" si="1"/>
        <v>F034</v>
      </c>
      <c r="B35" s="3" t="str">
        <f>CLEAN_699!B35</f>
        <v>Ban điều hành nhà máy điện Kiên Hải</v>
      </c>
      <c r="C35" s="3" t="str">
        <f t="shared" si="2"/>
        <v>Thermal power</v>
      </c>
      <c r="D35" s="3" t="str">
        <f>CLEAN_699!D35</f>
        <v>1700403486</v>
      </c>
      <c r="E35" s="30">
        <f>CLEAN_699!F35</f>
        <v>5539</v>
      </c>
      <c r="F35" s="30">
        <f>CLEAN_699!G35</f>
        <v>6068</v>
      </c>
      <c r="G35" s="3" t="str">
        <f t="shared" si="3"/>
        <v>Decision 699/QĐ-BNNMT</v>
      </c>
      <c r="H35" s="3" t="str">
        <f t="shared" si="4"/>
        <v>Official</v>
      </c>
      <c r="I35" s="3" t="str">
        <f t="shared" si="5"/>
        <v>Official allocation under Decision 699/QĐ-BNNMT</v>
      </c>
    </row>
    <row r="36" ht="15.75" customHeight="1">
      <c r="A36" s="3" t="str">
        <f t="shared" si="1"/>
        <v>F035</v>
      </c>
      <c r="B36" s="3" t="str">
        <f>CLEAN_699!B36</f>
        <v>Công ty TNHH khoáng sản và luyện kim Việt Trung</v>
      </c>
      <c r="C36" s="3" t="str">
        <f t="shared" si="2"/>
        <v>Thermal power</v>
      </c>
      <c r="D36" s="3" t="str">
        <f>CLEAN_699!D36</f>
        <v>5300232681</v>
      </c>
      <c r="E36" s="30">
        <f>CLEAN_699!F36</f>
        <v>255476</v>
      </c>
      <c r="F36" s="30">
        <f>CLEAN_699!G36</f>
        <v>297830</v>
      </c>
      <c r="G36" s="3" t="str">
        <f t="shared" si="3"/>
        <v>Decision 699/QĐ-BNNMT</v>
      </c>
      <c r="H36" s="3" t="str">
        <f t="shared" si="4"/>
        <v>Official</v>
      </c>
      <c r="I36" s="3" t="str">
        <f t="shared" si="5"/>
        <v>Official allocation under Decision 699/QĐ-BNNMT</v>
      </c>
    </row>
    <row r="37" ht="15.75" customHeight="1">
      <c r="A37" s="3" t="str">
        <f t="shared" si="1"/>
        <v>F036</v>
      </c>
      <c r="B37" s="3" t="str">
        <f>CLEAN_699!B37</f>
        <v>Công ty cổ phần Gang thép Cao Bằng</v>
      </c>
      <c r="C37" s="3" t="str">
        <f t="shared" si="2"/>
        <v>Thermal power</v>
      </c>
      <c r="D37" s="3" t="str">
        <f>CLEAN_699!D37</f>
        <v>4800162247</v>
      </c>
      <c r="E37" s="30">
        <f>CLEAN_699!F37</f>
        <v>391158</v>
      </c>
      <c r="F37" s="30">
        <f>CLEAN_699!G37</f>
        <v>456006</v>
      </c>
      <c r="G37" s="3" t="str">
        <f t="shared" si="3"/>
        <v>Decision 699/QĐ-BNNMT</v>
      </c>
      <c r="H37" s="3" t="str">
        <f t="shared" si="4"/>
        <v>Official</v>
      </c>
      <c r="I37" s="3" t="str">
        <f t="shared" si="5"/>
        <v>Official allocation under Decision 699/QĐ-BNNMT</v>
      </c>
    </row>
    <row r="38" ht="15.75" customHeight="1">
      <c r="A38" s="3" t="str">
        <f t="shared" si="1"/>
        <v>F037</v>
      </c>
      <c r="B38" s="3" t="str">
        <f>CLEAN_699!B38</f>
        <v>Công ty cổ phần luyện thép Việt Ý</v>
      </c>
      <c r="C38" s="3" t="str">
        <f t="shared" si="2"/>
        <v>Thermal power</v>
      </c>
      <c r="D38" s="3" t="str">
        <f>CLEAN_699!D38</f>
        <v>0900222647-004</v>
      </c>
      <c r="E38" s="30">
        <f>CLEAN_699!F38</f>
        <v>33053</v>
      </c>
      <c r="F38" s="30">
        <f>CLEAN_699!G38</f>
        <v>38533</v>
      </c>
      <c r="G38" s="3" t="str">
        <f t="shared" si="3"/>
        <v>Decision 699/QĐ-BNNMT</v>
      </c>
      <c r="H38" s="3" t="str">
        <f t="shared" si="4"/>
        <v>Official</v>
      </c>
      <c r="I38" s="3" t="str">
        <f t="shared" si="5"/>
        <v>Official allocation under Decision 699/QĐ-BNNMT</v>
      </c>
    </row>
    <row r="39" ht="15.75" customHeight="1">
      <c r="A39" s="3" t="str">
        <f t="shared" si="1"/>
        <v>F038</v>
      </c>
      <c r="B39" s="3" t="str">
        <f>CLEAN_699!B39</f>
        <v>Công ty cổ phần luyện thép cao cấp Việt Nhật</v>
      </c>
      <c r="C39" s="3" t="str">
        <f t="shared" si="2"/>
        <v>Thermal power</v>
      </c>
      <c r="D39" s="3" t="str">
        <f>CLEAN_699!D39</f>
        <v>201572208</v>
      </c>
      <c r="E39" s="30">
        <f>CLEAN_699!F39</f>
        <v>902</v>
      </c>
      <c r="F39" s="30">
        <f>CLEAN_699!G39</f>
        <v>1052</v>
      </c>
      <c r="G39" s="3" t="str">
        <f t="shared" si="3"/>
        <v>Decision 699/QĐ-BNNMT</v>
      </c>
      <c r="H39" s="3" t="str">
        <f t="shared" si="4"/>
        <v>Official</v>
      </c>
      <c r="I39" s="3" t="str">
        <f t="shared" si="5"/>
        <v>Official allocation under Decision 699/QĐ-BNNMT</v>
      </c>
    </row>
    <row r="40" ht="15.75" customHeight="1">
      <c r="A40" s="3" t="str">
        <f t="shared" si="1"/>
        <v>F039</v>
      </c>
      <c r="B40" s="3" t="str">
        <f>CLEAN_699!B40</f>
        <v>Công ty TNHH MTV Thép Hòa Phát</v>
      </c>
      <c r="C40" s="3" t="str">
        <f t="shared" si="2"/>
        <v>Thermal power</v>
      </c>
      <c r="D40" s="3" t="str">
        <f>CLEAN_699!D40</f>
        <v>900629369</v>
      </c>
      <c r="E40" s="30">
        <f>CLEAN_699!F40</f>
        <v>2406</v>
      </c>
      <c r="F40" s="30">
        <f>CLEAN_699!G40</f>
        <v>2804</v>
      </c>
      <c r="G40" s="3" t="str">
        <f t="shared" si="3"/>
        <v>Decision 699/QĐ-BNNMT</v>
      </c>
      <c r="H40" s="3" t="str">
        <f t="shared" si="4"/>
        <v>Official</v>
      </c>
      <c r="I40" s="3" t="str">
        <f t="shared" si="5"/>
        <v>Official allocation under Decision 699/QĐ-BNNMT</v>
      </c>
    </row>
    <row r="41" ht="15.75" customHeight="1">
      <c r="A41" s="3" t="str">
        <f t="shared" si="1"/>
        <v>F040</v>
      </c>
      <c r="B41" s="3" t="str">
        <f>CLEAN_699!B41</f>
        <v>Công ty TNHH Gang Thép Hung Nghiệp Formosa Hà Tĩnh</v>
      </c>
      <c r="C41" s="3" t="str">
        <f t="shared" si="2"/>
        <v>Thermal power</v>
      </c>
      <c r="D41" s="3" t="str">
        <f>CLEAN_699!D41</f>
        <v>3000437821</v>
      </c>
      <c r="E41" s="30">
        <f>CLEAN_699!F41</f>
        <v>13666930</v>
      </c>
      <c r="F41" s="30">
        <f>CLEAN_699!G41</f>
        <v>15932703</v>
      </c>
      <c r="G41" s="3" t="str">
        <f t="shared" si="3"/>
        <v>Decision 699/QĐ-BNNMT</v>
      </c>
      <c r="H41" s="3" t="str">
        <f t="shared" si="4"/>
        <v>Official</v>
      </c>
      <c r="I41" s="3" t="str">
        <f t="shared" si="5"/>
        <v>Official allocation under Decision 699/QĐ-BNNMT</v>
      </c>
    </row>
    <row r="42" ht="15.75" customHeight="1">
      <c r="A42" s="3" t="str">
        <f t="shared" si="1"/>
        <v>F041</v>
      </c>
      <c r="B42" s="3" t="str">
        <f>CLEAN_699!B42</f>
        <v>Công ty cổ phần Thép Hòa Phát Dung Quất</v>
      </c>
      <c r="C42" s="3" t="str">
        <f t="shared" si="2"/>
        <v>Thermal power</v>
      </c>
      <c r="D42" s="3" t="str">
        <f>CLEAN_699!D42</f>
        <v>4300793861</v>
      </c>
      <c r="E42" s="30">
        <f>CLEAN_699!F42</f>
        <v>11218848</v>
      </c>
      <c r="F42" s="30">
        <f>CLEAN_699!G42</f>
        <v>13078765</v>
      </c>
      <c r="G42" s="3" t="str">
        <f t="shared" si="3"/>
        <v>Decision 699/QĐ-BNNMT</v>
      </c>
      <c r="H42" s="3" t="str">
        <f t="shared" si="4"/>
        <v>Official</v>
      </c>
      <c r="I42" s="3" t="str">
        <f t="shared" si="5"/>
        <v>Official allocation under Decision 699/QĐ-BNNMT</v>
      </c>
    </row>
    <row r="43" ht="15.75" customHeight="1">
      <c r="A43" s="3" t="str">
        <f t="shared" si="1"/>
        <v>F042</v>
      </c>
      <c r="B43" s="3" t="str">
        <f>CLEAN_699!B43</f>
        <v>Công ty cổ phần Thép Thủ Đức - Vnsteel</v>
      </c>
      <c r="C43" s="3" t="str">
        <f t="shared" si="2"/>
        <v>Thermal power</v>
      </c>
      <c r="D43" s="3" t="str">
        <f>CLEAN_699!D43</f>
        <v>305409326</v>
      </c>
      <c r="E43" s="30">
        <f>CLEAN_699!F43</f>
        <v>12842</v>
      </c>
      <c r="F43" s="30">
        <f>CLEAN_699!G43</f>
        <v>14971</v>
      </c>
      <c r="G43" s="3" t="str">
        <f t="shared" si="3"/>
        <v>Decision 699/QĐ-BNNMT</v>
      </c>
      <c r="H43" s="3" t="str">
        <f t="shared" si="4"/>
        <v>Official</v>
      </c>
      <c r="I43" s="3" t="str">
        <f t="shared" si="5"/>
        <v>Official allocation under Decision 699/QĐ-BNNMT</v>
      </c>
    </row>
    <row r="44" ht="15.75" customHeight="1">
      <c r="A44" s="3" t="str">
        <f t="shared" si="1"/>
        <v>F043</v>
      </c>
      <c r="B44" s="3" t="str">
        <f>CLEAN_699!B44</f>
        <v>Công ty TNHH thép Tung Ho Việt Nam</v>
      </c>
      <c r="C44" s="3" t="str">
        <f t="shared" si="2"/>
        <v>Thermal power</v>
      </c>
      <c r="D44" s="3" t="str">
        <f>CLEAN_699!D44</f>
        <v>3500791394</v>
      </c>
      <c r="E44" s="30">
        <f>CLEAN_699!F44</f>
        <v>52001</v>
      </c>
      <c r="F44" s="30">
        <f>CLEAN_699!G44</f>
        <v>60622</v>
      </c>
      <c r="G44" s="3" t="str">
        <f t="shared" si="3"/>
        <v>Decision 699/QĐ-BNNMT</v>
      </c>
      <c r="H44" s="3" t="str">
        <f t="shared" si="4"/>
        <v>Official</v>
      </c>
      <c r="I44" s="3" t="str">
        <f t="shared" si="5"/>
        <v>Official allocation under Decision 699/QĐ-BNNMT</v>
      </c>
    </row>
    <row r="45" ht="15.75" customHeight="1">
      <c r="A45" s="3" t="str">
        <f t="shared" si="1"/>
        <v>F044</v>
      </c>
      <c r="B45" s="3" t="str">
        <f>CLEAN_699!B45</f>
        <v>Nhà máy thép Pomina 2</v>
      </c>
      <c r="C45" s="3" t="str">
        <f t="shared" si="2"/>
        <v>Thermal power</v>
      </c>
      <c r="D45" s="3" t="str">
        <f>CLEAN_699!D45</f>
        <v>3500793105</v>
      </c>
      <c r="E45" s="30">
        <f>CLEAN_699!F45</f>
        <v>14952</v>
      </c>
      <c r="F45" s="30">
        <f>CLEAN_699!G45</f>
        <v>17431</v>
      </c>
      <c r="G45" s="3" t="str">
        <f t="shared" si="3"/>
        <v>Decision 699/QĐ-BNNMT</v>
      </c>
      <c r="H45" s="3" t="str">
        <f t="shared" si="4"/>
        <v>Official</v>
      </c>
      <c r="I45" s="3" t="str">
        <f t="shared" si="5"/>
        <v>Official allocation under Decision 699/QĐ-BNNMT</v>
      </c>
    </row>
    <row r="46" ht="15.75" customHeight="1">
      <c r="A46" s="3" t="str">
        <f t="shared" si="1"/>
        <v>F045</v>
      </c>
      <c r="B46" s="3" t="str">
        <f>CLEAN_699!B46</f>
        <v>Công ty TNHH MTV Thép Miền Nam</v>
      </c>
      <c r="C46" s="3" t="str">
        <f t="shared" si="2"/>
        <v>Thermal power</v>
      </c>
      <c r="D46" s="3" t="str">
        <f>CLEAN_699!D46</f>
        <v>3502269994</v>
      </c>
      <c r="E46" s="30">
        <f>CLEAN_699!F46</f>
        <v>46390</v>
      </c>
      <c r="F46" s="30">
        <f>CLEAN_699!G46</f>
        <v>54081</v>
      </c>
      <c r="G46" s="3" t="str">
        <f t="shared" si="3"/>
        <v>Decision 699/QĐ-BNNMT</v>
      </c>
      <c r="H46" s="3" t="str">
        <f t="shared" si="4"/>
        <v>Official</v>
      </c>
      <c r="I46" s="3" t="str">
        <f t="shared" si="5"/>
        <v>Official allocation under Decision 699/QĐ-BNNMT</v>
      </c>
    </row>
    <row r="47" ht="15.75" customHeight="1">
      <c r="A47" s="3" t="str">
        <f t="shared" si="1"/>
        <v>F046</v>
      </c>
      <c r="B47" s="3" t="str">
        <f>CLEAN_699!B47</f>
        <v>Công ty TNHH Posco SS - Vina</v>
      </c>
      <c r="C47" s="3" t="str">
        <f t="shared" si="2"/>
        <v>Thermal power</v>
      </c>
      <c r="D47" s="3" t="str">
        <f>CLEAN_699!D47</f>
        <v>3501620257</v>
      </c>
      <c r="E47" s="30">
        <f>CLEAN_699!F47</f>
        <v>50549</v>
      </c>
      <c r="F47" s="30">
        <f>CLEAN_699!G47</f>
        <v>58930</v>
      </c>
      <c r="G47" s="3" t="str">
        <f t="shared" si="3"/>
        <v>Decision 699/QĐ-BNNMT</v>
      </c>
      <c r="H47" s="3" t="str">
        <f t="shared" si="4"/>
        <v>Official</v>
      </c>
      <c r="I47" s="3" t="str">
        <f t="shared" si="5"/>
        <v>Official allocation under Decision 699/QĐ-BNNMT</v>
      </c>
    </row>
    <row r="48" ht="15.75" customHeight="1">
      <c r="A48" s="3" t="str">
        <f t="shared" si="1"/>
        <v>F047</v>
      </c>
      <c r="B48" s="3" t="str">
        <f>CLEAN_699!B48</f>
        <v>Công ty TNHH Thép Vina Kyoei</v>
      </c>
      <c r="C48" s="3" t="str">
        <f t="shared" si="2"/>
        <v>Thermal power</v>
      </c>
      <c r="D48" s="3" t="str">
        <f>CLEAN_699!D48</f>
        <v>3500106761</v>
      </c>
      <c r="E48" s="30">
        <f>CLEAN_699!F48</f>
        <v>44367</v>
      </c>
      <c r="F48" s="30">
        <f>CLEAN_699!G48</f>
        <v>51723</v>
      </c>
      <c r="G48" s="3" t="str">
        <f t="shared" si="3"/>
        <v>Decision 699/QĐ-BNNMT</v>
      </c>
      <c r="H48" s="3" t="str">
        <f t="shared" si="4"/>
        <v>Official</v>
      </c>
      <c r="I48" s="3" t="str">
        <f t="shared" si="5"/>
        <v>Official allocation under Decision 699/QĐ-BNNMT</v>
      </c>
    </row>
    <row r="49" ht="15.75" customHeight="1">
      <c r="A49" s="3" t="str">
        <f t="shared" si="1"/>
        <v>F048</v>
      </c>
      <c r="B49" s="3" t="str">
        <f>CLEAN_699!B49</f>
        <v>Công ty TNHH thép VAS An Hưng Tường</v>
      </c>
      <c r="C49" s="3" t="str">
        <f t="shared" si="2"/>
        <v>Thermal power</v>
      </c>
      <c r="D49" s="3" t="str">
        <f>CLEAN_699!D49</f>
        <v>3700256179</v>
      </c>
      <c r="E49" s="30">
        <f>CLEAN_699!F49</f>
        <v>2050</v>
      </c>
      <c r="F49" s="30">
        <f>CLEAN_699!G49</f>
        <v>2390</v>
      </c>
      <c r="G49" s="3" t="str">
        <f t="shared" si="3"/>
        <v>Decision 699/QĐ-BNNMT</v>
      </c>
      <c r="H49" s="3" t="str">
        <f t="shared" si="4"/>
        <v>Official</v>
      </c>
      <c r="I49" s="3" t="str">
        <f t="shared" si="5"/>
        <v>Official allocation under Decision 699/QĐ-BNNMT</v>
      </c>
    </row>
    <row r="50" ht="15.75" customHeight="1">
      <c r="A50" s="3" t="str">
        <f t="shared" si="1"/>
        <v>F049</v>
      </c>
      <c r="B50" s="3" t="str">
        <f>CLEAN_699!B50</f>
        <v>Công ty TNHH thép Sa Mi Na</v>
      </c>
      <c r="C50" s="3" t="str">
        <f t="shared" si="2"/>
        <v>Thermal power</v>
      </c>
      <c r="D50" s="3" t="str">
        <f>CLEAN_699!D50</f>
        <v>3700598687</v>
      </c>
      <c r="E50" s="30">
        <f>CLEAN_699!F50</f>
        <v>265</v>
      </c>
      <c r="F50" s="30">
        <f>CLEAN_699!G50</f>
        <v>310</v>
      </c>
      <c r="G50" s="3" t="str">
        <f t="shared" si="3"/>
        <v>Decision 699/QĐ-BNNMT</v>
      </c>
      <c r="H50" s="3" t="str">
        <f t="shared" si="4"/>
        <v>Official</v>
      </c>
      <c r="I50" s="3" t="str">
        <f t="shared" si="5"/>
        <v>Official allocation under Decision 699/QĐ-BNNMT</v>
      </c>
    </row>
    <row r="51" ht="15.75" customHeight="1">
      <c r="A51" s="3" t="str">
        <f t="shared" si="1"/>
        <v>F050</v>
      </c>
      <c r="B51" s="3" t="str">
        <f>CLEAN_699!B51</f>
        <v>Công ty cổ phần thép Tuệ Minh</v>
      </c>
      <c r="C51" s="3" t="str">
        <f t="shared" si="2"/>
        <v>Thermal power</v>
      </c>
      <c r="D51" s="3" t="str">
        <f>CLEAN_699!D51</f>
        <v>3701729269</v>
      </c>
      <c r="E51" s="30">
        <f>CLEAN_699!F51</f>
        <v>2559</v>
      </c>
      <c r="F51" s="30">
        <f>CLEAN_699!G51</f>
        <v>2983</v>
      </c>
      <c r="G51" s="3" t="str">
        <f t="shared" si="3"/>
        <v>Decision 699/QĐ-BNNMT</v>
      </c>
      <c r="H51" s="3" t="str">
        <f t="shared" si="4"/>
        <v>Official</v>
      </c>
      <c r="I51" s="3" t="str">
        <f t="shared" si="5"/>
        <v>Official allocation under Decision 699/QĐ-BNNMT</v>
      </c>
    </row>
    <row r="52" ht="15.75" customHeight="1">
      <c r="A52" s="3" t="str">
        <f t="shared" si="1"/>
        <v>F051</v>
      </c>
      <c r="B52" s="3" t="str">
        <f>CLEAN_699!B52</f>
        <v>Công ty cổ phần Sản xuất thép Vina One</v>
      </c>
      <c r="C52" s="3" t="str">
        <f t="shared" si="2"/>
        <v>Thermal power</v>
      </c>
      <c r="D52" s="3" t="str">
        <f>CLEAN_699!D52</f>
        <v>1100549268</v>
      </c>
      <c r="E52" s="30">
        <f>CLEAN_699!F52</f>
        <v>246</v>
      </c>
      <c r="F52" s="30">
        <f>CLEAN_699!G52</f>
        <v>287</v>
      </c>
      <c r="G52" s="3" t="str">
        <f t="shared" si="3"/>
        <v>Decision 699/QĐ-BNNMT</v>
      </c>
      <c r="H52" s="3" t="str">
        <f t="shared" si="4"/>
        <v>Official</v>
      </c>
      <c r="I52" s="3" t="str">
        <f t="shared" si="5"/>
        <v>Official allocation under Decision 699/QĐ-BNNMT</v>
      </c>
    </row>
    <row r="53" ht="15.75" customHeight="1">
      <c r="A53" s="3" t="str">
        <f t="shared" si="1"/>
        <v>F052</v>
      </c>
      <c r="B53" s="3" t="str">
        <f>CLEAN_699!B53</f>
        <v>Công ty TNHH MTV thép VAS Nghi Sơn</v>
      </c>
      <c r="C53" s="3" t="str">
        <f t="shared" si="2"/>
        <v>Thermal power</v>
      </c>
      <c r="D53" s="3" t="str">
        <f>CLEAN_699!D53</f>
        <v>2801115888</v>
      </c>
      <c r="E53" s="30">
        <f>CLEAN_699!F53</f>
        <v>6602</v>
      </c>
      <c r="F53" s="30">
        <f>CLEAN_699!G53</f>
        <v>7696</v>
      </c>
      <c r="G53" s="3" t="str">
        <f t="shared" si="3"/>
        <v>Decision 699/QĐ-BNNMT</v>
      </c>
      <c r="H53" s="3" t="str">
        <f t="shared" si="4"/>
        <v>Official</v>
      </c>
      <c r="I53" s="3" t="str">
        <f t="shared" si="5"/>
        <v>Official allocation under Decision 699/QĐ-BNNMT</v>
      </c>
    </row>
    <row r="54" ht="15.75" customHeight="1">
      <c r="A54" s="3" t="str">
        <f t="shared" si="1"/>
        <v>F053</v>
      </c>
      <c r="B54" s="3" t="str">
        <f>CLEAN_699!B54</f>
        <v>Công ty cổ phần Cơ khí Gang thép</v>
      </c>
      <c r="C54" s="3" t="str">
        <f t="shared" si="2"/>
        <v>Thermal power</v>
      </c>
      <c r="D54" s="3" t="str">
        <f>CLEAN_699!D54</f>
        <v>4600479367</v>
      </c>
      <c r="E54" s="30">
        <f>CLEAN_699!F54</f>
        <v>715</v>
      </c>
      <c r="F54" s="30">
        <f>CLEAN_699!G54</f>
        <v>833</v>
      </c>
      <c r="G54" s="3" t="str">
        <f t="shared" si="3"/>
        <v>Decision 699/QĐ-BNNMT</v>
      </c>
      <c r="H54" s="3" t="str">
        <f t="shared" si="4"/>
        <v>Official</v>
      </c>
      <c r="I54" s="3" t="str">
        <f t="shared" si="5"/>
        <v>Official allocation under Decision 699/QĐ-BNNMT</v>
      </c>
    </row>
    <row r="55" ht="15.75" customHeight="1">
      <c r="A55" s="3" t="str">
        <f t="shared" si="1"/>
        <v>F054</v>
      </c>
      <c r="B55" s="3" t="str">
        <f>CLEAN_699!B55</f>
        <v>Công ty cổ phần Thép Hòa Phát</v>
      </c>
      <c r="C55" s="3" t="str">
        <f t="shared" si="2"/>
        <v>Thermal power</v>
      </c>
      <c r="D55" s="3" t="str">
        <f>CLEAN_699!D55</f>
        <v>800384651</v>
      </c>
      <c r="E55" s="30">
        <f>CLEAN_699!F55</f>
        <v>4494857</v>
      </c>
      <c r="F55" s="30">
        <f>CLEAN_699!G55</f>
        <v>5240036</v>
      </c>
      <c r="G55" s="3" t="str">
        <f t="shared" si="3"/>
        <v>Decision 699/QĐ-BNNMT</v>
      </c>
      <c r="H55" s="3" t="str">
        <f t="shared" si="4"/>
        <v>Official</v>
      </c>
      <c r="I55" s="3" t="str">
        <f t="shared" si="5"/>
        <v>Official allocation under Decision 699/QĐ-BNNMT</v>
      </c>
    </row>
    <row r="56" ht="15.75" customHeight="1">
      <c r="A56" s="3" t="str">
        <f t="shared" si="1"/>
        <v>F055</v>
      </c>
      <c r="B56" s="3" t="str">
        <f>CLEAN_699!B56</f>
        <v>Công ty cổ phần Gang Thép Thái Nguyên</v>
      </c>
      <c r="C56" s="3" t="str">
        <f t="shared" si="2"/>
        <v>Thermal power</v>
      </c>
      <c r="D56" s="3" t="str">
        <f>CLEAN_699!D56</f>
        <v>4600100155</v>
      </c>
      <c r="E56" s="30">
        <f>CLEAN_699!F56</f>
        <v>487238</v>
      </c>
      <c r="F56" s="30">
        <f>CLEAN_699!G56</f>
        <v>568015</v>
      </c>
      <c r="G56" s="3" t="str">
        <f t="shared" si="3"/>
        <v>Decision 699/QĐ-BNNMT</v>
      </c>
      <c r="H56" s="3" t="str">
        <f t="shared" si="4"/>
        <v>Official</v>
      </c>
      <c r="I56" s="3" t="str">
        <f t="shared" si="5"/>
        <v>Official allocation under Decision 699/QĐ-BNNMT</v>
      </c>
    </row>
    <row r="57" ht="15.75" customHeight="1">
      <c r="A57" s="3" t="str">
        <f t="shared" si="1"/>
        <v>F056</v>
      </c>
      <c r="B57" s="3" t="str">
        <f>CLEAN_699!B57</f>
        <v>Công ty cổ phần thép Đà Nẵng</v>
      </c>
      <c r="C57" s="3" t="str">
        <f t="shared" si="2"/>
        <v>Thermal power</v>
      </c>
      <c r="D57" s="3" t="str">
        <f>CLEAN_699!D57</f>
        <v>400101549</v>
      </c>
      <c r="E57" s="30">
        <f>CLEAN_699!F57</f>
        <v>11961</v>
      </c>
      <c r="F57" s="30">
        <f>CLEAN_699!G57</f>
        <v>13944</v>
      </c>
      <c r="G57" s="3" t="str">
        <f t="shared" si="3"/>
        <v>Decision 699/QĐ-BNNMT</v>
      </c>
      <c r="H57" s="3" t="str">
        <f t="shared" si="4"/>
        <v>Official</v>
      </c>
      <c r="I57" s="3" t="str">
        <f t="shared" si="5"/>
        <v>Official allocation under Decision 699/QĐ-BNNMT</v>
      </c>
    </row>
    <row r="58" ht="15.75" customHeight="1">
      <c r="A58" s="3" t="str">
        <f t="shared" si="1"/>
        <v>F057</v>
      </c>
      <c r="B58" s="3" t="str">
        <f>CLEAN_699!B58</f>
        <v>Công ty cổ phần Thép Vicasa - Vnsteel</v>
      </c>
      <c r="C58" s="3" t="str">
        <f t="shared" si="2"/>
        <v>Thermal power</v>
      </c>
      <c r="D58" s="3" t="str">
        <f>CLEAN_699!D58</f>
        <v>3600961762</v>
      </c>
      <c r="E58" s="30">
        <f>CLEAN_699!F58</f>
        <v>15530</v>
      </c>
      <c r="F58" s="30">
        <f>CLEAN_699!G58</f>
        <v>18105</v>
      </c>
      <c r="G58" s="3" t="str">
        <f t="shared" si="3"/>
        <v>Decision 699/QĐ-BNNMT</v>
      </c>
      <c r="H58" s="3" t="str">
        <f t="shared" si="4"/>
        <v>Official</v>
      </c>
      <c r="I58" s="3" t="str">
        <f t="shared" si="5"/>
        <v>Official allocation under Decision 699/QĐ-BNNMT</v>
      </c>
    </row>
    <row r="59" ht="15.75" customHeight="1">
      <c r="A59" s="3" t="str">
        <f t="shared" si="1"/>
        <v>F058</v>
      </c>
      <c r="B59" s="3" t="str">
        <f>CLEAN_699!B59</f>
        <v>Công ty TNHH thép đặc biệt Shengli Việt Nam</v>
      </c>
      <c r="C59" s="3" t="str">
        <f t="shared" si="2"/>
        <v>Thermal power</v>
      </c>
      <c r="D59" s="3" t="str">
        <f>CLEAN_699!D59</f>
        <v>1000440676</v>
      </c>
      <c r="E59" s="30">
        <f>CLEAN_699!F59</f>
        <v>2893</v>
      </c>
      <c r="F59" s="30">
        <f>CLEAN_699!G59</f>
        <v>3372</v>
      </c>
      <c r="G59" s="3" t="str">
        <f t="shared" si="3"/>
        <v>Decision 699/QĐ-BNNMT</v>
      </c>
      <c r="H59" s="3" t="str">
        <f t="shared" si="4"/>
        <v>Official</v>
      </c>
      <c r="I59" s="3" t="str">
        <f t="shared" si="5"/>
        <v>Official allocation under Decision 699/QĐ-BNNMT</v>
      </c>
    </row>
    <row r="60" ht="15.75" customHeight="1">
      <c r="A60" s="3" t="str">
        <f t="shared" si="1"/>
        <v>F059</v>
      </c>
      <c r="B60" s="3" t="str">
        <f>CLEAN_699!B60</f>
        <v>Công ty cổ phần Luyện kim đen Thái Nguyên</v>
      </c>
      <c r="C60" s="3" t="str">
        <f t="shared" si="2"/>
        <v>Thermal power</v>
      </c>
      <c r="D60" s="3" t="str">
        <f>CLEAN_699!D60</f>
        <v>4600400261</v>
      </c>
      <c r="E60" s="30">
        <f>CLEAN_699!F60</f>
        <v>236403</v>
      </c>
      <c r="F60" s="30">
        <f>CLEAN_699!G60</f>
        <v>275595</v>
      </c>
      <c r="G60" s="3" t="str">
        <f t="shared" si="3"/>
        <v>Decision 699/QĐ-BNNMT</v>
      </c>
      <c r="H60" s="3" t="str">
        <f t="shared" si="4"/>
        <v>Official</v>
      </c>
      <c r="I60" s="3" t="str">
        <f t="shared" si="5"/>
        <v>Official allocation under Decision 699/QĐ-BNNMT</v>
      </c>
    </row>
    <row r="61" ht="15.75" customHeight="1">
      <c r="A61" s="3" t="str">
        <f t="shared" si="1"/>
        <v>F060</v>
      </c>
      <c r="B61" s="3" t="str">
        <f>CLEAN_699!B61</f>
        <v>Công ty Cổ phần Xi măng X18</v>
      </c>
      <c r="C61" s="3" t="str">
        <f t="shared" si="2"/>
        <v>Thermal power</v>
      </c>
      <c r="D61" s="3" t="str">
        <f>CLEAN_699!D61</f>
        <v>5400253188</v>
      </c>
      <c r="E61" s="30">
        <f>CLEAN_699!F61</f>
        <v>109943</v>
      </c>
      <c r="F61" s="30">
        <f>CLEAN_699!G61</f>
        <v>120305</v>
      </c>
      <c r="G61" s="3" t="str">
        <f t="shared" si="3"/>
        <v>Decision 699/QĐ-BNNMT</v>
      </c>
      <c r="H61" s="3" t="str">
        <f t="shared" si="4"/>
        <v>Official</v>
      </c>
      <c r="I61" s="3" t="str">
        <f t="shared" si="5"/>
        <v>Official allocation under Decision 699/QĐ-BNNMT</v>
      </c>
    </row>
    <row r="62" ht="15.75" customHeight="1">
      <c r="A62" s="3" t="str">
        <f t="shared" si="1"/>
        <v>F061</v>
      </c>
      <c r="B62" s="3" t="str">
        <f>CLEAN_699!B62</f>
        <v>Nhà máy Xi măng Trung Sơn (Công ty Cổ phần Xây dựng và Du lịch Bình Minh)</v>
      </c>
      <c r="C62" s="3" t="str">
        <f t="shared" si="2"/>
        <v>Thermal power</v>
      </c>
      <c r="D62" s="3" t="str">
        <f>CLEAN_699!D62</f>
        <v>5400478632</v>
      </c>
      <c r="E62" s="30">
        <f>CLEAN_699!F62</f>
        <v>648135</v>
      </c>
      <c r="F62" s="30">
        <f>CLEAN_699!G62</f>
        <v>709220</v>
      </c>
      <c r="G62" s="3" t="str">
        <f t="shared" si="3"/>
        <v>Decision 699/QĐ-BNNMT</v>
      </c>
      <c r="H62" s="3" t="str">
        <f t="shared" si="4"/>
        <v>Official</v>
      </c>
      <c r="I62" s="3" t="str">
        <f t="shared" si="5"/>
        <v>Official allocation under Decision 699/QĐ-BNNMT</v>
      </c>
    </row>
    <row r="63" ht="15.75" customHeight="1">
      <c r="A63" s="3" t="str">
        <f t="shared" si="1"/>
        <v>F062</v>
      </c>
      <c r="B63" s="3" t="str">
        <f>CLEAN_699!B63</f>
        <v>Nhà máy Xi măng Vĩnh Sơn (Công ty TNHH Xi măng Vĩnh Sơn)</v>
      </c>
      <c r="C63" s="3" t="str">
        <f t="shared" si="2"/>
        <v>Thermal power</v>
      </c>
      <c r="D63" s="3" t="str">
        <f>CLEAN_699!D63</f>
        <v>5400208756</v>
      </c>
      <c r="E63" s="30">
        <f>CLEAN_699!F63</f>
        <v>369109</v>
      </c>
      <c r="F63" s="30">
        <f>CLEAN_699!G63</f>
        <v>403897</v>
      </c>
      <c r="G63" s="3" t="str">
        <f t="shared" si="3"/>
        <v>Decision 699/QĐ-BNNMT</v>
      </c>
      <c r="H63" s="3" t="str">
        <f t="shared" si="4"/>
        <v>Official</v>
      </c>
      <c r="I63" s="3" t="str">
        <f t="shared" si="5"/>
        <v>Official allocation under Decision 699/QĐ-BNNMT</v>
      </c>
    </row>
    <row r="64" ht="15.75" customHeight="1">
      <c r="A64" s="3" t="str">
        <f t="shared" si="1"/>
        <v>F063</v>
      </c>
      <c r="B64" s="3" t="str">
        <f>CLEAN_699!B64</f>
        <v>Công ty Cổ phần Xi măng Mai Sơn</v>
      </c>
      <c r="C64" s="3" t="str">
        <f t="shared" si="2"/>
        <v>Thermal power</v>
      </c>
      <c r="D64" s="3" t="str">
        <f>CLEAN_699!D64</f>
        <v>5500230970</v>
      </c>
      <c r="E64" s="30">
        <f>CLEAN_699!F64</f>
        <v>359956</v>
      </c>
      <c r="F64" s="30">
        <f>CLEAN_699!G64</f>
        <v>393882</v>
      </c>
      <c r="G64" s="3" t="str">
        <f t="shared" si="3"/>
        <v>Decision 699/QĐ-BNNMT</v>
      </c>
      <c r="H64" s="3" t="str">
        <f t="shared" si="4"/>
        <v>Official</v>
      </c>
      <c r="I64" s="3" t="str">
        <f t="shared" si="5"/>
        <v>Official allocation under Decision 699/QĐ-BNNMT</v>
      </c>
    </row>
    <row r="65" ht="15.75" customHeight="1">
      <c r="A65" s="3" t="str">
        <f t="shared" si="1"/>
        <v>F064</v>
      </c>
      <c r="B65" s="3" t="str">
        <f>CLEAN_699!B65</f>
        <v>Nhà máy xi măng Điện Biên</v>
      </c>
      <c r="C65" s="3" t="str">
        <f t="shared" si="2"/>
        <v>Thermal power</v>
      </c>
      <c r="D65" s="3" t="str">
        <f>CLEAN_699!D65</f>
        <v>5600177368</v>
      </c>
      <c r="E65" s="30">
        <f>CLEAN_699!F65</f>
        <v>171860</v>
      </c>
      <c r="F65" s="30">
        <f>CLEAN_699!G65</f>
        <v>188058</v>
      </c>
      <c r="G65" s="3" t="str">
        <f t="shared" si="3"/>
        <v>Decision 699/QĐ-BNNMT</v>
      </c>
      <c r="H65" s="3" t="str">
        <f t="shared" si="4"/>
        <v>Official</v>
      </c>
      <c r="I65" s="3" t="str">
        <f t="shared" si="5"/>
        <v>Official allocation under Decision 699/QĐ-BNNMT</v>
      </c>
    </row>
    <row r="66" ht="15.75" customHeight="1">
      <c r="A66" s="3" t="str">
        <f t="shared" si="1"/>
        <v>F065</v>
      </c>
      <c r="B66" s="3" t="str">
        <f>CLEAN_699!B66</f>
        <v>Nhà máy Xi măng Yên Bái, Công ty Cổ phần Xi măng và Khoáng sản Yên Bái</v>
      </c>
      <c r="C66" s="3" t="str">
        <f t="shared" si="2"/>
        <v>Thermal power</v>
      </c>
      <c r="D66" s="3" t="str">
        <f>CLEAN_699!D66</f>
        <v>5200216647</v>
      </c>
      <c r="E66" s="30">
        <f>CLEAN_699!F66</f>
        <v>400233</v>
      </c>
      <c r="F66" s="30">
        <f>CLEAN_699!G66</f>
        <v>437954</v>
      </c>
      <c r="G66" s="3" t="str">
        <f t="shared" si="3"/>
        <v>Decision 699/QĐ-BNNMT</v>
      </c>
      <c r="H66" s="3" t="str">
        <f t="shared" si="4"/>
        <v>Official</v>
      </c>
      <c r="I66" s="3" t="str">
        <f t="shared" si="5"/>
        <v>Official allocation under Decision 699/QĐ-BNNMT</v>
      </c>
    </row>
    <row r="67" ht="15.75" customHeight="1">
      <c r="A67" s="3" t="str">
        <f t="shared" si="1"/>
        <v>F066</v>
      </c>
      <c r="B67" s="3" t="str">
        <f>CLEAN_699!B67</f>
        <v>Nhà máy Xi măng Yên Bình, Công ty Cổ phần Xi măng Yên Bình</v>
      </c>
      <c r="C67" s="3" t="str">
        <f t="shared" si="2"/>
        <v>Thermal power</v>
      </c>
      <c r="D67" s="3" t="str">
        <f>CLEAN_699!D67</f>
        <v>5200213597</v>
      </c>
      <c r="E67" s="30">
        <f>CLEAN_699!F67</f>
        <v>598709</v>
      </c>
      <c r="F67" s="30">
        <f>CLEAN_699!G67</f>
        <v>655136</v>
      </c>
      <c r="G67" s="3" t="str">
        <f t="shared" si="3"/>
        <v>Decision 699/QĐ-BNNMT</v>
      </c>
      <c r="H67" s="3" t="str">
        <f t="shared" si="4"/>
        <v>Official</v>
      </c>
      <c r="I67" s="3" t="str">
        <f t="shared" si="5"/>
        <v>Official allocation under Decision 699/QĐ-BNNMT</v>
      </c>
    </row>
    <row r="68" ht="15.75" customHeight="1">
      <c r="A68" s="3" t="str">
        <f t="shared" si="1"/>
        <v>F067</v>
      </c>
      <c r="B68" s="3" t="str">
        <f>CLEAN_699!B68</f>
        <v>Công ty cổ phần xi măng Phú Thọ</v>
      </c>
      <c r="C68" s="3" t="str">
        <f t="shared" si="2"/>
        <v>Thermal power</v>
      </c>
      <c r="D68" s="3" t="str">
        <f>CLEAN_699!D68</f>
        <v>2600116271</v>
      </c>
      <c r="E68" s="30">
        <f>CLEAN_699!F68</f>
        <v>126022</v>
      </c>
      <c r="F68" s="30">
        <f>CLEAN_699!G68</f>
        <v>137899</v>
      </c>
      <c r="G68" s="3" t="str">
        <f t="shared" si="3"/>
        <v>Decision 699/QĐ-BNNMT</v>
      </c>
      <c r="H68" s="3" t="str">
        <f t="shared" si="4"/>
        <v>Official</v>
      </c>
      <c r="I68" s="3" t="str">
        <f t="shared" si="5"/>
        <v>Official allocation under Decision 699/QĐ-BNNMT</v>
      </c>
    </row>
    <row r="69" ht="15.75" customHeight="1">
      <c r="A69" s="3" t="str">
        <f t="shared" si="1"/>
        <v>F068</v>
      </c>
      <c r="B69" s="3" t="str">
        <f>CLEAN_699!B69</f>
        <v>Công ty cổ phần xi măng VIMCEM Sông Thao</v>
      </c>
      <c r="C69" s="3" t="str">
        <f t="shared" si="2"/>
        <v>Thermal power</v>
      </c>
      <c r="D69" s="3" t="str">
        <f>CLEAN_699!D69</f>
        <v>2600279082</v>
      </c>
      <c r="E69" s="30">
        <f>CLEAN_699!F69</f>
        <v>836948</v>
      </c>
      <c r="F69" s="30">
        <f>CLEAN_699!G69</f>
        <v>915828</v>
      </c>
      <c r="G69" s="3" t="str">
        <f t="shared" si="3"/>
        <v>Decision 699/QĐ-BNNMT</v>
      </c>
      <c r="H69" s="3" t="str">
        <f t="shared" si="4"/>
        <v>Official</v>
      </c>
      <c r="I69" s="3" t="str">
        <f t="shared" si="5"/>
        <v>Official allocation under Decision 699/QĐ-BNNMT</v>
      </c>
    </row>
    <row r="70" ht="15.75" customHeight="1">
      <c r="A70" s="3" t="str">
        <f t="shared" si="1"/>
        <v>F069</v>
      </c>
      <c r="B70" s="3" t="str">
        <f>CLEAN_699!B70</f>
        <v>Nhà máy xi măng Tuyên Quang, Công ty cổ phần xi măng Tuyên Quang</v>
      </c>
      <c r="C70" s="3" t="str">
        <f t="shared" si="2"/>
        <v>Thermal power</v>
      </c>
      <c r="D70" s="3" t="str">
        <f>CLEAN_699!D70</f>
        <v>5000119170</v>
      </c>
      <c r="E70" s="30">
        <f>CLEAN_699!F70</f>
        <v>124008</v>
      </c>
      <c r="F70" s="30">
        <f>CLEAN_699!G70</f>
        <v>135696</v>
      </c>
      <c r="G70" s="3" t="str">
        <f t="shared" si="3"/>
        <v>Decision 699/QĐ-BNNMT</v>
      </c>
      <c r="H70" s="3" t="str">
        <f t="shared" si="4"/>
        <v>Official</v>
      </c>
      <c r="I70" s="3" t="str">
        <f t="shared" si="5"/>
        <v>Official allocation under Decision 699/QĐ-BNNMT</v>
      </c>
    </row>
    <row r="71" ht="15.75" customHeight="1">
      <c r="A71" s="3" t="str">
        <f t="shared" si="1"/>
        <v>F070</v>
      </c>
      <c r="B71" s="3" t="str">
        <f>CLEAN_699!B71</f>
        <v>Nhà máy xi măng Tân Quang, Công ty cổ phần xi măng Tân Quang- VVMI, Tổng công ty công nghiệp mỏ Việt Bắc TKV</v>
      </c>
      <c r="C71" s="3" t="str">
        <f t="shared" si="2"/>
        <v>Thermal power</v>
      </c>
      <c r="D71" s="3" t="str">
        <f>CLEAN_699!D71</f>
        <v>5000280116</v>
      </c>
      <c r="E71" s="30">
        <f>CLEAN_699!F71</f>
        <v>638702</v>
      </c>
      <c r="F71" s="30">
        <f>CLEAN_699!G71</f>
        <v>698898</v>
      </c>
      <c r="G71" s="3" t="str">
        <f t="shared" si="3"/>
        <v>Decision 699/QĐ-BNNMT</v>
      </c>
      <c r="H71" s="3" t="str">
        <f t="shared" si="4"/>
        <v>Official</v>
      </c>
      <c r="I71" s="3" t="str">
        <f t="shared" si="5"/>
        <v>Official allocation under Decision 699/QĐ-BNNMT</v>
      </c>
    </row>
    <row r="72" ht="15.75" customHeight="1">
      <c r="A72" s="3" t="str">
        <f t="shared" si="1"/>
        <v>F071</v>
      </c>
      <c r="B72" s="3" t="str">
        <f>CLEAN_699!B72</f>
        <v>Nhà máy sản xuất Xi măng Quán Triều, Công ty Cổ phần Xi măng Quán Triều</v>
      </c>
      <c r="C72" s="3" t="str">
        <f t="shared" si="2"/>
        <v>Thermal power</v>
      </c>
      <c r="D72" s="3" t="str">
        <f>CLEAN_699!D72</f>
        <v>4600409377</v>
      </c>
      <c r="E72" s="30">
        <f>CLEAN_699!F72</f>
        <v>592455</v>
      </c>
      <c r="F72" s="30">
        <f>CLEAN_699!G72</f>
        <v>648292</v>
      </c>
      <c r="G72" s="3" t="str">
        <f t="shared" si="3"/>
        <v>Decision 699/QĐ-BNNMT</v>
      </c>
      <c r="H72" s="3" t="str">
        <f t="shared" si="4"/>
        <v>Official</v>
      </c>
      <c r="I72" s="3" t="str">
        <f t="shared" si="5"/>
        <v>Official allocation under Decision 699/QĐ-BNNMT</v>
      </c>
    </row>
    <row r="73" ht="15.75" customHeight="1">
      <c r="A73" s="3" t="str">
        <f t="shared" si="1"/>
        <v>F072</v>
      </c>
      <c r="B73" s="3" t="str">
        <f>CLEAN_699!B73</f>
        <v>Nhà máy sản xuất Xi măng La Hiên, Công ty cổ phần Xi măng La Hiên</v>
      </c>
      <c r="C73" s="3" t="str">
        <f t="shared" si="2"/>
        <v>Thermal power</v>
      </c>
      <c r="D73" s="3" t="str">
        <f>CLEAN_699!D73</f>
        <v>4600422240</v>
      </c>
      <c r="E73" s="30">
        <f>CLEAN_699!F73</f>
        <v>480806</v>
      </c>
      <c r="F73" s="30">
        <f>CLEAN_699!G73</f>
        <v>526121</v>
      </c>
      <c r="G73" s="3" t="str">
        <f t="shared" si="3"/>
        <v>Decision 699/QĐ-BNNMT</v>
      </c>
      <c r="H73" s="3" t="str">
        <f t="shared" si="4"/>
        <v>Official</v>
      </c>
      <c r="I73" s="3" t="str">
        <f t="shared" si="5"/>
        <v>Official allocation under Decision 699/QĐ-BNNMT</v>
      </c>
    </row>
    <row r="74" ht="15.75" customHeight="1">
      <c r="A74" s="3" t="str">
        <f t="shared" si="1"/>
        <v>F073</v>
      </c>
      <c r="B74" s="3" t="str">
        <f>CLEAN_699!B74</f>
        <v>Nhà máy sản xuất Xi măng Quang Sơn, Công ty cổ phần Xi măng Quang Sơn</v>
      </c>
      <c r="C74" s="3" t="str">
        <f t="shared" si="2"/>
        <v>Thermal power</v>
      </c>
      <c r="D74" s="3" t="str">
        <f>CLEAN_699!D74</f>
        <v>4600964966</v>
      </c>
      <c r="E74" s="30">
        <f>CLEAN_699!F74</f>
        <v>404692</v>
      </c>
      <c r="F74" s="30">
        <f>CLEAN_699!G74</f>
        <v>442833</v>
      </c>
      <c r="G74" s="3" t="str">
        <f t="shared" si="3"/>
        <v>Decision 699/QĐ-BNNMT</v>
      </c>
      <c r="H74" s="3" t="str">
        <f t="shared" si="4"/>
        <v>Official</v>
      </c>
      <c r="I74" s="3" t="str">
        <f t="shared" si="5"/>
        <v>Official allocation under Decision 699/QĐ-BNNMT</v>
      </c>
    </row>
    <row r="75" ht="15.75" customHeight="1">
      <c r="A75" s="3" t="str">
        <f t="shared" si="1"/>
        <v>F074</v>
      </c>
      <c r="B75" s="3" t="str">
        <f>CLEAN_699!B75</f>
        <v>Công ty Cổ phần xi măng Đồng Bành</v>
      </c>
      <c r="C75" s="3" t="str">
        <f t="shared" si="2"/>
        <v>Thermal power</v>
      </c>
      <c r="D75" s="3" t="str">
        <f>CLEAN_699!D75</f>
        <v>4900225282</v>
      </c>
      <c r="E75" s="30">
        <f>CLEAN_699!F75</f>
        <v>679217</v>
      </c>
      <c r="F75" s="30">
        <f>CLEAN_699!G75</f>
        <v>743232</v>
      </c>
      <c r="G75" s="3" t="str">
        <f t="shared" si="3"/>
        <v>Decision 699/QĐ-BNNMT</v>
      </c>
      <c r="H75" s="3" t="str">
        <f t="shared" si="4"/>
        <v>Official</v>
      </c>
      <c r="I75" s="3" t="str">
        <f t="shared" si="5"/>
        <v>Official allocation under Decision 699/QĐ-BNNMT</v>
      </c>
    </row>
    <row r="76" ht="15.75" customHeight="1">
      <c r="A76" s="3" t="str">
        <f t="shared" si="1"/>
        <v>F075</v>
      </c>
      <c r="B76" s="3" t="str">
        <f>CLEAN_699!B76</f>
        <v>Công ty Cổ phần Xi măng Hồng Phong</v>
      </c>
      <c r="C76" s="3" t="str">
        <f t="shared" si="2"/>
        <v>Thermal power</v>
      </c>
      <c r="D76" s="3" t="str">
        <f>CLEAN_699!D76</f>
        <v>4900102650</v>
      </c>
      <c r="E76" s="30">
        <f>CLEAN_699!F76</f>
        <v>104067</v>
      </c>
      <c r="F76" s="30">
        <f>CLEAN_699!G76</f>
        <v>113875</v>
      </c>
      <c r="G76" s="3" t="str">
        <f t="shared" si="3"/>
        <v>Decision 699/QĐ-BNNMT</v>
      </c>
      <c r="H76" s="3" t="str">
        <f t="shared" si="4"/>
        <v>Official</v>
      </c>
      <c r="I76" s="3" t="str">
        <f t="shared" si="5"/>
        <v>Official allocation under Decision 699/QĐ-BNNMT</v>
      </c>
    </row>
    <row r="77" ht="15.75" customHeight="1">
      <c r="A77" s="3" t="str">
        <f t="shared" si="1"/>
        <v>F076</v>
      </c>
      <c r="B77" s="3" t="str">
        <f>CLEAN_699!B77</f>
        <v>Nhà máy xi măng Cẩm Phả, Công ty Cổ phần Xi măng Cẩm Phả</v>
      </c>
      <c r="C77" s="3" t="str">
        <f t="shared" si="2"/>
        <v>Thermal power</v>
      </c>
      <c r="D77" s="3" t="str">
        <f>CLEAN_699!D77</f>
        <v>5700804196</v>
      </c>
      <c r="E77" s="30">
        <f>CLEAN_699!F77</f>
        <v>1616252</v>
      </c>
      <c r="F77" s="30">
        <f>CLEAN_699!G77</f>
        <v>1768581</v>
      </c>
      <c r="G77" s="3" t="str">
        <f t="shared" si="3"/>
        <v>Decision 699/QĐ-BNNMT</v>
      </c>
      <c r="H77" s="3" t="str">
        <f t="shared" si="4"/>
        <v>Official</v>
      </c>
      <c r="I77" s="3" t="str">
        <f t="shared" si="5"/>
        <v>Official allocation under Decision 699/QĐ-BNNMT</v>
      </c>
    </row>
    <row r="78" ht="15.75" customHeight="1">
      <c r="A78" s="3" t="str">
        <f t="shared" si="1"/>
        <v>F077</v>
      </c>
      <c r="B78" s="3" t="str">
        <f>CLEAN_699!B78</f>
        <v>Công ty Cổ phần Xi măng và Xây dựng Quảng Ninh, Nhà máy xi măng Lam Thạch</v>
      </c>
      <c r="C78" s="3" t="str">
        <f t="shared" si="2"/>
        <v>Thermal power</v>
      </c>
      <c r="D78" s="3" t="str">
        <f>CLEAN_699!D78</f>
        <v>5700100263-013</v>
      </c>
      <c r="E78" s="30">
        <f>CLEAN_699!F78</f>
        <v>933095</v>
      </c>
      <c r="F78" s="30">
        <f>CLEAN_699!G78</f>
        <v>1021037</v>
      </c>
      <c r="G78" s="3" t="str">
        <f t="shared" si="3"/>
        <v>Decision 699/QĐ-BNNMT</v>
      </c>
      <c r="H78" s="3" t="str">
        <f t="shared" si="4"/>
        <v>Official</v>
      </c>
      <c r="I78" s="3" t="str">
        <f t="shared" si="5"/>
        <v>Official allocation under Decision 699/QĐ-BNNMT</v>
      </c>
    </row>
    <row r="79" ht="15.75" customHeight="1">
      <c r="A79" s="3" t="str">
        <f t="shared" si="1"/>
        <v>F078</v>
      </c>
      <c r="B79" s="3" t="str">
        <f>CLEAN_699!B79</f>
        <v>Công ty Cổ phần Xi măng Hạ Long</v>
      </c>
      <c r="C79" s="3" t="str">
        <f t="shared" si="2"/>
        <v>Thermal power</v>
      </c>
      <c r="D79" s="3" t="str">
        <f>CLEAN_699!D79</f>
        <v>5700466028</v>
      </c>
      <c r="E79" s="30">
        <f>CLEAN_699!F79</f>
        <v>989857</v>
      </c>
      <c r="F79" s="30">
        <f>CLEAN_699!G79</f>
        <v>1083149</v>
      </c>
      <c r="G79" s="3" t="str">
        <f t="shared" si="3"/>
        <v>Decision 699/QĐ-BNNMT</v>
      </c>
      <c r="H79" s="3" t="str">
        <f t="shared" si="4"/>
        <v>Official</v>
      </c>
      <c r="I79" s="3" t="str">
        <f t="shared" si="5"/>
        <v>Official allocation under Decision 699/QĐ-BNNMT</v>
      </c>
    </row>
    <row r="80" ht="15.75" customHeight="1">
      <c r="A80" s="3" t="str">
        <f t="shared" si="1"/>
        <v>F079</v>
      </c>
      <c r="B80" s="3" t="str">
        <f>CLEAN_699!B80</f>
        <v>Công ty Cổ phần Xi măng Thăng Long</v>
      </c>
      <c r="C80" s="3" t="str">
        <f t="shared" si="2"/>
        <v>Thermal power</v>
      </c>
      <c r="D80" s="3" t="str">
        <f>CLEAN_699!D80</f>
        <v>5700360871</v>
      </c>
      <c r="E80" s="30">
        <f>CLEAN_699!F80</f>
        <v>1175783</v>
      </c>
      <c r="F80" s="30">
        <f>CLEAN_699!G80</f>
        <v>1286599</v>
      </c>
      <c r="G80" s="3" t="str">
        <f t="shared" si="3"/>
        <v>Decision 699/QĐ-BNNMT</v>
      </c>
      <c r="H80" s="3" t="str">
        <f t="shared" si="4"/>
        <v>Official</v>
      </c>
      <c r="I80" s="3" t="str">
        <f t="shared" si="5"/>
        <v>Official allocation under Decision 699/QĐ-BNNMT</v>
      </c>
    </row>
    <row r="81" ht="15.75" customHeight="1">
      <c r="A81" s="3" t="str">
        <f t="shared" si="1"/>
        <v>F080</v>
      </c>
      <c r="B81" s="3" t="str">
        <f>CLEAN_699!B81</f>
        <v>Nhà máy xi măng Bút Sơn, Công ty Cổ phần Xi măng Vicem Bút Sơn</v>
      </c>
      <c r="C81" s="3" t="str">
        <f t="shared" si="2"/>
        <v>Thermal power</v>
      </c>
      <c r="D81" s="3" t="str">
        <f>CLEAN_699!D81</f>
        <v>700117613</v>
      </c>
      <c r="E81" s="30">
        <f>CLEAN_699!F81</f>
        <v>2453235</v>
      </c>
      <c r="F81" s="30">
        <f>CLEAN_699!G81</f>
        <v>2684448</v>
      </c>
      <c r="G81" s="3" t="str">
        <f t="shared" si="3"/>
        <v>Decision 699/QĐ-BNNMT</v>
      </c>
      <c r="H81" s="3" t="str">
        <f t="shared" si="4"/>
        <v>Official</v>
      </c>
      <c r="I81" s="3" t="str">
        <f t="shared" si="5"/>
        <v>Official allocation under Decision 699/QĐ-BNNMT</v>
      </c>
    </row>
    <row r="82" ht="15.75" customHeight="1">
      <c r="A82" s="3" t="str">
        <f t="shared" si="1"/>
        <v>F081</v>
      </c>
      <c r="B82" s="3" t="str">
        <f>CLEAN_699!B82</f>
        <v>Nhà máy xi măng Hoàng Long, Công ty Cổ phần Xi măng Hoàng Long</v>
      </c>
      <c r="C82" s="3" t="str">
        <f t="shared" si="2"/>
        <v>Thermal power</v>
      </c>
      <c r="D82" s="3" t="str">
        <f>CLEAN_699!D82</f>
        <v>700222569</v>
      </c>
      <c r="E82" s="30">
        <f>CLEAN_699!F82</f>
        <v>133575</v>
      </c>
      <c r="F82" s="30">
        <f>CLEAN_699!G82</f>
        <v>146165</v>
      </c>
      <c r="G82" s="3" t="str">
        <f t="shared" si="3"/>
        <v>Decision 699/QĐ-BNNMT</v>
      </c>
      <c r="H82" s="3" t="str">
        <f t="shared" si="4"/>
        <v>Official</v>
      </c>
      <c r="I82" s="3" t="str">
        <f t="shared" si="5"/>
        <v>Official allocation under Decision 699/QĐ-BNNMT</v>
      </c>
    </row>
    <row r="83" ht="15.75" customHeight="1">
      <c r="A83" s="3" t="str">
        <f t="shared" si="1"/>
        <v>F082</v>
      </c>
      <c r="B83" s="3" t="str">
        <f>CLEAN_699!B83</f>
        <v>Nhà máy xi măng Thành Thắng, Công ty Cổ phần Xi măng Thành Thắng</v>
      </c>
      <c r="C83" s="3" t="str">
        <f t="shared" si="2"/>
        <v>Thermal power</v>
      </c>
      <c r="D83" s="3" t="str">
        <f>CLEAN_699!D83</f>
        <v>700651198</v>
      </c>
      <c r="E83" s="30">
        <f>CLEAN_699!F83</f>
        <v>6853859</v>
      </c>
      <c r="F83" s="30">
        <f>CLEAN_699!G83</f>
        <v>7499822</v>
      </c>
      <c r="G83" s="3" t="str">
        <f t="shared" si="3"/>
        <v>Decision 699/QĐ-BNNMT</v>
      </c>
      <c r="H83" s="3" t="str">
        <f t="shared" si="4"/>
        <v>Official</v>
      </c>
      <c r="I83" s="3" t="str">
        <f t="shared" si="5"/>
        <v>Official allocation under Decision 699/QĐ-BNNMT</v>
      </c>
    </row>
    <row r="84" ht="15.75" customHeight="1">
      <c r="A84" s="3" t="str">
        <f t="shared" si="1"/>
        <v>F083</v>
      </c>
      <c r="B84" s="3" t="str">
        <f>CLEAN_699!B84</f>
        <v>Nhà máy Xi măng Vissai Hà Nam - DC2, Tập đoàn The Vissai</v>
      </c>
      <c r="C84" s="3" t="str">
        <f t="shared" si="2"/>
        <v>Thermal power</v>
      </c>
      <c r="D84" s="3" t="str">
        <f>CLEAN_699!D84</f>
        <v>700507853</v>
      </c>
      <c r="E84" s="30">
        <f>CLEAN_699!F84</f>
        <v>822644</v>
      </c>
      <c r="F84" s="30">
        <f>CLEAN_699!G84</f>
        <v>900177</v>
      </c>
      <c r="G84" s="3" t="str">
        <f t="shared" si="3"/>
        <v>Decision 699/QĐ-BNNMT</v>
      </c>
      <c r="H84" s="3" t="str">
        <f t="shared" si="4"/>
        <v>Official</v>
      </c>
      <c r="I84" s="3" t="str">
        <f t="shared" si="5"/>
        <v>Official allocation under Decision 699/QĐ-BNNMT</v>
      </c>
    </row>
    <row r="85" ht="15.75" customHeight="1">
      <c r="A85" s="3" t="str">
        <f t="shared" si="1"/>
        <v>F084</v>
      </c>
      <c r="B85" s="3" t="str">
        <f>CLEAN_699!B85</f>
        <v>Nhà máy Xi măng Xuân Thành, Công ty Cổ phần Xi măng Xuân Thành</v>
      </c>
      <c r="C85" s="3" t="str">
        <f t="shared" si="2"/>
        <v>Thermal power</v>
      </c>
      <c r="D85" s="3" t="str">
        <f>CLEAN_699!D85</f>
        <v>700576529</v>
      </c>
      <c r="E85" s="30">
        <f>CLEAN_699!F85</f>
        <v>5297794</v>
      </c>
      <c r="F85" s="30">
        <f>CLEAN_699!G85</f>
        <v>5797101</v>
      </c>
      <c r="G85" s="3" t="str">
        <f t="shared" si="3"/>
        <v>Decision 699/QĐ-BNNMT</v>
      </c>
      <c r="H85" s="3" t="str">
        <f t="shared" si="4"/>
        <v>Official</v>
      </c>
      <c r="I85" s="3" t="str">
        <f t="shared" si="5"/>
        <v>Official allocation under Decision 699/QĐ-BNNMT</v>
      </c>
    </row>
    <row r="86" ht="15.75" customHeight="1">
      <c r="A86" s="3" t="str">
        <f t="shared" si="1"/>
        <v>F085</v>
      </c>
      <c r="B86" s="3" t="str">
        <f>CLEAN_699!B86</f>
        <v>Dây chuyền 2 Nhà máy clinker, Tập đoàn The Vissai</v>
      </c>
      <c r="C86" s="3" t="str">
        <f t="shared" si="2"/>
        <v>Thermal power</v>
      </c>
      <c r="D86" s="3" t="str">
        <f>CLEAN_699!D86</f>
        <v>700507853</v>
      </c>
      <c r="E86" s="30">
        <f>CLEAN_699!F86</f>
        <v>714977</v>
      </c>
      <c r="F86" s="30">
        <f>CLEAN_699!G86</f>
        <v>782362</v>
      </c>
      <c r="G86" s="3" t="str">
        <f t="shared" si="3"/>
        <v>Decision 699/QĐ-BNNMT</v>
      </c>
      <c r="H86" s="3" t="str">
        <f t="shared" si="4"/>
        <v>Official</v>
      </c>
      <c r="I86" s="3" t="str">
        <f t="shared" si="5"/>
        <v>Official allocation under Decision 699/QĐ-BNNMT</v>
      </c>
    </row>
    <row r="87" ht="15.75" customHeight="1">
      <c r="A87" s="3" t="str">
        <f t="shared" si="1"/>
        <v>F086</v>
      </c>
      <c r="B87" s="3" t="str">
        <f>CLEAN_699!B87</f>
        <v>Công ty TNHH MTV Xi măng Vicem Hoàng Thạch</v>
      </c>
      <c r="C87" s="3" t="str">
        <f t="shared" si="2"/>
        <v>Thermal power</v>
      </c>
      <c r="D87" s="3" t="str">
        <f>CLEAN_699!D87</f>
        <v>800004797</v>
      </c>
      <c r="E87" s="30">
        <f>CLEAN_699!F87</f>
        <v>2701207</v>
      </c>
      <c r="F87" s="30">
        <f>CLEAN_699!G87</f>
        <v>2955791</v>
      </c>
      <c r="G87" s="3" t="str">
        <f t="shared" si="3"/>
        <v>Decision 699/QĐ-BNNMT</v>
      </c>
      <c r="H87" s="3" t="str">
        <f t="shared" si="4"/>
        <v>Official</v>
      </c>
      <c r="I87" s="3" t="str">
        <f t="shared" si="5"/>
        <v>Official allocation under Decision 699/QĐ-BNNMT</v>
      </c>
    </row>
    <row r="88" ht="15.75" customHeight="1">
      <c r="A88" s="3" t="str">
        <f t="shared" si="1"/>
        <v>F087</v>
      </c>
      <c r="B88" s="3" t="str">
        <f>CLEAN_699!B88</f>
        <v>Công ty TNHH sản xuất vật liệu xây dựng Thành Công III</v>
      </c>
      <c r="C88" s="3" t="str">
        <f t="shared" si="2"/>
        <v>Thermal power</v>
      </c>
      <c r="D88" s="3" t="str">
        <f>CLEAN_699!D88</f>
        <v>800297991</v>
      </c>
      <c r="E88" s="30">
        <f>CLEAN_699!F88</f>
        <v>357054</v>
      </c>
      <c r="F88" s="30">
        <f>CLEAN_699!G88</f>
        <v>390705</v>
      </c>
      <c r="G88" s="3" t="str">
        <f t="shared" si="3"/>
        <v>Decision 699/QĐ-BNNMT</v>
      </c>
      <c r="H88" s="3" t="str">
        <f t="shared" si="4"/>
        <v>Official</v>
      </c>
      <c r="I88" s="3" t="str">
        <f t="shared" si="5"/>
        <v>Official allocation under Decision 699/QĐ-BNNMT</v>
      </c>
    </row>
    <row r="89" ht="15.75" customHeight="1">
      <c r="A89" s="3" t="str">
        <f t="shared" si="1"/>
        <v>F088</v>
      </c>
      <c r="B89" s="3" t="str">
        <f>CLEAN_699!B89</f>
        <v>Nhà máy Xi măng Chinfon, Công ty Xi măng Chinfon</v>
      </c>
      <c r="C89" s="3" t="str">
        <f t="shared" si="2"/>
        <v>Thermal power</v>
      </c>
      <c r="D89" s="3" t="str">
        <f>CLEAN_699!D89</f>
        <v>200110200</v>
      </c>
      <c r="E89" s="30">
        <f>CLEAN_699!F89</f>
        <v>2907941</v>
      </c>
      <c r="F89" s="30">
        <f>CLEAN_699!G89</f>
        <v>3182009</v>
      </c>
      <c r="G89" s="3" t="str">
        <f t="shared" si="3"/>
        <v>Decision 699/QĐ-BNNMT</v>
      </c>
      <c r="H89" s="3" t="str">
        <f t="shared" si="4"/>
        <v>Official</v>
      </c>
      <c r="I89" s="3" t="str">
        <f t="shared" si="5"/>
        <v>Official allocation under Decision 699/QĐ-BNNMT</v>
      </c>
    </row>
    <row r="90" ht="15.75" customHeight="1">
      <c r="A90" s="3" t="str">
        <f t="shared" si="1"/>
        <v>F089</v>
      </c>
      <c r="B90" s="3" t="str">
        <f>CLEAN_699!B90</f>
        <v>Nhà máy xi măng Hải Phòng, Công ty TNHH MTV Vicem Hải Phòng</v>
      </c>
      <c r="C90" s="3" t="str">
        <f t="shared" si="2"/>
        <v>Thermal power</v>
      </c>
      <c r="D90" s="3" t="str">
        <f>CLEAN_699!D90</f>
        <v>200155219</v>
      </c>
      <c r="E90" s="30">
        <f>CLEAN_699!F90</f>
        <v>1217320</v>
      </c>
      <c r="F90" s="30">
        <f>CLEAN_699!G90</f>
        <v>1332050</v>
      </c>
      <c r="G90" s="3" t="str">
        <f t="shared" si="3"/>
        <v>Decision 699/QĐ-BNNMT</v>
      </c>
      <c r="H90" s="3" t="str">
        <f t="shared" si="4"/>
        <v>Official</v>
      </c>
      <c r="I90" s="3" t="str">
        <f t="shared" si="5"/>
        <v>Official allocation under Decision 699/QĐ-BNNMT</v>
      </c>
    </row>
    <row r="91" ht="15.75" customHeight="1">
      <c r="A91" s="3" t="str">
        <f t="shared" si="1"/>
        <v>F090</v>
      </c>
      <c r="B91" s="3" t="str">
        <f>CLEAN_699!B91</f>
        <v>Nhà máy Xi măng Vissai Ninh Bình, Tập đoàn The Vissai</v>
      </c>
      <c r="C91" s="3" t="str">
        <f t="shared" si="2"/>
        <v>Thermal power</v>
      </c>
      <c r="D91" s="3" t="str">
        <f>CLEAN_699!D91</f>
        <v>2700280638</v>
      </c>
      <c r="E91" s="30">
        <f>CLEAN_699!F91</f>
        <v>2072885</v>
      </c>
      <c r="F91" s="30">
        <f>CLEAN_699!G91</f>
        <v>2268250</v>
      </c>
      <c r="G91" s="3" t="str">
        <f t="shared" si="3"/>
        <v>Decision 699/QĐ-BNNMT</v>
      </c>
      <c r="H91" s="3" t="str">
        <f t="shared" si="4"/>
        <v>Official</v>
      </c>
      <c r="I91" s="3" t="str">
        <f t="shared" si="5"/>
        <v>Official allocation under Decision 699/QĐ-BNNMT</v>
      </c>
    </row>
    <row r="92" ht="15.75" customHeight="1">
      <c r="A92" s="3" t="str">
        <f t="shared" si="1"/>
        <v>F091</v>
      </c>
      <c r="B92" s="3" t="str">
        <f>CLEAN_699!B92</f>
        <v>Công ty VICEM xi măng Tam Điệp</v>
      </c>
      <c r="C92" s="3" t="str">
        <f t="shared" si="2"/>
        <v>Thermal power</v>
      </c>
      <c r="D92" s="3" t="str">
        <f>CLEAN_699!D92</f>
        <v>2700260173</v>
      </c>
      <c r="E92" s="30">
        <f>CLEAN_699!F92</f>
        <v>1242230</v>
      </c>
      <c r="F92" s="30">
        <f>CLEAN_699!G92</f>
        <v>1359308</v>
      </c>
      <c r="G92" s="3" t="str">
        <f t="shared" si="3"/>
        <v>Decision 699/QĐ-BNNMT</v>
      </c>
      <c r="H92" s="3" t="str">
        <f t="shared" si="4"/>
        <v>Official</v>
      </c>
      <c r="I92" s="3" t="str">
        <f t="shared" si="5"/>
        <v>Official allocation under Decision 699/QĐ-BNNMT</v>
      </c>
    </row>
    <row r="93" ht="15.75" customHeight="1">
      <c r="A93" s="3" t="str">
        <f t="shared" si="1"/>
        <v>F092</v>
      </c>
      <c r="B93" s="3" t="str">
        <f>CLEAN_699!B93</f>
        <v>Nhà máy Xi măng Bỉm Sơn, Công ty Cổ phần Xi măng Bỉm Sơn</v>
      </c>
      <c r="C93" s="3" t="str">
        <f t="shared" si="2"/>
        <v>Thermal power</v>
      </c>
      <c r="D93" s="3" t="str">
        <f>CLEAN_699!D93</f>
        <v>2800232620</v>
      </c>
      <c r="E93" s="30">
        <f>CLEAN_699!F93</f>
        <v>2510131</v>
      </c>
      <c r="F93" s="30">
        <f>CLEAN_699!G93</f>
        <v>2746706</v>
      </c>
      <c r="G93" s="3" t="str">
        <f t="shared" si="3"/>
        <v>Decision 699/QĐ-BNNMT</v>
      </c>
      <c r="H93" s="3" t="str">
        <f t="shared" si="4"/>
        <v>Official</v>
      </c>
      <c r="I93" s="3" t="str">
        <f t="shared" si="5"/>
        <v>Official allocation under Decision 699/QĐ-BNNMT</v>
      </c>
    </row>
    <row r="94" ht="15.75" customHeight="1">
      <c r="A94" s="3" t="str">
        <f t="shared" si="1"/>
        <v>F093</v>
      </c>
      <c r="B94" s="3" t="str">
        <f>CLEAN_699!B94</f>
        <v>Nhà máy Xi măng Long Son, Công ty TNHH Long Sơn</v>
      </c>
      <c r="C94" s="3" t="str">
        <f t="shared" si="2"/>
        <v>Thermal power</v>
      </c>
      <c r="D94" s="3" t="str">
        <f>CLEAN_699!D94</f>
        <v>2700271520-003</v>
      </c>
      <c r="E94" s="30">
        <f>CLEAN_699!F94</f>
        <v>8511370</v>
      </c>
      <c r="F94" s="30">
        <f>CLEAN_699!G94</f>
        <v>9313550</v>
      </c>
      <c r="G94" s="3" t="str">
        <f t="shared" si="3"/>
        <v>Decision 699/QĐ-BNNMT</v>
      </c>
      <c r="H94" s="3" t="str">
        <f t="shared" si="4"/>
        <v>Official</v>
      </c>
      <c r="I94" s="3" t="str">
        <f t="shared" si="5"/>
        <v>Official allocation under Decision 699/QĐ-BNNMT</v>
      </c>
    </row>
    <row r="95" ht="15.75" customHeight="1">
      <c r="A95" s="3" t="str">
        <f t="shared" si="1"/>
        <v>F094</v>
      </c>
      <c r="B95" s="3" t="str">
        <f>CLEAN_699!B95</f>
        <v>Nhà máy Xi măng Công Thanh, Tập đoàn Công Thanh</v>
      </c>
      <c r="C95" s="3" t="str">
        <f t="shared" si="2"/>
        <v>Thermal power</v>
      </c>
      <c r="D95" s="3" t="str">
        <f>CLEAN_699!D95</f>
        <v>304186356</v>
      </c>
      <c r="E95" s="30">
        <f>CLEAN_699!F95</f>
        <v>499301</v>
      </c>
      <c r="F95" s="30">
        <f>CLEAN_699!G95</f>
        <v>546359</v>
      </c>
      <c r="G95" s="3" t="str">
        <f t="shared" si="3"/>
        <v>Decision 699/QĐ-BNNMT</v>
      </c>
      <c r="H95" s="3" t="str">
        <f t="shared" si="4"/>
        <v>Official</v>
      </c>
      <c r="I95" s="3" t="str">
        <f t="shared" si="5"/>
        <v>Official allocation under Decision 699/QĐ-BNNMT</v>
      </c>
    </row>
    <row r="96" ht="15.75" customHeight="1">
      <c r="A96" s="3" t="str">
        <f t="shared" si="1"/>
        <v>F095</v>
      </c>
      <c r="B96" s="3" t="str">
        <f>CLEAN_699!B96</f>
        <v>Nhà máy Xi măng Nghi Sơn 2, Công ty Xi măng Nghi Sơn</v>
      </c>
      <c r="C96" s="3" t="str">
        <f t="shared" si="2"/>
        <v>Thermal power</v>
      </c>
      <c r="D96" s="3" t="str">
        <f>CLEAN_699!D96</f>
        <v>2800464741</v>
      </c>
      <c r="E96" s="30">
        <f>CLEAN_699!F96</f>
        <v>3875392</v>
      </c>
      <c r="F96" s="30">
        <f>CLEAN_699!G96</f>
        <v>4240640</v>
      </c>
      <c r="G96" s="3" t="str">
        <f t="shared" si="3"/>
        <v>Decision 699/QĐ-BNNMT</v>
      </c>
      <c r="H96" s="3" t="str">
        <f t="shared" si="4"/>
        <v>Official</v>
      </c>
      <c r="I96" s="3" t="str">
        <f t="shared" si="5"/>
        <v>Official allocation under Decision 699/QĐ-BNNMT</v>
      </c>
    </row>
    <row r="97" ht="15.75" customHeight="1">
      <c r="A97" s="3" t="str">
        <f t="shared" si="1"/>
        <v>F096</v>
      </c>
      <c r="B97" s="3" t="str">
        <f>CLEAN_699!B97</f>
        <v>Nhà máy Xi măng Tân Thắng, Công ty Xi măng Tân Thắng</v>
      </c>
      <c r="C97" s="3" t="str">
        <f t="shared" si="2"/>
        <v>Thermal power</v>
      </c>
      <c r="D97" s="3" t="str">
        <f>CLEAN_699!D97</f>
        <v>2901132319</v>
      </c>
      <c r="E97" s="30">
        <f>CLEAN_699!F97</f>
        <v>841042</v>
      </c>
      <c r="F97" s="30">
        <f>CLEAN_699!G97</f>
        <v>920308</v>
      </c>
      <c r="G97" s="3" t="str">
        <f t="shared" si="3"/>
        <v>Decision 699/QĐ-BNNMT</v>
      </c>
      <c r="H97" s="3" t="str">
        <f t="shared" si="4"/>
        <v>Official</v>
      </c>
      <c r="I97" s="3" t="str">
        <f t="shared" si="5"/>
        <v>Official allocation under Decision 699/QĐ-BNNMT</v>
      </c>
    </row>
    <row r="98" ht="15.75" customHeight="1">
      <c r="A98" s="3" t="str">
        <f t="shared" si="1"/>
        <v>F097</v>
      </c>
      <c r="B98" s="3" t="str">
        <f>CLEAN_699!B98</f>
        <v>Nhà máy Xi măng Sông Lam 1, Tập đoàn The Vissai</v>
      </c>
      <c r="C98" s="3" t="str">
        <f t="shared" si="2"/>
        <v>Thermal power</v>
      </c>
      <c r="D98" s="3" t="str">
        <f>CLEAN_699!D98</f>
        <v>2900601487</v>
      </c>
      <c r="E98" s="30">
        <f>CLEAN_699!F98</f>
        <v>4681235</v>
      </c>
      <c r="F98" s="30">
        <f>CLEAN_699!G98</f>
        <v>5122432</v>
      </c>
      <c r="G98" s="3" t="str">
        <f t="shared" si="3"/>
        <v>Decision 699/QĐ-BNNMT</v>
      </c>
      <c r="H98" s="3" t="str">
        <f t="shared" si="4"/>
        <v>Official</v>
      </c>
      <c r="I98" s="3" t="str">
        <f t="shared" si="5"/>
        <v>Official allocation under Decision 699/QĐ-BNNMT</v>
      </c>
    </row>
    <row r="99" ht="15.75" customHeight="1">
      <c r="A99" s="3" t="str">
        <f t="shared" si="1"/>
        <v>F098</v>
      </c>
      <c r="B99" s="3" t="str">
        <f>CLEAN_699!B99</f>
        <v>Nhà máy Xi măng Sông Lam 2, Tập đoàn The Vissai</v>
      </c>
      <c r="C99" s="3" t="str">
        <f t="shared" si="2"/>
        <v>Thermal power</v>
      </c>
      <c r="D99" s="3" t="str">
        <f>CLEAN_699!D99</f>
        <v>2900325156</v>
      </c>
      <c r="E99" s="30">
        <f>CLEAN_699!F99</f>
        <v>507149</v>
      </c>
      <c r="F99" s="30">
        <f>CLEAN_699!G99</f>
        <v>554947</v>
      </c>
      <c r="G99" s="3" t="str">
        <f t="shared" si="3"/>
        <v>Decision 699/QĐ-BNNMT</v>
      </c>
      <c r="H99" s="3" t="str">
        <f t="shared" si="4"/>
        <v>Official</v>
      </c>
      <c r="I99" s="3" t="str">
        <f t="shared" si="5"/>
        <v>Official allocation under Decision 699/QĐ-BNNMT</v>
      </c>
    </row>
    <row r="100" ht="15.75" customHeight="1">
      <c r="A100" s="3" t="str">
        <f t="shared" si="1"/>
        <v>F099</v>
      </c>
      <c r="B100" s="3" t="str">
        <f>CLEAN_699!B100</f>
        <v>Nhà máy Xi măng Công ty Cổ phần Xi măng Vicem Hoàng Mai</v>
      </c>
      <c r="C100" s="3" t="str">
        <f t="shared" si="2"/>
        <v>Thermal power</v>
      </c>
      <c r="D100" s="3" t="str">
        <f>CLEAN_699!D100</f>
        <v>2900329295</v>
      </c>
      <c r="E100" s="30">
        <f>CLEAN_699!F100</f>
        <v>1290862</v>
      </c>
      <c r="F100" s="30">
        <f>CLEAN_699!G100</f>
        <v>1412524</v>
      </c>
      <c r="G100" s="3" t="str">
        <f t="shared" si="3"/>
        <v>Decision 699/QĐ-BNNMT</v>
      </c>
      <c r="H100" s="3" t="str">
        <f t="shared" si="4"/>
        <v>Official</v>
      </c>
      <c r="I100" s="3" t="str">
        <f t="shared" si="5"/>
        <v>Official allocation under Decision 699/QĐ-BNNMT</v>
      </c>
    </row>
    <row r="101" ht="15.75" customHeight="1">
      <c r="A101" s="3" t="str">
        <f t="shared" si="1"/>
        <v>F100</v>
      </c>
      <c r="B101" s="3" t="str">
        <f>CLEAN_699!B101</f>
        <v>Công ty cổ phần xi măng sông Gianh</v>
      </c>
      <c r="C101" s="3" t="str">
        <f t="shared" si="2"/>
        <v>Thermal power</v>
      </c>
      <c r="D101" s="3" t="str">
        <f>CLEAN_699!D101</f>
        <v>3100946237</v>
      </c>
      <c r="E101" s="30">
        <f>CLEAN_699!F101</f>
        <v>1137938</v>
      </c>
      <c r="F101" s="30">
        <f>CLEAN_699!G101</f>
        <v>1245186</v>
      </c>
      <c r="G101" s="3" t="str">
        <f t="shared" si="3"/>
        <v>Decision 699/QĐ-BNNMT</v>
      </c>
      <c r="H101" s="3" t="str">
        <f t="shared" si="4"/>
        <v>Official</v>
      </c>
      <c r="I101" s="3" t="str">
        <f t="shared" si="5"/>
        <v>Official allocation under Decision 699/QĐ-BNNMT</v>
      </c>
    </row>
    <row r="102" ht="15.75" customHeight="1">
      <c r="A102" s="3" t="str">
        <f t="shared" si="1"/>
        <v>F101</v>
      </c>
      <c r="B102" s="3" t="str">
        <f>CLEAN_699!B102</f>
        <v>Công ty cổ phần vật liệu xây dựng Việt Nam</v>
      </c>
      <c r="C102" s="3" t="str">
        <f t="shared" si="2"/>
        <v>Thermal power</v>
      </c>
      <c r="D102" s="3" t="str">
        <f>CLEAN_699!D102</f>
        <v>3100405421</v>
      </c>
      <c r="E102" s="30">
        <f>CLEAN_699!F102</f>
        <v>727399</v>
      </c>
      <c r="F102" s="30">
        <f>CLEAN_699!G102</f>
        <v>795955</v>
      </c>
      <c r="G102" s="3" t="str">
        <f t="shared" si="3"/>
        <v>Decision 699/QĐ-BNNMT</v>
      </c>
      <c r="H102" s="3" t="str">
        <f t="shared" si="4"/>
        <v>Official</v>
      </c>
      <c r="I102" s="3" t="str">
        <f t="shared" si="5"/>
        <v>Official allocation under Decision 699/QĐ-BNNMT</v>
      </c>
    </row>
    <row r="103" ht="15.75" customHeight="1">
      <c r="A103" s="3" t="str">
        <f t="shared" si="1"/>
        <v>F102</v>
      </c>
      <c r="B103" s="3" t="str">
        <f>CLEAN_699!B103</f>
        <v>Nhà máy Xi măng Vạn Ninh, Công ty cổ phần Xi măng Vicem Hải Vân</v>
      </c>
      <c r="C103" s="3" t="str">
        <f t="shared" si="2"/>
        <v>Thermal power</v>
      </c>
      <c r="D103" s="3" t="str">
        <f>CLEAN_699!D103</f>
        <v>0400101235-003</v>
      </c>
      <c r="E103" s="30">
        <f>CLEAN_699!F103</f>
        <v>271549</v>
      </c>
      <c r="F103" s="30">
        <f>CLEAN_699!G103</f>
        <v>297142</v>
      </c>
      <c r="G103" s="3" t="str">
        <f t="shared" si="3"/>
        <v>Decision 699/QĐ-BNNMT</v>
      </c>
      <c r="H103" s="3" t="str">
        <f t="shared" si="4"/>
        <v>Official</v>
      </c>
      <c r="I103" s="3" t="str">
        <f t="shared" si="5"/>
        <v>Official allocation under Decision 699/QĐ-BNNMT</v>
      </c>
    </row>
    <row r="104" ht="15.75" customHeight="1">
      <c r="A104" s="3" t="str">
        <f t="shared" si="1"/>
        <v>F103</v>
      </c>
      <c r="B104" s="3" t="str">
        <f>CLEAN_699!B104</f>
        <v>Công ty Hữu Hạn Xi Măng Luks</v>
      </c>
      <c r="C104" s="3" t="str">
        <f t="shared" si="2"/>
        <v>Thermal power</v>
      </c>
      <c r="D104" s="3" t="str">
        <f>CLEAN_699!D104</f>
        <v>3300100875</v>
      </c>
      <c r="E104" s="30">
        <f>CLEAN_699!F104</f>
        <v>354936</v>
      </c>
      <c r="F104" s="30">
        <f>CLEAN_699!G104</f>
        <v>388387</v>
      </c>
      <c r="G104" s="3" t="str">
        <f t="shared" si="3"/>
        <v>Decision 699/QĐ-BNNMT</v>
      </c>
      <c r="H104" s="3" t="str">
        <f t="shared" si="4"/>
        <v>Official</v>
      </c>
      <c r="I104" s="3" t="str">
        <f t="shared" si="5"/>
        <v>Official allocation under Decision 699/QĐ-BNNMT</v>
      </c>
    </row>
    <row r="105" ht="15.75" customHeight="1">
      <c r="A105" s="3" t="str">
        <f t="shared" si="1"/>
        <v>F104</v>
      </c>
      <c r="B105" s="3" t="str">
        <f>CLEAN_699!B105</f>
        <v>Công ty cổ phần Xi măng Đồng Lâm</v>
      </c>
      <c r="C105" s="3" t="str">
        <f t="shared" si="2"/>
        <v>Thermal power</v>
      </c>
      <c r="D105" s="3" t="str">
        <f>CLEAN_699!D105</f>
        <v>3300384306</v>
      </c>
      <c r="E105" s="30">
        <f>CLEAN_699!F105</f>
        <v>1254493</v>
      </c>
      <c r="F105" s="30">
        <f>CLEAN_699!G105</f>
        <v>1372727</v>
      </c>
      <c r="G105" s="3" t="str">
        <f t="shared" si="3"/>
        <v>Decision 699/QĐ-BNNMT</v>
      </c>
      <c r="H105" s="3" t="str">
        <f t="shared" si="4"/>
        <v>Official</v>
      </c>
      <c r="I105" s="3" t="str">
        <f t="shared" si="5"/>
        <v>Official allocation under Decision 699/QĐ-BNNMT</v>
      </c>
    </row>
    <row r="106" ht="15.75" customHeight="1">
      <c r="A106" s="3" t="str">
        <f t="shared" si="1"/>
        <v>F105</v>
      </c>
      <c r="B106" s="3" t="str">
        <f>CLEAN_699!B106</f>
        <v>Công ty TNHH MTV Xi măng Xuân Thành Quảng Nam</v>
      </c>
      <c r="C106" s="3" t="str">
        <f t="shared" si="2"/>
        <v>Thermal power</v>
      </c>
      <c r="D106" s="3" t="str">
        <f>CLEAN_699!D106</f>
        <v>4001193087</v>
      </c>
      <c r="E106" s="30">
        <f>CLEAN_699!F106</f>
        <v>835087</v>
      </c>
      <c r="F106" s="30">
        <f>CLEAN_699!G106</f>
        <v>913792</v>
      </c>
      <c r="G106" s="3" t="str">
        <f t="shared" si="3"/>
        <v>Decision 699/QĐ-BNNMT</v>
      </c>
      <c r="H106" s="3" t="str">
        <f t="shared" si="4"/>
        <v>Official</v>
      </c>
      <c r="I106" s="3" t="str">
        <f t="shared" si="5"/>
        <v>Official allocation under Decision 699/QĐ-BNNMT</v>
      </c>
    </row>
    <row r="107" ht="15.75" customHeight="1">
      <c r="A107" s="3" t="str">
        <f t="shared" si="1"/>
        <v>F106</v>
      </c>
      <c r="B107" s="3" t="str">
        <f>CLEAN_699!B107</f>
        <v>Nhà máy Xi măng Bình Phước, Công ty cổ phần Xi măng Vicem Hà Tiên 1</v>
      </c>
      <c r="C107" s="3" t="str">
        <f t="shared" si="2"/>
        <v>Thermal power</v>
      </c>
      <c r="D107" s="3" t="str">
        <f>CLEAN_699!D107</f>
        <v>0301446422-012</v>
      </c>
      <c r="E107" s="30">
        <f>CLEAN_699!F107</f>
        <v>1982913</v>
      </c>
      <c r="F107" s="30">
        <f>CLEAN_699!G107</f>
        <v>2169798</v>
      </c>
      <c r="G107" s="3" t="str">
        <f t="shared" si="3"/>
        <v>Decision 699/QĐ-BNNMT</v>
      </c>
      <c r="H107" s="3" t="str">
        <f t="shared" si="4"/>
        <v>Official</v>
      </c>
      <c r="I107" s="3" t="str">
        <f t="shared" si="5"/>
        <v>Official allocation under Decision 699/QĐ-BNNMT</v>
      </c>
    </row>
    <row r="108" ht="15.75" customHeight="1">
      <c r="A108" s="3" t="str">
        <f t="shared" si="1"/>
        <v>F107</v>
      </c>
      <c r="B108" s="3" t="str">
        <f>CLEAN_699!B108</f>
        <v>Nhà máy Xi măng Tây Ninh, Công ty cổ phần xi măng FICO Tây Ninh - Tổng Công ty vật liệu xây dựng số 1</v>
      </c>
      <c r="C108" s="3" t="str">
        <f t="shared" si="2"/>
        <v>Thermal power</v>
      </c>
      <c r="D108" s="3" t="str">
        <f>CLEAN_699!D108</f>
        <v>3900365922-003</v>
      </c>
      <c r="E108" s="30">
        <f>CLEAN_699!F108</f>
        <v>1072694</v>
      </c>
      <c r="F108" s="30">
        <f>CLEAN_699!G108</f>
        <v>1173794</v>
      </c>
      <c r="G108" s="3" t="str">
        <f t="shared" si="3"/>
        <v>Decision 699/QĐ-BNNMT</v>
      </c>
      <c r="H108" s="3" t="str">
        <f t="shared" si="4"/>
        <v>Official</v>
      </c>
      <c r="I108" s="3" t="str">
        <f t="shared" si="5"/>
        <v>Official allocation under Decision 699/QĐ-BNNMT</v>
      </c>
    </row>
    <row r="109" ht="15.75" customHeight="1">
      <c r="A109" s="3" t="str">
        <f t="shared" si="1"/>
        <v>F108</v>
      </c>
      <c r="B109" s="3" t="str">
        <f>CLEAN_699!B109</f>
        <v>Nhà máy Xi măng Kiên Lương, Công ty cổ phần Xi măng Vicem Hà Tiên 1</v>
      </c>
      <c r="C109" s="3" t="str">
        <f t="shared" si="2"/>
        <v>Thermal power</v>
      </c>
      <c r="D109" s="3" t="str">
        <f>CLEAN_699!D109</f>
        <v>0301446422-013</v>
      </c>
      <c r="E109" s="30">
        <f>CLEAN_699!F109</f>
        <v>2045386</v>
      </c>
      <c r="F109" s="30">
        <f>CLEAN_699!G109</f>
        <v>2238159</v>
      </c>
      <c r="G109" s="3" t="str">
        <f t="shared" si="3"/>
        <v>Decision 699/QĐ-BNNMT</v>
      </c>
      <c r="H109" s="3" t="str">
        <f t="shared" si="4"/>
        <v>Official</v>
      </c>
      <c r="I109" s="3" t="str">
        <f t="shared" si="5"/>
        <v>Official allocation under Decision 699/QĐ-BNNMT</v>
      </c>
    </row>
    <row r="110" ht="15.75" customHeight="1">
      <c r="A110" s="3" t="str">
        <f t="shared" si="1"/>
        <v>F109</v>
      </c>
      <c r="B110" s="3" t="str">
        <f>CLEAN_699!B110</f>
        <v>Nhà máy Xi măng INSEE, Công ty TNHH Siam City Cement (Việt Nam)</v>
      </c>
      <c r="C110" s="3" t="str">
        <f t="shared" si="2"/>
        <v>Thermal power</v>
      </c>
      <c r="D110" s="3" t="str">
        <f>CLEAN_699!D110</f>
        <v>0300608568-001</v>
      </c>
      <c r="E110" s="30">
        <f>CLEAN_699!F110</f>
        <v>1505630</v>
      </c>
      <c r="F110" s="30">
        <f>CLEAN_699!G110</f>
        <v>1647533</v>
      </c>
      <c r="G110" s="3" t="str">
        <f t="shared" si="3"/>
        <v>Decision 699/QĐ-BNNMT</v>
      </c>
      <c r="H110" s="3" t="str">
        <f t="shared" si="4"/>
        <v>Official</v>
      </c>
      <c r="I110" s="3" t="str">
        <f t="shared" si="5"/>
        <v>Official allocation under Decision 699/QĐ-BNNMT</v>
      </c>
    </row>
    <row r="111" ht="15.75" customHeight="1">
      <c r="A111" s="3" t="str">
        <f t="shared" si="1"/>
        <v>F110</v>
      </c>
      <c r="B111" s="3" t="str">
        <f>CLEAN_699!B111</f>
        <v>Công ty TNHH Duyên Hà, Nhà máy xi măng Duyên Hà</v>
      </c>
      <c r="C111" s="3" t="str">
        <f t="shared" si="2"/>
        <v>Thermal power</v>
      </c>
      <c r="D111" s="3" t="str">
        <f>CLEAN_699!D111</f>
        <v>0100520789-002</v>
      </c>
      <c r="E111" s="30">
        <f>CLEAN_699!F111</f>
        <v>1324157</v>
      </c>
      <c r="F111" s="30">
        <f>CLEAN_699!G111</f>
        <v>1448956</v>
      </c>
      <c r="G111" s="3" t="str">
        <f t="shared" si="3"/>
        <v>Decision 699/QĐ-BNNMT</v>
      </c>
      <c r="H111" s="3" t="str">
        <f t="shared" si="4"/>
        <v>Official</v>
      </c>
      <c r="I111" s="3" t="str">
        <f t="shared" si="5"/>
        <v>Official allocation under Decision 699/QĐ-BNNMT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38.0"/>
    <col customWidth="1" min="3" max="3" width="51.13"/>
    <col customWidth="1" min="4" max="4" width="46.0"/>
    <col customWidth="1" min="5" max="5" width="27.13"/>
    <col customWidth="1" min="6" max="6" width="24.5"/>
    <col customWidth="1" min="7" max="7" width="24.0"/>
  </cols>
  <sheetData>
    <row r="1" ht="15.75" customHeight="1">
      <c r="A1" s="29" t="s">
        <v>437</v>
      </c>
      <c r="B1" s="29" t="s">
        <v>438</v>
      </c>
      <c r="C1" s="29" t="s">
        <v>439</v>
      </c>
      <c r="D1" s="29" t="s">
        <v>440</v>
      </c>
      <c r="E1" s="29" t="s">
        <v>441</v>
      </c>
      <c r="F1" s="29" t="s">
        <v>442</v>
      </c>
      <c r="G1" s="29" t="s">
        <v>443</v>
      </c>
    </row>
    <row r="2" ht="15.75" customHeight="1">
      <c r="A2" s="32" t="s">
        <v>445</v>
      </c>
      <c r="B2" s="33" t="s">
        <v>447</v>
      </c>
    </row>
    <row r="3" ht="15.75" customHeight="1">
      <c r="A3" s="34">
        <v>1.0</v>
      </c>
      <c r="B3" s="35" t="s">
        <v>77</v>
      </c>
      <c r="C3" s="35" t="s">
        <v>450</v>
      </c>
      <c r="D3" s="34" t="s">
        <v>114</v>
      </c>
      <c r="E3" s="35" t="s">
        <v>451</v>
      </c>
      <c r="F3" s="36" t="s">
        <v>452</v>
      </c>
      <c r="G3" s="36" t="s">
        <v>453</v>
      </c>
      <c r="H3" s="37"/>
    </row>
    <row r="4" ht="15.75" customHeight="1">
      <c r="A4" s="34">
        <v>2.0</v>
      </c>
      <c r="B4" s="35" t="s">
        <v>125</v>
      </c>
      <c r="C4" s="35" t="s">
        <v>456</v>
      </c>
      <c r="D4" s="34" t="s">
        <v>127</v>
      </c>
      <c r="E4" s="35" t="s">
        <v>457</v>
      </c>
      <c r="F4" s="36" t="s">
        <v>458</v>
      </c>
      <c r="G4" s="36" t="s">
        <v>459</v>
      </c>
      <c r="H4" s="37"/>
    </row>
    <row r="5" ht="15.75" customHeight="1">
      <c r="A5" s="34">
        <v>3.0</v>
      </c>
      <c r="B5" s="35" t="s">
        <v>129</v>
      </c>
      <c r="C5" s="35" t="s">
        <v>460</v>
      </c>
      <c r="D5" s="34" t="s">
        <v>130</v>
      </c>
      <c r="E5" s="35" t="s">
        <v>461</v>
      </c>
      <c r="F5" s="36" t="s">
        <v>462</v>
      </c>
      <c r="G5" s="36" t="s">
        <v>463</v>
      </c>
      <c r="H5" s="37"/>
    </row>
    <row r="6" ht="15.75" customHeight="1">
      <c r="A6" s="34">
        <v>4.0</v>
      </c>
      <c r="B6" s="35" t="s">
        <v>131</v>
      </c>
      <c r="C6" s="35" t="s">
        <v>464</v>
      </c>
      <c r="D6" s="34">
        <v>5.700434869E9</v>
      </c>
      <c r="E6" s="35" t="s">
        <v>465</v>
      </c>
      <c r="F6" s="36" t="s">
        <v>466</v>
      </c>
      <c r="G6" s="36" t="s">
        <v>467</v>
      </c>
      <c r="H6" s="37"/>
    </row>
    <row r="7" ht="15.75" customHeight="1">
      <c r="A7" s="34">
        <v>5.0</v>
      </c>
      <c r="B7" s="35" t="s">
        <v>133</v>
      </c>
      <c r="C7" s="35" t="s">
        <v>468</v>
      </c>
      <c r="D7" s="34" t="s">
        <v>134</v>
      </c>
      <c r="E7" s="35" t="s">
        <v>469</v>
      </c>
      <c r="F7" s="36" t="s">
        <v>470</v>
      </c>
      <c r="G7" s="36" t="s">
        <v>471</v>
      </c>
      <c r="H7" s="37"/>
    </row>
    <row r="8" ht="15.75" customHeight="1">
      <c r="A8" s="34">
        <v>6.0</v>
      </c>
      <c r="B8" s="35" t="s">
        <v>135</v>
      </c>
      <c r="C8" s="35" t="s">
        <v>472</v>
      </c>
      <c r="D8" s="34">
        <v>5.701384498E9</v>
      </c>
      <c r="E8" s="35" t="s">
        <v>473</v>
      </c>
      <c r="F8" s="36" t="s">
        <v>474</v>
      </c>
      <c r="G8" s="36" t="s">
        <v>475</v>
      </c>
      <c r="H8" s="37"/>
    </row>
    <row r="9" ht="15.75" customHeight="1">
      <c r="A9" s="34">
        <v>7.0</v>
      </c>
      <c r="B9" s="35" t="s">
        <v>137</v>
      </c>
      <c r="C9" s="35" t="s">
        <v>476</v>
      </c>
      <c r="D9" s="34" t="s">
        <v>138</v>
      </c>
      <c r="E9" s="35" t="s">
        <v>477</v>
      </c>
      <c r="F9" s="36" t="s">
        <v>478</v>
      </c>
      <c r="G9" s="36" t="s">
        <v>479</v>
      </c>
      <c r="H9" s="37"/>
    </row>
    <row r="10" ht="15.75" customHeight="1">
      <c r="A10" s="34">
        <v>8.0</v>
      </c>
      <c r="B10" s="35" t="s">
        <v>139</v>
      </c>
      <c r="C10" s="35" t="s">
        <v>480</v>
      </c>
      <c r="D10" s="34" t="s">
        <v>140</v>
      </c>
      <c r="E10" s="35" t="s">
        <v>481</v>
      </c>
      <c r="F10" s="36" t="s">
        <v>482</v>
      </c>
      <c r="G10" s="36" t="s">
        <v>483</v>
      </c>
      <c r="H10" s="37"/>
    </row>
    <row r="11" ht="15.75" customHeight="1">
      <c r="A11" s="34">
        <v>9.0</v>
      </c>
      <c r="B11" s="35" t="s">
        <v>141</v>
      </c>
      <c r="C11" s="35" t="s">
        <v>484</v>
      </c>
      <c r="D11" s="34">
        <v>2.00493225E8</v>
      </c>
      <c r="E11" s="35" t="s">
        <v>485</v>
      </c>
      <c r="F11" s="36" t="s">
        <v>486</v>
      </c>
      <c r="G11" s="36" t="s">
        <v>487</v>
      </c>
      <c r="H11" s="37"/>
    </row>
    <row r="12" ht="15.75" customHeight="1">
      <c r="A12" s="34">
        <v>10.0</v>
      </c>
      <c r="B12" s="35" t="s">
        <v>143</v>
      </c>
      <c r="C12" s="35" t="s">
        <v>488</v>
      </c>
      <c r="D12" s="34" t="s">
        <v>144</v>
      </c>
      <c r="E12" s="35" t="s">
        <v>489</v>
      </c>
      <c r="F12" s="36" t="s">
        <v>490</v>
      </c>
      <c r="G12" s="36" t="s">
        <v>491</v>
      </c>
      <c r="H12" s="37"/>
    </row>
    <row r="13" ht="15.75" customHeight="1">
      <c r="A13" s="34">
        <v>11.0</v>
      </c>
      <c r="B13" s="35" t="s">
        <v>145</v>
      </c>
      <c r="C13" s="35" t="s">
        <v>492</v>
      </c>
      <c r="D13" s="34" t="s">
        <v>146</v>
      </c>
      <c r="E13" s="35" t="s">
        <v>493</v>
      </c>
      <c r="F13" s="36" t="s">
        <v>494</v>
      </c>
      <c r="G13" s="36" t="s">
        <v>495</v>
      </c>
      <c r="H13" s="37"/>
    </row>
    <row r="14" ht="15.75" customHeight="1">
      <c r="A14" s="34">
        <v>12.0</v>
      </c>
      <c r="B14" s="35" t="s">
        <v>147</v>
      </c>
      <c r="C14" s="35" t="s">
        <v>496</v>
      </c>
      <c r="D14" s="34">
        <v>3.600517557E9</v>
      </c>
      <c r="E14" s="35" t="s">
        <v>497</v>
      </c>
      <c r="F14" s="36" t="s">
        <v>498</v>
      </c>
      <c r="G14" s="36" t="s">
        <v>499</v>
      </c>
      <c r="H14" s="37"/>
    </row>
    <row r="15" ht="15.75" customHeight="1">
      <c r="A15" s="34">
        <v>13.0</v>
      </c>
      <c r="B15" s="35" t="s">
        <v>149</v>
      </c>
      <c r="C15" s="35" t="s">
        <v>500</v>
      </c>
      <c r="D15" s="34">
        <v>3.401060812E9</v>
      </c>
      <c r="E15" s="35" t="s">
        <v>501</v>
      </c>
      <c r="F15" s="36" t="s">
        <v>502</v>
      </c>
      <c r="G15" s="36" t="s">
        <v>503</v>
      </c>
      <c r="H15" s="37"/>
    </row>
    <row r="16" ht="15.75" customHeight="1">
      <c r="A16" s="34">
        <v>14.0</v>
      </c>
      <c r="B16" s="35" t="s">
        <v>151</v>
      </c>
      <c r="C16" s="35" t="s">
        <v>500</v>
      </c>
      <c r="D16" s="34" t="s">
        <v>152</v>
      </c>
      <c r="E16" s="35" t="s">
        <v>504</v>
      </c>
      <c r="F16" s="36" t="s">
        <v>505</v>
      </c>
      <c r="G16" s="36" t="s">
        <v>506</v>
      </c>
      <c r="H16" s="37"/>
    </row>
    <row r="17" ht="15.75" customHeight="1">
      <c r="A17" s="34">
        <v>15.0</v>
      </c>
      <c r="B17" s="35" t="s">
        <v>153</v>
      </c>
      <c r="C17" s="35" t="s">
        <v>500</v>
      </c>
      <c r="D17" s="34" t="s">
        <v>154</v>
      </c>
      <c r="E17" s="35" t="s">
        <v>507</v>
      </c>
      <c r="F17" s="36" t="s">
        <v>508</v>
      </c>
      <c r="G17" s="36" t="s">
        <v>509</v>
      </c>
      <c r="H17" s="37"/>
    </row>
    <row r="18" ht="15.75" customHeight="1">
      <c r="A18" s="34">
        <v>16.0</v>
      </c>
      <c r="B18" s="35" t="s">
        <v>155</v>
      </c>
      <c r="C18" s="35" t="s">
        <v>510</v>
      </c>
      <c r="D18" s="34" t="s">
        <v>156</v>
      </c>
      <c r="E18" s="35" t="s">
        <v>511</v>
      </c>
      <c r="F18" s="36">
        <v>21.46</v>
      </c>
      <c r="G18" s="36">
        <v>23.51</v>
      </c>
      <c r="H18" s="37"/>
    </row>
    <row r="19" ht="15.75" customHeight="1">
      <c r="A19" s="34">
        <v>17.0</v>
      </c>
      <c r="B19" s="35" t="s">
        <v>157</v>
      </c>
      <c r="C19" s="35" t="s">
        <v>512</v>
      </c>
      <c r="D19" s="34" t="s">
        <v>158</v>
      </c>
      <c r="E19" s="35" t="s">
        <v>513</v>
      </c>
      <c r="F19" s="36" t="s">
        <v>514</v>
      </c>
      <c r="G19" s="36" t="s">
        <v>515</v>
      </c>
      <c r="H19" s="37"/>
    </row>
    <row r="20" ht="15.75" customHeight="1">
      <c r="A20" s="34">
        <v>18.0</v>
      </c>
      <c r="B20" s="35" t="s">
        <v>159</v>
      </c>
      <c r="C20" s="35" t="s">
        <v>512</v>
      </c>
      <c r="D20" s="34" t="s">
        <v>158</v>
      </c>
      <c r="E20" s="35" t="s">
        <v>513</v>
      </c>
      <c r="F20" s="36" t="s">
        <v>516</v>
      </c>
      <c r="G20" s="36" t="s">
        <v>517</v>
      </c>
      <c r="H20" s="37"/>
    </row>
    <row r="21" ht="15.75" customHeight="1">
      <c r="A21" s="34">
        <v>19.0</v>
      </c>
      <c r="B21" s="35" t="s">
        <v>160</v>
      </c>
      <c r="C21" s="35" t="s">
        <v>512</v>
      </c>
      <c r="D21" s="34" t="s">
        <v>158</v>
      </c>
      <c r="E21" s="35" t="s">
        <v>513</v>
      </c>
      <c r="F21" s="36">
        <v>876.004</v>
      </c>
      <c r="G21" s="36">
        <v>959.689</v>
      </c>
      <c r="H21" s="37"/>
    </row>
    <row r="22" ht="15.75" customHeight="1">
      <c r="A22" s="34">
        <v>20.0</v>
      </c>
      <c r="B22" s="35" t="s">
        <v>161</v>
      </c>
      <c r="C22" s="35" t="s">
        <v>518</v>
      </c>
      <c r="D22" s="34">
        <v>3.500701305E9</v>
      </c>
      <c r="E22" s="35" t="s">
        <v>519</v>
      </c>
      <c r="F22" s="36">
        <v>68.969</v>
      </c>
      <c r="G22" s="36">
        <v>75.558</v>
      </c>
      <c r="H22" s="37"/>
    </row>
    <row r="23" ht="15.75" customHeight="1">
      <c r="A23" s="34">
        <v>21.0</v>
      </c>
      <c r="B23" s="35" t="s">
        <v>163</v>
      </c>
      <c r="C23" s="35" t="s">
        <v>520</v>
      </c>
      <c r="D23" s="34" t="s">
        <v>164</v>
      </c>
      <c r="E23" s="35" t="s">
        <v>521</v>
      </c>
      <c r="F23" s="36">
        <v>31.803</v>
      </c>
      <c r="G23" s="36">
        <v>34.842</v>
      </c>
      <c r="H23" s="37"/>
    </row>
    <row r="24" ht="15.75" customHeight="1">
      <c r="A24" s="34">
        <v>22.0</v>
      </c>
      <c r="B24" s="35" t="s">
        <v>165</v>
      </c>
      <c r="C24" s="35" t="s">
        <v>522</v>
      </c>
      <c r="D24" s="34" t="s">
        <v>166</v>
      </c>
      <c r="E24" s="35" t="s">
        <v>523</v>
      </c>
      <c r="F24" s="36">
        <v>407.99</v>
      </c>
      <c r="G24" s="36">
        <v>446.965</v>
      </c>
      <c r="H24" s="37"/>
    </row>
    <row r="25" ht="15.75" customHeight="1">
      <c r="A25" s="34">
        <v>23.0</v>
      </c>
      <c r="B25" s="35" t="s">
        <v>167</v>
      </c>
      <c r="C25" s="35" t="s">
        <v>524</v>
      </c>
      <c r="D25" s="34">
        <v>3.600239719E9</v>
      </c>
      <c r="E25" s="35" t="s">
        <v>525</v>
      </c>
      <c r="F25" s="36">
        <v>512.653</v>
      </c>
      <c r="G25" s="36">
        <v>561.627</v>
      </c>
      <c r="H25" s="37"/>
    </row>
    <row r="26" ht="15.75" customHeight="1">
      <c r="A26" s="34">
        <v>24.0</v>
      </c>
      <c r="B26" s="35" t="s">
        <v>169</v>
      </c>
      <c r="C26" s="35" t="s">
        <v>524</v>
      </c>
      <c r="D26" s="34">
        <v>3.600257958E9</v>
      </c>
      <c r="E26" s="35" t="s">
        <v>526</v>
      </c>
      <c r="F26" s="36">
        <v>89.0</v>
      </c>
      <c r="G26" s="36">
        <v>97.0</v>
      </c>
      <c r="H26" s="37"/>
    </row>
    <row r="27" ht="15.75" customHeight="1">
      <c r="A27" s="34">
        <v>25.0</v>
      </c>
      <c r="B27" s="35" t="s">
        <v>171</v>
      </c>
      <c r="C27" s="35" t="s">
        <v>527</v>
      </c>
      <c r="D27" s="34">
        <v>3.600897316E9</v>
      </c>
      <c r="E27" s="35" t="s">
        <v>528</v>
      </c>
      <c r="F27" s="36" t="s">
        <v>529</v>
      </c>
      <c r="G27" s="36" t="s">
        <v>530</v>
      </c>
      <c r="H27" s="37"/>
    </row>
    <row r="28" ht="15.75" customHeight="1">
      <c r="A28" s="34">
        <v>26.0</v>
      </c>
      <c r="B28" s="35" t="s">
        <v>173</v>
      </c>
      <c r="C28" s="35" t="s">
        <v>531</v>
      </c>
      <c r="D28" s="34" t="s">
        <v>174</v>
      </c>
      <c r="E28" s="35" t="s">
        <v>532</v>
      </c>
      <c r="F28" s="36" t="s">
        <v>533</v>
      </c>
      <c r="G28" s="36" t="s">
        <v>534</v>
      </c>
      <c r="H28" s="37"/>
    </row>
    <row r="29" ht="15.75" customHeight="1">
      <c r="A29" s="34">
        <v>27.0</v>
      </c>
      <c r="B29" s="35" t="s">
        <v>175</v>
      </c>
      <c r="C29" s="35" t="s">
        <v>531</v>
      </c>
      <c r="D29" s="34" t="s">
        <v>174</v>
      </c>
      <c r="E29" s="35" t="s">
        <v>532</v>
      </c>
      <c r="F29" s="36" t="s">
        <v>535</v>
      </c>
      <c r="G29" s="36" t="s">
        <v>536</v>
      </c>
      <c r="H29" s="37"/>
    </row>
    <row r="30" ht="15.75" customHeight="1">
      <c r="A30" s="34">
        <v>28.0</v>
      </c>
      <c r="B30" s="35" t="s">
        <v>176</v>
      </c>
      <c r="C30" s="35" t="s">
        <v>531</v>
      </c>
      <c r="D30" s="34" t="s">
        <v>174</v>
      </c>
      <c r="E30" s="35" t="s">
        <v>532</v>
      </c>
      <c r="F30" s="36" t="s">
        <v>537</v>
      </c>
      <c r="G30" s="36" t="s">
        <v>538</v>
      </c>
      <c r="H30" s="37"/>
    </row>
    <row r="31" ht="15.75" customHeight="1">
      <c r="A31" s="34">
        <v>29.0</v>
      </c>
      <c r="B31" s="35" t="s">
        <v>177</v>
      </c>
      <c r="C31" s="35" t="s">
        <v>539</v>
      </c>
      <c r="D31" s="34">
        <v>3.000437821E9</v>
      </c>
      <c r="E31" s="35" t="s">
        <v>540</v>
      </c>
      <c r="F31" s="36" t="s">
        <v>541</v>
      </c>
      <c r="G31" s="36" t="s">
        <v>542</v>
      </c>
      <c r="H31" s="37"/>
    </row>
    <row r="32" ht="15.75" customHeight="1">
      <c r="A32" s="34">
        <v>30.0</v>
      </c>
      <c r="B32" s="35" t="s">
        <v>180</v>
      </c>
      <c r="C32" s="35" t="s">
        <v>543</v>
      </c>
      <c r="D32" s="34" t="s">
        <v>181</v>
      </c>
      <c r="E32" s="35" t="s">
        <v>544</v>
      </c>
      <c r="F32" s="36" t="s">
        <v>545</v>
      </c>
      <c r="G32" s="36" t="s">
        <v>546</v>
      </c>
      <c r="H32" s="37"/>
    </row>
    <row r="33" ht="15.75" customHeight="1">
      <c r="A33" s="34">
        <v>31.0</v>
      </c>
      <c r="B33" s="35" t="s">
        <v>182</v>
      </c>
      <c r="C33" s="35" t="s">
        <v>543</v>
      </c>
      <c r="D33" s="34" t="s">
        <v>181</v>
      </c>
      <c r="E33" s="35" t="s">
        <v>544</v>
      </c>
      <c r="F33" s="36" t="s">
        <v>547</v>
      </c>
      <c r="G33" s="36" t="s">
        <v>548</v>
      </c>
      <c r="H33" s="37"/>
    </row>
    <row r="34" ht="15.75" customHeight="1">
      <c r="A34" s="34">
        <v>32.0</v>
      </c>
      <c r="B34" s="35" t="s">
        <v>183</v>
      </c>
      <c r="C34" s="35" t="s">
        <v>549</v>
      </c>
      <c r="D34" s="34">
        <v>4.600421021E9</v>
      </c>
      <c r="E34" s="35" t="s">
        <v>550</v>
      </c>
      <c r="F34" s="36">
        <v>924.021</v>
      </c>
      <c r="G34" s="36" t="s">
        <v>551</v>
      </c>
      <c r="H34" s="37"/>
    </row>
    <row r="35" ht="15.75" customHeight="1">
      <c r="A35" s="34">
        <v>33.0</v>
      </c>
      <c r="B35" s="35" t="s">
        <v>185</v>
      </c>
      <c r="C35" s="35" t="s">
        <v>552</v>
      </c>
      <c r="D35" s="34" t="s">
        <v>186</v>
      </c>
      <c r="E35" s="35" t="s">
        <v>553</v>
      </c>
      <c r="F35" s="36" t="s">
        <v>554</v>
      </c>
      <c r="G35" s="36" t="s">
        <v>555</v>
      </c>
      <c r="H35" s="37"/>
    </row>
    <row r="36" ht="15.75" customHeight="1">
      <c r="A36" s="34">
        <v>34.0</v>
      </c>
      <c r="B36" s="35" t="s">
        <v>187</v>
      </c>
      <c r="C36" s="35" t="s">
        <v>556</v>
      </c>
      <c r="D36" s="34">
        <v>1.700403486E9</v>
      </c>
      <c r="E36" s="35" t="s">
        <v>557</v>
      </c>
      <c r="F36" s="36">
        <v>5.539</v>
      </c>
      <c r="G36" s="36">
        <v>6.068</v>
      </c>
      <c r="H36" s="37"/>
    </row>
    <row r="37" ht="15.75" customHeight="1">
      <c r="A37" s="32" t="s">
        <v>558</v>
      </c>
      <c r="B37" s="33" t="s">
        <v>559</v>
      </c>
      <c r="G37" s="35"/>
      <c r="H37" s="37"/>
    </row>
    <row r="38" ht="15.75" customHeight="1">
      <c r="A38" s="34">
        <v>1.0</v>
      </c>
      <c r="B38" s="35" t="s">
        <v>189</v>
      </c>
      <c r="C38" s="35" t="s">
        <v>560</v>
      </c>
      <c r="D38" s="34">
        <v>5.300232681E9</v>
      </c>
      <c r="E38" s="35" t="s">
        <v>561</v>
      </c>
      <c r="F38" s="36">
        <v>255.476</v>
      </c>
      <c r="G38" s="36">
        <v>297.83</v>
      </c>
      <c r="H38" s="37"/>
    </row>
    <row r="39" ht="15.75" customHeight="1">
      <c r="A39" s="34">
        <v>2.0</v>
      </c>
      <c r="B39" s="35" t="s">
        <v>193</v>
      </c>
      <c r="C39" s="35" t="s">
        <v>562</v>
      </c>
      <c r="D39" s="34">
        <v>4.800162247E9</v>
      </c>
      <c r="E39" s="35" t="s">
        <v>563</v>
      </c>
      <c r="F39" s="36">
        <v>391.158</v>
      </c>
      <c r="G39" s="36">
        <v>456.006</v>
      </c>
      <c r="H39" s="37"/>
    </row>
    <row r="40" ht="15.75" customHeight="1">
      <c r="A40" s="34">
        <v>3.0</v>
      </c>
      <c r="B40" s="35" t="s">
        <v>195</v>
      </c>
      <c r="C40" s="35" t="s">
        <v>564</v>
      </c>
      <c r="D40" s="34" t="s">
        <v>196</v>
      </c>
      <c r="E40" s="35" t="s">
        <v>565</v>
      </c>
      <c r="F40" s="36">
        <v>33.053</v>
      </c>
      <c r="G40" s="36">
        <v>38.533</v>
      </c>
      <c r="H40" s="37"/>
    </row>
    <row r="41" ht="15.75" customHeight="1">
      <c r="A41" s="34">
        <v>4.0</v>
      </c>
      <c r="B41" s="35" t="s">
        <v>197</v>
      </c>
      <c r="C41" s="35" t="s">
        <v>566</v>
      </c>
      <c r="D41" s="34">
        <v>2.01572208E8</v>
      </c>
      <c r="E41" s="35" t="s">
        <v>567</v>
      </c>
      <c r="F41" s="36">
        <v>902.0</v>
      </c>
      <c r="G41" s="36">
        <v>1.052</v>
      </c>
      <c r="H41" s="37"/>
    </row>
    <row r="42" ht="15.75" customHeight="1">
      <c r="A42" s="34">
        <v>5.0</v>
      </c>
      <c r="B42" s="35" t="s">
        <v>199</v>
      </c>
      <c r="C42" s="35" t="s">
        <v>568</v>
      </c>
      <c r="D42" s="34">
        <v>9.00629369E8</v>
      </c>
      <c r="E42" s="35" t="s">
        <v>569</v>
      </c>
      <c r="F42" s="36">
        <v>2.406</v>
      </c>
      <c r="G42" s="36">
        <v>2.804</v>
      </c>
      <c r="H42" s="37"/>
    </row>
    <row r="43" ht="15.75" customHeight="1">
      <c r="A43" s="34">
        <v>6.0</v>
      </c>
      <c r="B43" s="35" t="s">
        <v>201</v>
      </c>
      <c r="C43" s="35" t="s">
        <v>570</v>
      </c>
      <c r="D43" s="34">
        <v>3.000437821E9</v>
      </c>
      <c r="E43" s="35" t="s">
        <v>540</v>
      </c>
      <c r="F43" s="36" t="s">
        <v>571</v>
      </c>
      <c r="G43" s="36" t="s">
        <v>572</v>
      </c>
      <c r="H43" s="37"/>
    </row>
    <row r="44" ht="15.75" customHeight="1">
      <c r="A44" s="34">
        <v>7.0</v>
      </c>
      <c r="B44" s="35" t="s">
        <v>202</v>
      </c>
      <c r="C44" s="35" t="s">
        <v>573</v>
      </c>
      <c r="D44" s="34">
        <v>4.300793861E9</v>
      </c>
      <c r="E44" s="35" t="s">
        <v>574</v>
      </c>
      <c r="F44" s="36" t="s">
        <v>575</v>
      </c>
      <c r="G44" s="36" t="s">
        <v>576</v>
      </c>
      <c r="H44" s="37"/>
    </row>
    <row r="45" ht="15.75" customHeight="1">
      <c r="A45" s="34">
        <v>8.0</v>
      </c>
      <c r="B45" s="35" t="s">
        <v>204</v>
      </c>
      <c r="C45" s="35" t="s">
        <v>577</v>
      </c>
      <c r="D45" s="34">
        <v>3.05409326E8</v>
      </c>
      <c r="E45" s="35" t="s">
        <v>578</v>
      </c>
      <c r="F45" s="36">
        <v>12.842</v>
      </c>
      <c r="G45" s="36">
        <v>14.971</v>
      </c>
      <c r="H45" s="37"/>
    </row>
    <row r="46" ht="15.75" customHeight="1">
      <c r="A46" s="34">
        <v>9.0</v>
      </c>
      <c r="B46" s="35" t="s">
        <v>206</v>
      </c>
      <c r="C46" s="35" t="s">
        <v>579</v>
      </c>
      <c r="D46" s="34">
        <v>3.500791394E9</v>
      </c>
      <c r="E46" s="35" t="s">
        <v>580</v>
      </c>
      <c r="F46" s="36">
        <v>52.001</v>
      </c>
      <c r="G46" s="36">
        <v>60.622</v>
      </c>
      <c r="H46" s="37"/>
    </row>
    <row r="47" ht="15.75" customHeight="1">
      <c r="A47" s="34">
        <v>10.0</v>
      </c>
      <c r="B47" s="35" t="s">
        <v>208</v>
      </c>
      <c r="C47" s="35" t="s">
        <v>512</v>
      </c>
      <c r="D47" s="34">
        <v>3.500793105E9</v>
      </c>
      <c r="E47" s="35" t="s">
        <v>581</v>
      </c>
      <c r="F47" s="36">
        <v>14.952</v>
      </c>
      <c r="G47" s="36">
        <v>17.431</v>
      </c>
      <c r="H47" s="37"/>
    </row>
    <row r="48" ht="15.75" customHeight="1">
      <c r="A48" s="34">
        <v>11.0</v>
      </c>
      <c r="B48" s="35" t="s">
        <v>210</v>
      </c>
      <c r="C48" s="35" t="s">
        <v>512</v>
      </c>
      <c r="D48" s="34">
        <v>3.502269994E9</v>
      </c>
      <c r="E48" s="35" t="s">
        <v>582</v>
      </c>
      <c r="F48" s="36">
        <v>46.39</v>
      </c>
      <c r="G48" s="36">
        <v>54.081</v>
      </c>
      <c r="H48" s="37"/>
    </row>
    <row r="49" ht="15.75" customHeight="1">
      <c r="A49" s="34">
        <v>12.0</v>
      </c>
      <c r="B49" s="35" t="s">
        <v>212</v>
      </c>
      <c r="C49" s="35" t="s">
        <v>583</v>
      </c>
      <c r="D49" s="34">
        <v>3.501620257E9</v>
      </c>
      <c r="E49" s="35" t="s">
        <v>584</v>
      </c>
      <c r="F49" s="36">
        <v>50.549</v>
      </c>
      <c r="G49" s="36">
        <v>58.93</v>
      </c>
      <c r="H49" s="37"/>
    </row>
    <row r="50" ht="15.75" customHeight="1">
      <c r="A50" s="34">
        <v>13.0</v>
      </c>
      <c r="B50" s="35" t="s">
        <v>214</v>
      </c>
      <c r="C50" s="35" t="s">
        <v>512</v>
      </c>
      <c r="D50" s="34">
        <v>3.500106761E9</v>
      </c>
      <c r="E50" s="35" t="s">
        <v>585</v>
      </c>
      <c r="F50" s="36">
        <v>44.367</v>
      </c>
      <c r="G50" s="36">
        <v>51.723</v>
      </c>
      <c r="H50" s="37"/>
    </row>
    <row r="51" ht="15.75" customHeight="1">
      <c r="A51" s="34">
        <v>14.0</v>
      </c>
      <c r="B51" s="35" t="s">
        <v>216</v>
      </c>
      <c r="C51" s="35" t="s">
        <v>586</v>
      </c>
      <c r="D51" s="34">
        <v>3.700256179E9</v>
      </c>
      <c r="E51" s="35" t="s">
        <v>587</v>
      </c>
      <c r="F51" s="36">
        <v>2.05</v>
      </c>
      <c r="G51" s="36">
        <v>2.39</v>
      </c>
      <c r="H51" s="37"/>
    </row>
    <row r="52" ht="15.75" customHeight="1">
      <c r="A52" s="34">
        <v>15.0</v>
      </c>
      <c r="B52" s="35" t="s">
        <v>218</v>
      </c>
      <c r="C52" s="35" t="s">
        <v>588</v>
      </c>
      <c r="D52" s="34">
        <v>3.700598687E9</v>
      </c>
      <c r="E52" s="35" t="s">
        <v>589</v>
      </c>
      <c r="F52" s="36">
        <v>265.0</v>
      </c>
      <c r="G52" s="36">
        <v>310.0</v>
      </c>
      <c r="H52" s="37"/>
    </row>
    <row r="53" ht="15.75" customHeight="1">
      <c r="A53" s="34">
        <v>16.0</v>
      </c>
      <c r="B53" s="35" t="s">
        <v>221</v>
      </c>
      <c r="C53" s="35" t="s">
        <v>590</v>
      </c>
      <c r="D53" s="34">
        <v>3.701729269E9</v>
      </c>
      <c r="E53" s="35" t="s">
        <v>591</v>
      </c>
      <c r="F53" s="36">
        <v>2.559</v>
      </c>
      <c r="G53" s="36">
        <v>2.983</v>
      </c>
      <c r="H53" s="37"/>
    </row>
    <row r="54" ht="15.75" customHeight="1">
      <c r="A54" s="34">
        <v>17.0</v>
      </c>
      <c r="B54" s="35" t="s">
        <v>229</v>
      </c>
      <c r="C54" s="35" t="s">
        <v>592</v>
      </c>
      <c r="D54" s="34">
        <v>1.100549268E9</v>
      </c>
      <c r="E54" s="35" t="s">
        <v>593</v>
      </c>
      <c r="F54" s="36">
        <v>246.0</v>
      </c>
      <c r="G54" s="36">
        <v>287.0</v>
      </c>
      <c r="H54" s="37"/>
    </row>
    <row r="55" ht="15.75" customHeight="1">
      <c r="A55" s="34">
        <v>18.0</v>
      </c>
      <c r="B55" s="35" t="s">
        <v>243</v>
      </c>
      <c r="C55" s="35" t="s">
        <v>594</v>
      </c>
      <c r="D55" s="34">
        <v>2.801115888E9</v>
      </c>
      <c r="E55" s="35" t="s">
        <v>595</v>
      </c>
      <c r="F55" s="36">
        <v>6.602</v>
      </c>
      <c r="G55" s="36">
        <v>7.696</v>
      </c>
      <c r="H55" s="37"/>
    </row>
    <row r="56" ht="15.75" customHeight="1">
      <c r="A56" s="34">
        <v>19.0</v>
      </c>
      <c r="B56" s="35" t="s">
        <v>258</v>
      </c>
      <c r="C56" s="35" t="s">
        <v>596</v>
      </c>
      <c r="D56" s="34">
        <v>4.600479367E9</v>
      </c>
      <c r="E56" s="35" t="s">
        <v>597</v>
      </c>
      <c r="F56" s="36">
        <v>715.0</v>
      </c>
      <c r="G56" s="36">
        <v>833.0</v>
      </c>
      <c r="H56" s="37"/>
    </row>
    <row r="57" ht="15.75" customHeight="1">
      <c r="A57" s="34">
        <v>20.0</v>
      </c>
      <c r="B57" s="35" t="s">
        <v>277</v>
      </c>
      <c r="C57" s="35" t="s">
        <v>598</v>
      </c>
      <c r="D57" s="34">
        <v>8.00384651E8</v>
      </c>
      <c r="E57" s="35" t="s">
        <v>599</v>
      </c>
      <c r="F57" s="36" t="s">
        <v>600</v>
      </c>
      <c r="G57" s="36" t="s">
        <v>601</v>
      </c>
      <c r="H57" s="37"/>
    </row>
    <row r="58" ht="15.75" customHeight="1">
      <c r="A58" s="34">
        <v>21.0</v>
      </c>
      <c r="B58" s="35" t="s">
        <v>297</v>
      </c>
      <c r="C58" s="35" t="s">
        <v>596</v>
      </c>
      <c r="D58" s="34">
        <v>4.600100155E9</v>
      </c>
      <c r="E58" s="35" t="s">
        <v>602</v>
      </c>
      <c r="F58" s="36">
        <v>487.238</v>
      </c>
      <c r="G58" s="36">
        <v>568.015</v>
      </c>
      <c r="H58" s="37"/>
    </row>
    <row r="59" ht="15.75" customHeight="1">
      <c r="A59" s="34">
        <v>22.0</v>
      </c>
      <c r="B59" s="35" t="s">
        <v>308</v>
      </c>
      <c r="C59" s="35" t="s">
        <v>603</v>
      </c>
      <c r="D59" s="34">
        <v>4.00101549E8</v>
      </c>
      <c r="E59" s="35" t="s">
        <v>604</v>
      </c>
      <c r="F59" s="36">
        <v>11.961</v>
      </c>
      <c r="G59" s="36">
        <v>13.944</v>
      </c>
      <c r="H59" s="37"/>
    </row>
    <row r="60" ht="15.75" customHeight="1">
      <c r="A60" s="34">
        <v>23.0</v>
      </c>
      <c r="B60" s="35" t="s">
        <v>325</v>
      </c>
      <c r="C60" s="35" t="s">
        <v>605</v>
      </c>
      <c r="D60" s="34">
        <v>3.600961762E9</v>
      </c>
      <c r="E60" s="35" t="s">
        <v>606</v>
      </c>
      <c r="F60" s="36">
        <v>15.53</v>
      </c>
      <c r="G60" s="36">
        <v>18.105</v>
      </c>
      <c r="H60" s="37"/>
    </row>
    <row r="61" ht="15.75" customHeight="1">
      <c r="A61" s="34">
        <v>24.0</v>
      </c>
      <c r="B61" s="35" t="s">
        <v>334</v>
      </c>
      <c r="C61" s="35" t="s">
        <v>607</v>
      </c>
      <c r="D61" s="34">
        <v>1.000440676E9</v>
      </c>
      <c r="E61" s="35" t="s">
        <v>608</v>
      </c>
      <c r="F61" s="36">
        <v>2.893</v>
      </c>
      <c r="G61" s="36">
        <v>3.372</v>
      </c>
      <c r="H61" s="37"/>
    </row>
    <row r="62" ht="15.75" customHeight="1">
      <c r="A62" s="34">
        <v>25.0</v>
      </c>
      <c r="B62" s="35" t="s">
        <v>337</v>
      </c>
      <c r="C62" s="35" t="s">
        <v>609</v>
      </c>
      <c r="D62" s="34">
        <v>4.600400261E9</v>
      </c>
      <c r="E62" s="35" t="s">
        <v>610</v>
      </c>
      <c r="F62" s="36">
        <v>236.403</v>
      </c>
      <c r="G62" s="36">
        <v>275.595</v>
      </c>
      <c r="H62" s="37"/>
    </row>
    <row r="63" ht="15.75" customHeight="1">
      <c r="A63" s="32" t="s">
        <v>611</v>
      </c>
      <c r="B63" s="33" t="s">
        <v>612</v>
      </c>
      <c r="G63" s="35"/>
    </row>
    <row r="64" ht="15.75" customHeight="1">
      <c r="A64" s="34">
        <v>1.0</v>
      </c>
      <c r="B64" s="35" t="s">
        <v>339</v>
      </c>
      <c r="C64" s="35" t="s">
        <v>613</v>
      </c>
      <c r="D64" s="34">
        <v>5.400253188E9</v>
      </c>
      <c r="E64" s="35" t="s">
        <v>614</v>
      </c>
      <c r="F64" s="36">
        <v>109.943</v>
      </c>
      <c r="G64" s="36">
        <v>120.305</v>
      </c>
      <c r="H64" s="29"/>
      <c r="I64" s="29"/>
    </row>
    <row r="65" ht="15.75" customHeight="1">
      <c r="A65" s="34">
        <v>2.0</v>
      </c>
      <c r="B65" s="35" t="s">
        <v>343</v>
      </c>
      <c r="C65" s="35" t="s">
        <v>615</v>
      </c>
      <c r="D65" s="34">
        <v>5.400478632E9</v>
      </c>
      <c r="E65" s="35" t="s">
        <v>616</v>
      </c>
      <c r="F65" s="36">
        <v>648.135</v>
      </c>
      <c r="G65" s="36">
        <v>709.22</v>
      </c>
      <c r="H65" s="29"/>
      <c r="I65" s="29"/>
    </row>
    <row r="66" ht="15.75" customHeight="1">
      <c r="A66" s="34">
        <v>3.0</v>
      </c>
      <c r="B66" s="35" t="s">
        <v>345</v>
      </c>
      <c r="C66" s="35" t="s">
        <v>617</v>
      </c>
      <c r="D66" s="34">
        <v>5.400208756E9</v>
      </c>
      <c r="E66" s="35" t="s">
        <v>618</v>
      </c>
      <c r="F66" s="36">
        <v>369.109</v>
      </c>
      <c r="G66" s="36">
        <v>403.897</v>
      </c>
      <c r="H66" s="29"/>
      <c r="I66" s="29"/>
    </row>
    <row r="67" ht="15.75" customHeight="1">
      <c r="A67" s="34">
        <v>4.0</v>
      </c>
      <c r="B67" s="35" t="s">
        <v>347</v>
      </c>
      <c r="C67" s="35" t="s">
        <v>619</v>
      </c>
      <c r="D67" s="34">
        <v>5.50023097E9</v>
      </c>
      <c r="E67" s="35" t="s">
        <v>620</v>
      </c>
      <c r="F67" s="36">
        <v>359.956</v>
      </c>
      <c r="G67" s="36">
        <v>393.882</v>
      </c>
      <c r="H67" s="29"/>
      <c r="I67" s="29"/>
    </row>
    <row r="68" ht="15.75" customHeight="1">
      <c r="A68" s="34">
        <v>5.0</v>
      </c>
      <c r="B68" s="35" t="s">
        <v>349</v>
      </c>
      <c r="C68" s="35" t="s">
        <v>621</v>
      </c>
      <c r="D68" s="34">
        <v>5.600177368E9</v>
      </c>
      <c r="E68" s="35" t="s">
        <v>622</v>
      </c>
      <c r="F68" s="36">
        <v>171.86</v>
      </c>
      <c r="G68" s="36">
        <v>188.058</v>
      </c>
      <c r="H68" s="29"/>
      <c r="I68" s="29"/>
    </row>
    <row r="69" ht="15.75" customHeight="1">
      <c r="A69" s="34">
        <v>6.0</v>
      </c>
      <c r="B69" s="35" t="s">
        <v>351</v>
      </c>
      <c r="C69" s="35" t="s">
        <v>624</v>
      </c>
      <c r="D69" s="34">
        <v>5.200216647E9</v>
      </c>
      <c r="E69" s="35" t="s">
        <v>625</v>
      </c>
      <c r="F69" s="36">
        <v>400.233</v>
      </c>
      <c r="G69" s="36">
        <v>437.954</v>
      </c>
      <c r="H69" s="29"/>
      <c r="I69" s="29"/>
    </row>
    <row r="70" ht="15.75" customHeight="1">
      <c r="A70" s="34">
        <v>7.0</v>
      </c>
      <c r="B70" s="35" t="s">
        <v>353</v>
      </c>
      <c r="C70" s="35" t="s">
        <v>624</v>
      </c>
      <c r="D70" s="34">
        <v>5.200213597E9</v>
      </c>
      <c r="E70" s="35" t="s">
        <v>626</v>
      </c>
      <c r="F70" s="36">
        <v>598.709</v>
      </c>
      <c r="G70" s="36">
        <v>655.136</v>
      </c>
      <c r="H70" s="29"/>
      <c r="I70" s="29"/>
    </row>
    <row r="71" ht="15.75" customHeight="1">
      <c r="A71" s="34">
        <v>8.0</v>
      </c>
      <c r="B71" s="35" t="s">
        <v>355</v>
      </c>
      <c r="C71" s="35" t="s">
        <v>627</v>
      </c>
      <c r="D71" s="34">
        <v>2.600116271E9</v>
      </c>
      <c r="E71" s="35" t="s">
        <v>628</v>
      </c>
      <c r="F71" s="36">
        <v>126.022</v>
      </c>
      <c r="G71" s="36">
        <v>137.899</v>
      </c>
      <c r="H71" s="29"/>
      <c r="I71" s="29"/>
    </row>
    <row r="72" ht="15.75" customHeight="1">
      <c r="A72" s="34">
        <v>9.0</v>
      </c>
      <c r="B72" s="35" t="s">
        <v>357</v>
      </c>
      <c r="C72" s="35" t="s">
        <v>629</v>
      </c>
      <c r="D72" s="34">
        <v>2.600279082E9</v>
      </c>
      <c r="E72" s="35" t="s">
        <v>630</v>
      </c>
      <c r="F72" s="36">
        <v>836.948</v>
      </c>
      <c r="G72" s="36">
        <v>915.828</v>
      </c>
      <c r="H72" s="29"/>
      <c r="I72" s="29"/>
    </row>
    <row r="73" ht="15.75" customHeight="1">
      <c r="A73" s="34">
        <v>10.0</v>
      </c>
      <c r="B73" s="35" t="s">
        <v>359</v>
      </c>
      <c r="C73" s="35" t="s">
        <v>631</v>
      </c>
      <c r="D73" s="34">
        <v>5.00011917E9</v>
      </c>
      <c r="E73" s="35" t="s">
        <v>632</v>
      </c>
      <c r="F73" s="36">
        <v>124.008</v>
      </c>
      <c r="G73" s="36">
        <v>135.696</v>
      </c>
      <c r="H73" s="29"/>
      <c r="I73" s="29"/>
    </row>
    <row r="74" ht="15.75" customHeight="1">
      <c r="A74" s="34">
        <v>11.0</v>
      </c>
      <c r="B74" s="35" t="s">
        <v>361</v>
      </c>
      <c r="C74" s="35" t="s">
        <v>631</v>
      </c>
      <c r="D74" s="34">
        <v>5.000280116E9</v>
      </c>
      <c r="E74" s="35" t="s">
        <v>633</v>
      </c>
      <c r="F74" s="36">
        <v>638.702</v>
      </c>
      <c r="G74" s="36">
        <v>698.898</v>
      </c>
      <c r="H74" s="29"/>
      <c r="I74" s="29"/>
    </row>
    <row r="75" ht="15.75" customHeight="1">
      <c r="A75" s="34">
        <v>12.0</v>
      </c>
      <c r="B75" s="35" t="s">
        <v>363</v>
      </c>
      <c r="C75" s="35" t="s">
        <v>634</v>
      </c>
      <c r="D75" s="34">
        <v>4.600409377E9</v>
      </c>
      <c r="E75" s="35" t="s">
        <v>635</v>
      </c>
      <c r="F75" s="36">
        <v>592.455</v>
      </c>
      <c r="G75" s="36">
        <v>648.292</v>
      </c>
      <c r="H75" s="29"/>
      <c r="I75" s="29"/>
    </row>
    <row r="76" ht="15.75" customHeight="1">
      <c r="A76" s="34">
        <v>13.0</v>
      </c>
      <c r="B76" s="35" t="s">
        <v>365</v>
      </c>
      <c r="C76" s="35" t="s">
        <v>636</v>
      </c>
      <c r="D76" s="34">
        <v>4.60042224E9</v>
      </c>
      <c r="E76" s="35" t="s">
        <v>637</v>
      </c>
      <c r="F76" s="36">
        <v>480.806</v>
      </c>
      <c r="G76" s="36">
        <v>526.121</v>
      </c>
      <c r="H76" s="29"/>
      <c r="I76" s="29"/>
    </row>
    <row r="77" ht="15.75" customHeight="1">
      <c r="A77" s="34">
        <v>14.0</v>
      </c>
      <c r="B77" s="35" t="s">
        <v>367</v>
      </c>
      <c r="C77" s="35" t="s">
        <v>638</v>
      </c>
      <c r="D77" s="34">
        <v>4.600964966E9</v>
      </c>
      <c r="E77" s="35" t="s">
        <v>639</v>
      </c>
      <c r="F77" s="36">
        <v>404.692</v>
      </c>
      <c r="G77" s="36">
        <v>442.833</v>
      </c>
      <c r="H77" s="29"/>
      <c r="I77" s="29"/>
    </row>
    <row r="78" ht="15.75" customHeight="1">
      <c r="A78" s="34">
        <v>15.0</v>
      </c>
      <c r="B78" s="35" t="s">
        <v>369</v>
      </c>
      <c r="C78" s="35" t="s">
        <v>640</v>
      </c>
      <c r="D78" s="34">
        <v>4.900225282E9</v>
      </c>
      <c r="E78" s="35" t="s">
        <v>641</v>
      </c>
      <c r="F78" s="36">
        <v>679.217</v>
      </c>
      <c r="G78" s="36">
        <v>743.232</v>
      </c>
      <c r="H78" s="29"/>
      <c r="I78" s="29"/>
    </row>
    <row r="79" ht="15.75" customHeight="1">
      <c r="A79" s="34">
        <v>16.0</v>
      </c>
      <c r="B79" s="35" t="s">
        <v>371</v>
      </c>
      <c r="C79" s="35" t="s">
        <v>642</v>
      </c>
      <c r="D79" s="34">
        <v>4.90010265E9</v>
      </c>
      <c r="E79" s="35" t="s">
        <v>643</v>
      </c>
      <c r="F79" s="36">
        <v>104.067</v>
      </c>
      <c r="G79" s="36">
        <v>113.875</v>
      </c>
      <c r="H79" s="29"/>
      <c r="I79" s="29"/>
    </row>
    <row r="80" ht="15.75" customHeight="1">
      <c r="A80" s="34">
        <v>17.0</v>
      </c>
      <c r="B80" s="35" t="s">
        <v>373</v>
      </c>
      <c r="C80" s="35" t="s">
        <v>644</v>
      </c>
      <c r="D80" s="34">
        <v>5.700804196E9</v>
      </c>
      <c r="E80" s="35" t="s">
        <v>645</v>
      </c>
      <c r="F80" s="36" t="s">
        <v>646</v>
      </c>
      <c r="G80" s="36" t="s">
        <v>647</v>
      </c>
      <c r="H80" s="29"/>
      <c r="I80" s="29"/>
    </row>
    <row r="81" ht="15.75" customHeight="1">
      <c r="A81" s="34">
        <v>18.0</v>
      </c>
      <c r="B81" s="35" t="s">
        <v>375</v>
      </c>
      <c r="C81" s="35" t="s">
        <v>648</v>
      </c>
      <c r="D81" s="34" t="s">
        <v>376</v>
      </c>
      <c r="E81" s="35" t="s">
        <v>649</v>
      </c>
      <c r="F81" s="36">
        <v>933.095</v>
      </c>
      <c r="G81" s="36" t="s">
        <v>650</v>
      </c>
      <c r="H81" s="29"/>
      <c r="I81" s="29"/>
    </row>
    <row r="82" ht="15.75" customHeight="1">
      <c r="A82" s="34">
        <v>19.0</v>
      </c>
      <c r="B82" s="35" t="s">
        <v>377</v>
      </c>
      <c r="C82" s="35" t="s">
        <v>651</v>
      </c>
      <c r="D82" s="34">
        <v>5.700466028E9</v>
      </c>
      <c r="E82" s="35" t="s">
        <v>652</v>
      </c>
      <c r="F82" s="36">
        <v>989.857</v>
      </c>
      <c r="G82" s="36" t="s">
        <v>653</v>
      </c>
      <c r="H82" s="29"/>
      <c r="I82" s="29"/>
    </row>
    <row r="83" ht="15.75" customHeight="1">
      <c r="A83" s="34">
        <v>20.0</v>
      </c>
      <c r="B83" s="35" t="s">
        <v>379</v>
      </c>
      <c r="C83" s="35" t="s">
        <v>651</v>
      </c>
      <c r="D83" s="34">
        <v>5.700360871E9</v>
      </c>
      <c r="E83" s="35" t="s">
        <v>654</v>
      </c>
      <c r="F83" s="36" t="s">
        <v>655</v>
      </c>
      <c r="G83" s="36" t="s">
        <v>656</v>
      </c>
      <c r="H83" s="29"/>
      <c r="I83" s="29"/>
    </row>
    <row r="84" ht="15.75" customHeight="1">
      <c r="A84" s="34">
        <v>21.0</v>
      </c>
      <c r="B84" s="35" t="s">
        <v>381</v>
      </c>
      <c r="C84" s="35" t="s">
        <v>657</v>
      </c>
      <c r="D84" s="34">
        <v>7.00117613E8</v>
      </c>
      <c r="E84" s="35" t="s">
        <v>658</v>
      </c>
      <c r="F84" s="36" t="s">
        <v>659</v>
      </c>
      <c r="G84" s="36" t="s">
        <v>660</v>
      </c>
      <c r="H84" s="29"/>
      <c r="I84" s="29"/>
    </row>
    <row r="85" ht="15.75" customHeight="1">
      <c r="A85" s="34">
        <v>22.0</v>
      </c>
      <c r="B85" s="35" t="s">
        <v>383</v>
      </c>
      <c r="C85" s="35" t="s">
        <v>661</v>
      </c>
      <c r="D85" s="34">
        <v>7.00222569E8</v>
      </c>
      <c r="E85" s="35" t="s">
        <v>662</v>
      </c>
      <c r="F85" s="36">
        <v>133.575</v>
      </c>
      <c r="G85" s="36">
        <v>146.165</v>
      </c>
      <c r="H85" s="29"/>
      <c r="I85" s="29"/>
    </row>
    <row r="86" ht="15.75" customHeight="1">
      <c r="A86" s="34">
        <v>23.0</v>
      </c>
      <c r="B86" s="35" t="s">
        <v>385</v>
      </c>
      <c r="C86" s="35" t="s">
        <v>663</v>
      </c>
      <c r="D86" s="34">
        <v>7.00651198E8</v>
      </c>
      <c r="E86" s="35" t="s">
        <v>664</v>
      </c>
      <c r="F86" s="36" t="s">
        <v>665</v>
      </c>
      <c r="G86" s="36" t="s">
        <v>666</v>
      </c>
      <c r="H86" s="29"/>
      <c r="I86" s="29"/>
    </row>
    <row r="87" ht="15.75" customHeight="1">
      <c r="A87" s="34">
        <v>24.0</v>
      </c>
      <c r="B87" s="35" t="s">
        <v>387</v>
      </c>
      <c r="C87" s="35" t="s">
        <v>667</v>
      </c>
      <c r="D87" s="34">
        <v>7.00507853E8</v>
      </c>
      <c r="E87" s="35" t="s">
        <v>668</v>
      </c>
      <c r="F87" s="36">
        <v>822.644</v>
      </c>
      <c r="G87" s="36">
        <v>900.177</v>
      </c>
      <c r="H87" s="29"/>
      <c r="I87" s="29"/>
    </row>
    <row r="88" ht="15.75" customHeight="1">
      <c r="A88" s="34">
        <v>25.0</v>
      </c>
      <c r="B88" s="35" t="s">
        <v>389</v>
      </c>
      <c r="C88" s="35" t="s">
        <v>661</v>
      </c>
      <c r="D88" s="34">
        <v>7.00576529E8</v>
      </c>
      <c r="E88" s="35" t="s">
        <v>669</v>
      </c>
      <c r="F88" s="36" t="s">
        <v>670</v>
      </c>
      <c r="G88" s="36" t="s">
        <v>671</v>
      </c>
      <c r="H88" s="29"/>
      <c r="I88" s="29"/>
    </row>
    <row r="89" ht="15.75" customHeight="1">
      <c r="A89" s="34">
        <v>26.0</v>
      </c>
      <c r="B89" s="35" t="s">
        <v>391</v>
      </c>
      <c r="C89" s="35" t="s">
        <v>672</v>
      </c>
      <c r="D89" s="34">
        <v>7.00507853E8</v>
      </c>
      <c r="E89" s="35" t="s">
        <v>668</v>
      </c>
      <c r="F89" s="36">
        <v>714.977</v>
      </c>
      <c r="G89" s="36">
        <v>782.362</v>
      </c>
      <c r="H89" s="29"/>
      <c r="I89" s="29"/>
    </row>
    <row r="90" ht="15.75" customHeight="1">
      <c r="A90" s="34">
        <v>27.0</v>
      </c>
      <c r="B90" s="35" t="s">
        <v>392</v>
      </c>
      <c r="C90" s="35" t="s">
        <v>673</v>
      </c>
      <c r="D90" s="34">
        <v>8.00004797E8</v>
      </c>
      <c r="E90" s="35" t="s">
        <v>674</v>
      </c>
      <c r="F90" s="36" t="s">
        <v>675</v>
      </c>
      <c r="G90" s="36" t="s">
        <v>676</v>
      </c>
      <c r="H90" s="29"/>
      <c r="I90" s="29"/>
    </row>
    <row r="91" ht="15.75" customHeight="1">
      <c r="A91" s="34">
        <v>28.0</v>
      </c>
      <c r="B91" s="35" t="s">
        <v>394</v>
      </c>
      <c r="C91" s="35" t="s">
        <v>677</v>
      </c>
      <c r="D91" s="34">
        <v>8.00297991E8</v>
      </c>
      <c r="E91" s="35" t="s">
        <v>678</v>
      </c>
      <c r="F91" s="36">
        <v>357.054</v>
      </c>
      <c r="G91" s="36">
        <v>390.705</v>
      </c>
      <c r="H91" s="29"/>
      <c r="I91" s="29"/>
    </row>
    <row r="92" ht="15.75" customHeight="1">
      <c r="A92" s="34">
        <v>29.0</v>
      </c>
      <c r="B92" s="35" t="s">
        <v>396</v>
      </c>
      <c r="C92" s="35" t="s">
        <v>679</v>
      </c>
      <c r="D92" s="34">
        <v>2.001102E8</v>
      </c>
      <c r="E92" s="35" t="s">
        <v>680</v>
      </c>
      <c r="F92" s="36" t="s">
        <v>681</v>
      </c>
      <c r="G92" s="36" t="s">
        <v>682</v>
      </c>
      <c r="H92" s="29"/>
      <c r="I92" s="29"/>
    </row>
    <row r="93" ht="15.75" customHeight="1">
      <c r="A93" s="34">
        <v>30.0</v>
      </c>
      <c r="B93" s="35" t="s">
        <v>398</v>
      </c>
      <c r="C93" s="35" t="s">
        <v>683</v>
      </c>
      <c r="D93" s="34">
        <v>2.00155219E8</v>
      </c>
      <c r="E93" s="35" t="s">
        <v>684</v>
      </c>
      <c r="F93" s="36" t="s">
        <v>685</v>
      </c>
      <c r="G93" s="36" t="s">
        <v>686</v>
      </c>
      <c r="H93" s="29"/>
      <c r="I93" s="29"/>
    </row>
    <row r="94" ht="15.75" customHeight="1">
      <c r="A94" s="34">
        <v>31.0</v>
      </c>
      <c r="B94" s="35" t="s">
        <v>400</v>
      </c>
      <c r="C94" s="35" t="s">
        <v>687</v>
      </c>
      <c r="D94" s="34">
        <v>2.700280638E9</v>
      </c>
      <c r="E94" s="35" t="s">
        <v>688</v>
      </c>
      <c r="F94" s="36" t="s">
        <v>689</v>
      </c>
      <c r="G94" s="36" t="s">
        <v>690</v>
      </c>
      <c r="H94" s="29"/>
      <c r="I94" s="29"/>
    </row>
    <row r="95" ht="15.75" customHeight="1">
      <c r="A95" s="34">
        <v>32.0</v>
      </c>
      <c r="B95" s="35" t="s">
        <v>403</v>
      </c>
      <c r="C95" s="35" t="s">
        <v>691</v>
      </c>
      <c r="D95" s="34">
        <v>2.700260173E9</v>
      </c>
      <c r="E95" s="35" t="s">
        <v>692</v>
      </c>
      <c r="F95" s="36" t="s">
        <v>693</v>
      </c>
      <c r="G95" s="36" t="s">
        <v>694</v>
      </c>
      <c r="H95" s="29"/>
      <c r="I95" s="29"/>
    </row>
    <row r="96" ht="15.75" customHeight="1">
      <c r="A96" s="34">
        <v>33.0</v>
      </c>
      <c r="B96" s="35" t="s">
        <v>405</v>
      </c>
      <c r="C96" s="35" t="s">
        <v>695</v>
      </c>
      <c r="D96" s="34">
        <v>2.80023262E9</v>
      </c>
      <c r="E96" s="35" t="s">
        <v>696</v>
      </c>
      <c r="F96" s="36" t="s">
        <v>697</v>
      </c>
      <c r="G96" s="36" t="s">
        <v>698</v>
      </c>
      <c r="H96" s="29"/>
      <c r="I96" s="29"/>
    </row>
    <row r="97" ht="15.75" customHeight="1">
      <c r="A97" s="34">
        <v>34.0</v>
      </c>
      <c r="B97" s="35" t="s">
        <v>407</v>
      </c>
      <c r="C97" s="35" t="s">
        <v>699</v>
      </c>
      <c r="D97" s="34" t="s">
        <v>408</v>
      </c>
      <c r="E97" s="35" t="s">
        <v>700</v>
      </c>
      <c r="F97" s="36" t="s">
        <v>701</v>
      </c>
      <c r="G97" s="36" t="s">
        <v>702</v>
      </c>
      <c r="H97" s="29"/>
      <c r="I97" s="29"/>
    </row>
    <row r="98" ht="15.75" customHeight="1">
      <c r="A98" s="34">
        <v>35.0</v>
      </c>
      <c r="B98" s="35" t="s">
        <v>409</v>
      </c>
      <c r="C98" s="35" t="s">
        <v>703</v>
      </c>
      <c r="D98" s="34">
        <v>3.04186356E8</v>
      </c>
      <c r="E98" s="35" t="s">
        <v>704</v>
      </c>
      <c r="F98" s="36">
        <v>499.301</v>
      </c>
      <c r="G98" s="36">
        <v>546.359</v>
      </c>
      <c r="H98" s="29"/>
      <c r="I98" s="29"/>
    </row>
    <row r="99" ht="15.75" customHeight="1">
      <c r="A99" s="34">
        <v>36.0</v>
      </c>
      <c r="B99" s="35" t="s">
        <v>411</v>
      </c>
      <c r="C99" s="35" t="s">
        <v>705</v>
      </c>
      <c r="D99" s="34">
        <v>2.800464741E9</v>
      </c>
      <c r="E99" s="35" t="s">
        <v>706</v>
      </c>
      <c r="F99" s="36" t="s">
        <v>707</v>
      </c>
      <c r="G99" s="36" t="s">
        <v>708</v>
      </c>
      <c r="H99" s="29"/>
      <c r="I99" s="29"/>
    </row>
    <row r="100" ht="15.75" customHeight="1">
      <c r="A100" s="34">
        <v>37.0</v>
      </c>
      <c r="B100" s="35" t="s">
        <v>413</v>
      </c>
      <c r="C100" s="35" t="s">
        <v>709</v>
      </c>
      <c r="D100" s="34">
        <v>2.901132319E9</v>
      </c>
      <c r="E100" s="35" t="s">
        <v>710</v>
      </c>
      <c r="F100" s="36">
        <v>841.042</v>
      </c>
      <c r="G100" s="36">
        <v>920.308</v>
      </c>
      <c r="H100" s="29"/>
      <c r="I100" s="29"/>
    </row>
    <row r="101" ht="15.75" customHeight="1">
      <c r="A101" s="34">
        <v>38.0</v>
      </c>
      <c r="B101" s="35" t="s">
        <v>415</v>
      </c>
      <c r="C101" s="35" t="s">
        <v>711</v>
      </c>
      <c r="D101" s="34">
        <v>2.900601487E9</v>
      </c>
      <c r="E101" s="35" t="s">
        <v>712</v>
      </c>
      <c r="F101" s="36" t="s">
        <v>713</v>
      </c>
      <c r="G101" s="36" t="s">
        <v>714</v>
      </c>
      <c r="H101" s="29"/>
      <c r="I101" s="29"/>
    </row>
    <row r="102" ht="15.75" customHeight="1">
      <c r="A102" s="34">
        <v>39.0</v>
      </c>
      <c r="B102" s="35" t="s">
        <v>417</v>
      </c>
      <c r="C102" s="35" t="s">
        <v>715</v>
      </c>
      <c r="D102" s="34">
        <v>2.900325156E9</v>
      </c>
      <c r="E102" s="35" t="s">
        <v>716</v>
      </c>
      <c r="F102" s="36">
        <v>507.149</v>
      </c>
      <c r="G102" s="36">
        <v>554.947</v>
      </c>
      <c r="H102" s="29"/>
      <c r="I102" s="29"/>
    </row>
    <row r="103" ht="15.75" customHeight="1">
      <c r="A103" s="34">
        <v>40.0</v>
      </c>
      <c r="B103" s="35" t="s">
        <v>419</v>
      </c>
      <c r="C103" s="35" t="s">
        <v>717</v>
      </c>
      <c r="D103" s="34">
        <v>2.900329295E9</v>
      </c>
      <c r="E103" s="35" t="s">
        <v>718</v>
      </c>
      <c r="F103" s="36" t="s">
        <v>719</v>
      </c>
      <c r="G103" s="36" t="s">
        <v>720</v>
      </c>
      <c r="H103" s="29"/>
      <c r="I103" s="29"/>
    </row>
    <row r="104" ht="15.75" customHeight="1">
      <c r="A104" s="34">
        <v>41.0</v>
      </c>
      <c r="B104" s="35" t="s">
        <v>421</v>
      </c>
      <c r="C104" s="35" t="s">
        <v>721</v>
      </c>
      <c r="D104" s="34">
        <v>3.100946237E9</v>
      </c>
      <c r="E104" s="35" t="s">
        <v>722</v>
      </c>
      <c r="F104" s="36" t="s">
        <v>723</v>
      </c>
      <c r="G104" s="36" t="s">
        <v>724</v>
      </c>
      <c r="H104" s="29"/>
      <c r="I104" s="29"/>
    </row>
    <row r="105" ht="15.75" customHeight="1">
      <c r="A105" s="34">
        <v>42.0</v>
      </c>
      <c r="B105" s="35" t="s">
        <v>423</v>
      </c>
      <c r="C105" s="35" t="s">
        <v>725</v>
      </c>
      <c r="D105" s="34">
        <v>3.100405421E9</v>
      </c>
      <c r="E105" s="35" t="s">
        <v>722</v>
      </c>
      <c r="F105" s="36">
        <v>727.399</v>
      </c>
      <c r="G105" s="36">
        <v>795.955</v>
      </c>
      <c r="H105" s="29"/>
      <c r="I105" s="29"/>
    </row>
    <row r="106" ht="15.75" customHeight="1">
      <c r="A106" s="34">
        <v>43.0</v>
      </c>
      <c r="B106" s="35" t="s">
        <v>425</v>
      </c>
      <c r="C106" s="35" t="s">
        <v>726</v>
      </c>
      <c r="D106" s="34" t="s">
        <v>426</v>
      </c>
      <c r="E106" s="35" t="s">
        <v>727</v>
      </c>
      <c r="F106" s="36">
        <v>271.549</v>
      </c>
      <c r="G106" s="36">
        <v>297.142</v>
      </c>
      <c r="H106" s="29"/>
      <c r="I106" s="29"/>
    </row>
    <row r="107" ht="15.75" customHeight="1">
      <c r="A107" s="34">
        <v>44.0</v>
      </c>
      <c r="B107" s="35" t="s">
        <v>427</v>
      </c>
      <c r="C107" s="35" t="s">
        <v>728</v>
      </c>
      <c r="D107" s="34">
        <v>3.300100875E9</v>
      </c>
      <c r="E107" s="35" t="s">
        <v>729</v>
      </c>
      <c r="F107" s="36">
        <v>354.936</v>
      </c>
      <c r="G107" s="36">
        <v>388.387</v>
      </c>
      <c r="H107" s="29"/>
      <c r="I107" s="29"/>
    </row>
    <row r="108" ht="15.75" customHeight="1">
      <c r="A108" s="34">
        <v>45.0</v>
      </c>
      <c r="B108" s="35" t="s">
        <v>429</v>
      </c>
      <c r="C108" s="35" t="s">
        <v>730</v>
      </c>
      <c r="D108" s="34">
        <v>3.300384306E9</v>
      </c>
      <c r="E108" s="35" t="s">
        <v>731</v>
      </c>
      <c r="F108" s="36" t="s">
        <v>732</v>
      </c>
      <c r="G108" s="36" t="s">
        <v>733</v>
      </c>
      <c r="H108" s="29"/>
      <c r="I108" s="29"/>
    </row>
    <row r="109" ht="15.75" customHeight="1">
      <c r="A109" s="34">
        <v>46.0</v>
      </c>
      <c r="B109" s="35" t="s">
        <v>431</v>
      </c>
      <c r="C109" s="35" t="s">
        <v>734</v>
      </c>
      <c r="D109" s="34">
        <v>4.001193087E9</v>
      </c>
      <c r="E109" s="35" t="s">
        <v>735</v>
      </c>
      <c r="F109" s="36">
        <v>835.087</v>
      </c>
      <c r="G109" s="36">
        <v>913.792</v>
      </c>
      <c r="H109" s="29"/>
      <c r="I109" s="29"/>
    </row>
    <row r="110" ht="15.75" customHeight="1">
      <c r="A110" s="34">
        <v>47.0</v>
      </c>
      <c r="B110" s="35" t="s">
        <v>433</v>
      </c>
      <c r="C110" s="35" t="s">
        <v>736</v>
      </c>
      <c r="D110" s="34" t="s">
        <v>434</v>
      </c>
      <c r="E110" s="35" t="s">
        <v>737</v>
      </c>
      <c r="F110" s="36" t="s">
        <v>738</v>
      </c>
      <c r="G110" s="36" t="s">
        <v>739</v>
      </c>
      <c r="H110" s="29"/>
      <c r="I110" s="29"/>
    </row>
    <row r="111" ht="15.75" customHeight="1">
      <c r="A111" s="34">
        <v>48.0</v>
      </c>
      <c r="B111" s="35" t="s">
        <v>435</v>
      </c>
      <c r="C111" s="35" t="s">
        <v>740</v>
      </c>
      <c r="D111" s="34" t="s">
        <v>436</v>
      </c>
      <c r="E111" s="35" t="s">
        <v>741</v>
      </c>
      <c r="F111" s="36" t="s">
        <v>742</v>
      </c>
      <c r="G111" s="36" t="s">
        <v>743</v>
      </c>
      <c r="H111" s="29"/>
      <c r="I111" s="29"/>
    </row>
    <row r="112" ht="15.75" customHeight="1">
      <c r="A112" s="34">
        <v>49.0</v>
      </c>
      <c r="B112" s="35" t="s">
        <v>444</v>
      </c>
      <c r="C112" s="35" t="s">
        <v>744</v>
      </c>
      <c r="D112" s="34" t="s">
        <v>446</v>
      </c>
      <c r="E112" s="35" t="s">
        <v>745</v>
      </c>
      <c r="F112" s="36" t="s">
        <v>746</v>
      </c>
      <c r="G112" s="36" t="s">
        <v>747</v>
      </c>
      <c r="H112" s="29"/>
      <c r="I112" s="29"/>
    </row>
    <row r="113" ht="15.75" customHeight="1">
      <c r="A113" s="34">
        <v>50.0</v>
      </c>
      <c r="B113" s="35" t="s">
        <v>448</v>
      </c>
      <c r="C113" s="35" t="s">
        <v>748</v>
      </c>
      <c r="D113" s="34" t="s">
        <v>449</v>
      </c>
      <c r="E113" s="35" t="s">
        <v>749</v>
      </c>
      <c r="F113" s="36" t="s">
        <v>750</v>
      </c>
      <c r="G113" s="36" t="s">
        <v>751</v>
      </c>
      <c r="H113" s="29"/>
      <c r="I113" s="29"/>
    </row>
    <row r="114" ht="15.75" customHeight="1">
      <c r="A114" s="34">
        <v>51.0</v>
      </c>
      <c r="B114" s="35" t="s">
        <v>454</v>
      </c>
      <c r="C114" s="35" t="s">
        <v>752</v>
      </c>
      <c r="D114" s="34" t="s">
        <v>455</v>
      </c>
      <c r="E114" s="35" t="s">
        <v>753</v>
      </c>
      <c r="F114" s="36" t="s">
        <v>754</v>
      </c>
      <c r="G114" s="36" t="s">
        <v>755</v>
      </c>
      <c r="H114" s="29"/>
      <c r="I114" s="29"/>
    </row>
    <row r="115" ht="15.75" customHeight="1">
      <c r="A115" s="35"/>
      <c r="B115" s="33" t="s">
        <v>756</v>
      </c>
      <c r="F115" s="38" t="s">
        <v>757</v>
      </c>
      <c r="G115" s="38" t="s">
        <v>758</v>
      </c>
      <c r="H115" s="29"/>
      <c r="I115" s="29"/>
    </row>
    <row r="116" ht="15.75" customHeight="1">
      <c r="A116" s="13"/>
      <c r="B116" s="13"/>
      <c r="C116" s="13"/>
      <c r="D116" s="13"/>
      <c r="E116" s="13"/>
      <c r="F116" s="13"/>
      <c r="G116" s="13"/>
    </row>
    <row r="117" ht="15.75" customHeight="1">
      <c r="A117" s="13"/>
      <c r="B117" s="13"/>
      <c r="C117" s="13"/>
      <c r="D117" s="13"/>
      <c r="E117" s="13"/>
      <c r="F117" s="13"/>
      <c r="G117" s="13"/>
    </row>
    <row r="118" ht="15.75" customHeight="1">
      <c r="A118" s="13"/>
      <c r="B118" s="13"/>
      <c r="C118" s="13"/>
      <c r="D118" s="13"/>
      <c r="E118" s="13"/>
      <c r="F118" s="13"/>
      <c r="G118" s="13"/>
    </row>
    <row r="119" ht="15.75" customHeight="1">
      <c r="A119" s="13"/>
      <c r="B119" s="13"/>
      <c r="C119" s="13"/>
      <c r="D119" s="13"/>
      <c r="E119" s="13"/>
      <c r="F119" s="13"/>
      <c r="G119" s="13"/>
    </row>
    <row r="120" ht="15.75" customHeight="1">
      <c r="A120" s="13"/>
      <c r="B120" s="13"/>
      <c r="C120" s="13"/>
      <c r="D120" s="13"/>
      <c r="E120" s="13"/>
      <c r="F120" s="13"/>
      <c r="G120" s="13"/>
    </row>
    <row r="121" ht="15.75" customHeight="1">
      <c r="A121" s="13"/>
      <c r="B121" s="13"/>
      <c r="C121" s="13"/>
      <c r="D121" s="13"/>
      <c r="E121" s="13"/>
      <c r="F121" s="13"/>
      <c r="G121" s="13"/>
    </row>
    <row r="122" ht="15.75" customHeight="1">
      <c r="A122" s="13"/>
      <c r="B122" s="13"/>
      <c r="C122" s="13"/>
      <c r="D122" s="13"/>
      <c r="E122" s="13"/>
      <c r="F122" s="13"/>
      <c r="G122" s="13"/>
    </row>
    <row r="123" ht="15.75" customHeight="1">
      <c r="A123" s="13"/>
      <c r="B123" s="13"/>
      <c r="C123" s="13"/>
      <c r="D123" s="13"/>
      <c r="E123" s="13"/>
      <c r="F123" s="13"/>
      <c r="G123" s="13"/>
    </row>
    <row r="124" ht="15.75" customHeight="1">
      <c r="A124" s="13"/>
      <c r="B124" s="13"/>
      <c r="C124" s="13"/>
      <c r="D124" s="13"/>
      <c r="E124" s="13"/>
      <c r="F124" s="13"/>
      <c r="G124" s="13"/>
    </row>
    <row r="125" ht="15.75" customHeight="1">
      <c r="A125" s="13"/>
      <c r="B125" s="13"/>
      <c r="C125" s="13"/>
      <c r="D125" s="13"/>
      <c r="E125" s="13"/>
      <c r="F125" s="13"/>
      <c r="G125" s="13"/>
    </row>
    <row r="126" ht="15.75" customHeight="1">
      <c r="A126" s="13"/>
      <c r="B126" s="13"/>
      <c r="C126" s="13"/>
      <c r="D126" s="13"/>
      <c r="E126" s="13"/>
      <c r="F126" s="13"/>
      <c r="G126" s="13"/>
    </row>
    <row r="127" ht="15.75" customHeight="1">
      <c r="A127" s="13"/>
      <c r="B127" s="13"/>
      <c r="C127" s="13"/>
      <c r="D127" s="13"/>
      <c r="E127" s="13"/>
      <c r="F127" s="13"/>
      <c r="G127" s="13"/>
    </row>
    <row r="128" ht="15.75" customHeight="1">
      <c r="A128" s="13"/>
      <c r="B128" s="13"/>
      <c r="C128" s="13"/>
      <c r="D128" s="13"/>
      <c r="E128" s="13"/>
      <c r="F128" s="13"/>
      <c r="G128" s="13"/>
    </row>
    <row r="129" ht="15.75" customHeight="1">
      <c r="A129" s="13"/>
      <c r="B129" s="13"/>
      <c r="C129" s="13"/>
      <c r="D129" s="13"/>
      <c r="E129" s="13"/>
      <c r="F129" s="13"/>
      <c r="G129" s="13"/>
    </row>
    <row r="130" ht="15.75" customHeight="1">
      <c r="A130" s="13"/>
      <c r="B130" s="13"/>
      <c r="C130" s="13"/>
      <c r="D130" s="13"/>
      <c r="E130" s="13"/>
      <c r="F130" s="13"/>
      <c r="G130" s="13"/>
    </row>
    <row r="131" ht="15.75" customHeight="1">
      <c r="A131" s="13"/>
      <c r="B131" s="13"/>
      <c r="C131" s="13"/>
      <c r="D131" s="13"/>
      <c r="E131" s="13"/>
      <c r="F131" s="13"/>
      <c r="G131" s="13"/>
    </row>
    <row r="132" ht="15.75" customHeight="1">
      <c r="A132" s="13"/>
      <c r="B132" s="13"/>
      <c r="C132" s="13"/>
      <c r="D132" s="13"/>
      <c r="E132" s="13"/>
      <c r="F132" s="13"/>
      <c r="G132" s="13"/>
    </row>
    <row r="133" ht="15.75" customHeight="1">
      <c r="A133" s="13"/>
      <c r="B133" s="13"/>
      <c r="C133" s="13"/>
      <c r="D133" s="13"/>
      <c r="E133" s="13"/>
      <c r="F133" s="13"/>
      <c r="G133" s="13"/>
    </row>
    <row r="134" ht="15.75" customHeight="1">
      <c r="A134" s="13"/>
      <c r="B134" s="13"/>
      <c r="C134" s="13"/>
      <c r="D134" s="13"/>
      <c r="E134" s="13"/>
      <c r="F134" s="13"/>
      <c r="G134" s="13"/>
    </row>
    <row r="135" ht="15.75" customHeight="1">
      <c r="A135" s="13"/>
      <c r="B135" s="13"/>
      <c r="C135" s="13"/>
      <c r="D135" s="13"/>
      <c r="E135" s="13"/>
      <c r="F135" s="13"/>
      <c r="G135" s="13"/>
    </row>
    <row r="136" ht="15.75" customHeight="1">
      <c r="A136" s="13"/>
      <c r="B136" s="13"/>
      <c r="C136" s="13"/>
      <c r="D136" s="13"/>
      <c r="E136" s="13"/>
      <c r="F136" s="13"/>
      <c r="G136" s="13"/>
    </row>
    <row r="137" ht="15.75" customHeight="1">
      <c r="A137" s="13"/>
      <c r="B137" s="13"/>
      <c r="C137" s="13"/>
      <c r="D137" s="13"/>
      <c r="E137" s="13"/>
      <c r="F137" s="13"/>
      <c r="G137" s="13"/>
    </row>
    <row r="138" ht="15.75" customHeight="1">
      <c r="A138" s="13"/>
      <c r="B138" s="13"/>
      <c r="C138" s="13"/>
      <c r="D138" s="13"/>
      <c r="E138" s="13"/>
      <c r="F138" s="13"/>
      <c r="G138" s="13"/>
    </row>
    <row r="139" ht="15.75" customHeight="1">
      <c r="A139" s="13"/>
      <c r="B139" s="13"/>
      <c r="C139" s="13"/>
      <c r="D139" s="13"/>
      <c r="E139" s="13"/>
      <c r="F139" s="13"/>
      <c r="G139" s="13"/>
    </row>
    <row r="140" ht="15.75" customHeight="1">
      <c r="A140" s="13"/>
      <c r="B140" s="13"/>
      <c r="C140" s="13"/>
      <c r="D140" s="13"/>
      <c r="E140" s="13"/>
      <c r="F140" s="13"/>
      <c r="G140" s="13"/>
    </row>
    <row r="141" ht="15.75" customHeight="1">
      <c r="A141" s="13"/>
      <c r="B141" s="13"/>
      <c r="C141" s="13"/>
      <c r="D141" s="13"/>
      <c r="E141" s="13"/>
      <c r="F141" s="13"/>
      <c r="G141" s="13"/>
    </row>
    <row r="142" ht="15.75" customHeight="1">
      <c r="A142" s="13"/>
      <c r="B142" s="13"/>
      <c r="C142" s="13"/>
      <c r="D142" s="13"/>
      <c r="E142" s="13"/>
      <c r="F142" s="13"/>
      <c r="G142" s="13"/>
    </row>
    <row r="143" ht="15.75" customHeight="1">
      <c r="A143" s="13"/>
      <c r="B143" s="13"/>
      <c r="C143" s="13"/>
      <c r="D143" s="13"/>
      <c r="E143" s="13"/>
      <c r="F143" s="13"/>
      <c r="G143" s="13"/>
    </row>
    <row r="144" ht="15.75" customHeight="1">
      <c r="A144" s="13"/>
      <c r="B144" s="13"/>
      <c r="C144" s="13"/>
      <c r="D144" s="13"/>
      <c r="E144" s="13"/>
      <c r="F144" s="13"/>
      <c r="G144" s="13"/>
    </row>
    <row r="145" ht="15.75" customHeight="1">
      <c r="A145" s="13"/>
      <c r="B145" s="13"/>
      <c r="C145" s="13"/>
      <c r="D145" s="13"/>
      <c r="E145" s="13"/>
      <c r="F145" s="13"/>
      <c r="G145" s="13"/>
    </row>
    <row r="146" ht="15.75" customHeight="1">
      <c r="A146" s="13"/>
      <c r="B146" s="13"/>
      <c r="C146" s="13"/>
      <c r="D146" s="13"/>
      <c r="E146" s="13"/>
      <c r="F146" s="13"/>
      <c r="G146" s="13"/>
    </row>
    <row r="147" ht="15.75" customHeight="1">
      <c r="A147" s="13"/>
      <c r="B147" s="13"/>
      <c r="C147" s="13"/>
      <c r="D147" s="13"/>
      <c r="E147" s="13"/>
      <c r="F147" s="13"/>
      <c r="G147" s="13"/>
    </row>
    <row r="148" ht="15.75" customHeight="1">
      <c r="A148" s="13"/>
      <c r="B148" s="13"/>
      <c r="C148" s="13"/>
      <c r="D148" s="13"/>
      <c r="E148" s="13"/>
      <c r="F148" s="13"/>
      <c r="G148" s="13"/>
    </row>
    <row r="149" ht="15.75" customHeight="1">
      <c r="A149" s="13"/>
      <c r="B149" s="13"/>
      <c r="C149" s="13"/>
      <c r="D149" s="13"/>
      <c r="E149" s="13"/>
      <c r="F149" s="13"/>
      <c r="G149" s="13"/>
    </row>
    <row r="150" ht="15.75" customHeight="1">
      <c r="A150" s="13"/>
      <c r="B150" s="13"/>
      <c r="C150" s="13"/>
      <c r="D150" s="13"/>
      <c r="E150" s="13"/>
      <c r="F150" s="13"/>
      <c r="G150" s="13"/>
    </row>
    <row r="151" ht="15.75" customHeight="1">
      <c r="A151" s="13"/>
      <c r="B151" s="13"/>
      <c r="C151" s="13"/>
      <c r="D151" s="13"/>
      <c r="E151" s="13"/>
      <c r="F151" s="13"/>
      <c r="G151" s="13"/>
    </row>
    <row r="152" ht="15.75" customHeight="1">
      <c r="A152" s="13"/>
      <c r="B152" s="13"/>
      <c r="C152" s="13"/>
      <c r="D152" s="13"/>
      <c r="E152" s="13"/>
      <c r="F152" s="13"/>
      <c r="G152" s="13"/>
    </row>
    <row r="153" ht="15.75" customHeight="1">
      <c r="A153" s="13"/>
      <c r="B153" s="13"/>
      <c r="C153" s="13"/>
      <c r="D153" s="13"/>
      <c r="E153" s="13"/>
      <c r="F153" s="13"/>
      <c r="G153" s="13"/>
    </row>
    <row r="154" ht="15.75" customHeight="1">
      <c r="A154" s="13"/>
      <c r="B154" s="13"/>
      <c r="C154" s="13"/>
      <c r="D154" s="13"/>
      <c r="E154" s="13"/>
      <c r="F154" s="13"/>
      <c r="G154" s="13"/>
    </row>
    <row r="155" ht="15.75" customHeight="1">
      <c r="A155" s="13"/>
      <c r="B155" s="13"/>
      <c r="C155" s="13"/>
      <c r="D155" s="13"/>
      <c r="E155" s="13"/>
      <c r="F155" s="13"/>
      <c r="G155" s="13"/>
    </row>
    <row r="156" ht="15.75" customHeight="1">
      <c r="A156" s="13"/>
      <c r="B156" s="13"/>
      <c r="C156" s="13"/>
      <c r="D156" s="13"/>
      <c r="E156" s="13"/>
      <c r="F156" s="13"/>
      <c r="G156" s="13"/>
    </row>
    <row r="157" ht="15.75" customHeight="1">
      <c r="A157" s="13"/>
      <c r="B157" s="13"/>
      <c r="C157" s="13"/>
      <c r="D157" s="13"/>
      <c r="E157" s="13"/>
      <c r="F157" s="13"/>
      <c r="G157" s="13"/>
    </row>
    <row r="158" ht="15.75" customHeight="1">
      <c r="A158" s="13"/>
      <c r="B158" s="13"/>
      <c r="C158" s="13"/>
      <c r="D158" s="13"/>
      <c r="E158" s="13"/>
      <c r="F158" s="13"/>
      <c r="G158" s="13"/>
    </row>
    <row r="159" ht="15.75" customHeight="1">
      <c r="A159" s="13"/>
      <c r="B159" s="13"/>
      <c r="C159" s="13"/>
      <c r="D159" s="13"/>
      <c r="E159" s="13"/>
      <c r="F159" s="13"/>
      <c r="G159" s="13"/>
    </row>
    <row r="160" ht="15.75" customHeight="1">
      <c r="A160" s="13"/>
      <c r="B160" s="13"/>
      <c r="C160" s="13"/>
      <c r="D160" s="13"/>
      <c r="E160" s="13"/>
      <c r="F160" s="13"/>
      <c r="G160" s="13"/>
    </row>
    <row r="161" ht="15.75" customHeight="1">
      <c r="A161" s="13"/>
      <c r="B161" s="13"/>
      <c r="C161" s="13"/>
      <c r="D161" s="13"/>
      <c r="E161" s="13"/>
      <c r="F161" s="13"/>
      <c r="G161" s="13"/>
    </row>
    <row r="162" ht="15.75" customHeight="1">
      <c r="A162" s="13"/>
      <c r="B162" s="13"/>
      <c r="C162" s="13"/>
      <c r="D162" s="13"/>
      <c r="E162" s="13"/>
      <c r="F162" s="13"/>
      <c r="G162" s="13"/>
    </row>
    <row r="163" ht="15.75" customHeight="1">
      <c r="A163" s="13"/>
      <c r="B163" s="13"/>
      <c r="C163" s="13"/>
      <c r="D163" s="13"/>
      <c r="E163" s="13"/>
      <c r="F163" s="13"/>
      <c r="G163" s="13"/>
    </row>
    <row r="164" ht="15.75" customHeight="1">
      <c r="A164" s="13"/>
      <c r="B164" s="13"/>
      <c r="C164" s="13"/>
      <c r="D164" s="13"/>
      <c r="E164" s="13"/>
      <c r="F164" s="13"/>
      <c r="G164" s="13"/>
    </row>
    <row r="165" ht="15.75" customHeight="1">
      <c r="A165" s="13"/>
      <c r="B165" s="13"/>
      <c r="C165" s="13"/>
      <c r="D165" s="13"/>
      <c r="E165" s="13"/>
      <c r="F165" s="13"/>
      <c r="G165" s="13"/>
    </row>
    <row r="166" ht="15.75" customHeight="1">
      <c r="A166" s="13"/>
      <c r="B166" s="13"/>
      <c r="C166" s="13"/>
      <c r="D166" s="13"/>
      <c r="E166" s="13"/>
      <c r="F166" s="13"/>
      <c r="G166" s="13"/>
    </row>
    <row r="167" ht="15.75" customHeight="1">
      <c r="A167" s="13"/>
      <c r="B167" s="13"/>
      <c r="C167" s="13"/>
      <c r="D167" s="13"/>
      <c r="E167" s="13"/>
      <c r="F167" s="13"/>
      <c r="G167" s="13"/>
    </row>
    <row r="168" ht="15.75" customHeight="1">
      <c r="A168" s="13"/>
      <c r="B168" s="13"/>
      <c r="C168" s="13"/>
      <c r="D168" s="13"/>
      <c r="E168" s="13"/>
      <c r="F168" s="13"/>
      <c r="G168" s="13"/>
    </row>
    <row r="169" ht="15.75" customHeight="1">
      <c r="A169" s="13"/>
      <c r="B169" s="13"/>
      <c r="C169" s="13"/>
      <c r="D169" s="13"/>
      <c r="E169" s="13"/>
      <c r="F169" s="13"/>
      <c r="G169" s="13"/>
    </row>
    <row r="170" ht="15.75" customHeight="1">
      <c r="A170" s="13"/>
      <c r="B170" s="13"/>
      <c r="C170" s="13"/>
      <c r="D170" s="13"/>
      <c r="E170" s="13"/>
      <c r="F170" s="13"/>
      <c r="G170" s="13"/>
    </row>
    <row r="171" ht="15.75" customHeight="1">
      <c r="A171" s="13"/>
      <c r="B171" s="13"/>
      <c r="C171" s="13"/>
      <c r="D171" s="13"/>
      <c r="E171" s="13"/>
      <c r="F171" s="13"/>
      <c r="G171" s="13"/>
    </row>
    <row r="172" ht="15.75" customHeight="1">
      <c r="A172" s="13"/>
      <c r="B172" s="13"/>
      <c r="C172" s="13"/>
      <c r="D172" s="13"/>
      <c r="E172" s="13"/>
      <c r="F172" s="13"/>
      <c r="G172" s="13"/>
    </row>
    <row r="173" ht="15.75" customHeight="1">
      <c r="A173" s="13"/>
      <c r="B173" s="13"/>
      <c r="C173" s="13"/>
      <c r="D173" s="13"/>
      <c r="E173" s="13"/>
      <c r="F173" s="13"/>
      <c r="G173" s="13"/>
    </row>
    <row r="174" ht="15.75" customHeight="1">
      <c r="A174" s="13"/>
      <c r="B174" s="13"/>
      <c r="C174" s="13"/>
      <c r="D174" s="13"/>
      <c r="E174" s="13"/>
      <c r="F174" s="13"/>
      <c r="G174" s="13"/>
    </row>
    <row r="175" ht="15.75" customHeight="1">
      <c r="A175" s="13"/>
      <c r="B175" s="13"/>
      <c r="C175" s="13"/>
      <c r="D175" s="13"/>
      <c r="E175" s="13"/>
      <c r="F175" s="13"/>
      <c r="G175" s="13"/>
    </row>
    <row r="176" ht="15.75" customHeight="1">
      <c r="A176" s="13"/>
      <c r="B176" s="13"/>
      <c r="C176" s="13"/>
      <c r="D176" s="13"/>
      <c r="E176" s="13"/>
      <c r="F176" s="13"/>
      <c r="G176" s="13"/>
    </row>
    <row r="177" ht="15.75" customHeight="1">
      <c r="A177" s="13"/>
      <c r="B177" s="13"/>
      <c r="C177" s="13"/>
      <c r="D177" s="13"/>
      <c r="E177" s="13"/>
      <c r="F177" s="13"/>
      <c r="G177" s="13"/>
    </row>
    <row r="178" ht="15.75" customHeight="1">
      <c r="A178" s="13"/>
      <c r="B178" s="13"/>
      <c r="C178" s="13"/>
      <c r="D178" s="13"/>
      <c r="E178" s="13"/>
      <c r="F178" s="13"/>
      <c r="G178" s="13"/>
    </row>
    <row r="179" ht="15.75" customHeight="1">
      <c r="A179" s="13"/>
      <c r="B179" s="13"/>
      <c r="C179" s="13"/>
      <c r="D179" s="13"/>
      <c r="E179" s="13"/>
      <c r="F179" s="13"/>
      <c r="G179" s="13"/>
    </row>
    <row r="180" ht="15.75" customHeight="1">
      <c r="A180" s="13"/>
      <c r="B180" s="13"/>
      <c r="C180" s="13"/>
      <c r="D180" s="13"/>
      <c r="E180" s="13"/>
      <c r="F180" s="13"/>
      <c r="G180" s="13"/>
    </row>
    <row r="181" ht="15.75" customHeight="1">
      <c r="A181" s="13"/>
      <c r="B181" s="13"/>
      <c r="C181" s="13"/>
      <c r="D181" s="13"/>
      <c r="E181" s="13"/>
      <c r="F181" s="13"/>
      <c r="G181" s="13"/>
    </row>
    <row r="182" ht="15.75" customHeight="1">
      <c r="A182" s="13"/>
      <c r="B182" s="13"/>
      <c r="C182" s="13"/>
      <c r="D182" s="13"/>
      <c r="E182" s="13"/>
      <c r="F182" s="13"/>
      <c r="G182" s="13"/>
    </row>
    <row r="183" ht="15.75" customHeight="1">
      <c r="A183" s="13"/>
      <c r="B183" s="13"/>
      <c r="C183" s="13"/>
      <c r="D183" s="13"/>
      <c r="E183" s="13"/>
      <c r="F183" s="13"/>
      <c r="G183" s="13"/>
    </row>
    <row r="184" ht="15.75" customHeight="1">
      <c r="A184" s="13"/>
      <c r="B184" s="13"/>
      <c r="C184" s="13"/>
      <c r="D184" s="13"/>
      <c r="E184" s="13"/>
      <c r="F184" s="13"/>
      <c r="G184" s="13"/>
    </row>
    <row r="185" ht="15.75" customHeight="1">
      <c r="A185" s="13"/>
      <c r="B185" s="13"/>
      <c r="C185" s="13"/>
      <c r="D185" s="13"/>
      <c r="E185" s="13"/>
      <c r="F185" s="13"/>
      <c r="G185" s="13"/>
    </row>
    <row r="186" ht="15.75" customHeight="1">
      <c r="A186" s="13"/>
      <c r="B186" s="13"/>
      <c r="C186" s="13"/>
      <c r="D186" s="13"/>
      <c r="E186" s="13"/>
      <c r="F186" s="13"/>
      <c r="G186" s="13"/>
    </row>
    <row r="187" ht="15.75" customHeight="1">
      <c r="A187" s="13"/>
      <c r="B187" s="13"/>
      <c r="C187" s="13"/>
      <c r="D187" s="13"/>
      <c r="E187" s="13"/>
      <c r="F187" s="13"/>
      <c r="G187" s="13"/>
    </row>
    <row r="188" ht="15.75" customHeight="1">
      <c r="A188" s="13"/>
      <c r="B188" s="13"/>
      <c r="C188" s="13"/>
      <c r="D188" s="13"/>
      <c r="E188" s="13"/>
      <c r="F188" s="13"/>
      <c r="G188" s="13"/>
    </row>
    <row r="189" ht="15.75" customHeight="1">
      <c r="A189" s="13"/>
      <c r="B189" s="13"/>
      <c r="C189" s="13"/>
      <c r="D189" s="13"/>
      <c r="E189" s="13"/>
      <c r="F189" s="13"/>
      <c r="G189" s="13"/>
    </row>
    <row r="190" ht="15.75" customHeight="1">
      <c r="A190" s="13"/>
      <c r="B190" s="13"/>
      <c r="C190" s="13"/>
      <c r="D190" s="13"/>
      <c r="E190" s="13"/>
      <c r="F190" s="13"/>
      <c r="G190" s="13"/>
    </row>
    <row r="191" ht="15.75" customHeight="1">
      <c r="A191" s="13"/>
      <c r="B191" s="13"/>
      <c r="C191" s="13"/>
      <c r="D191" s="13"/>
      <c r="E191" s="13"/>
      <c r="F191" s="13"/>
      <c r="G191" s="13"/>
    </row>
    <row r="192" ht="15.75" customHeight="1">
      <c r="A192" s="13"/>
      <c r="B192" s="13"/>
      <c r="C192" s="13"/>
      <c r="D192" s="13"/>
      <c r="E192" s="13"/>
      <c r="F192" s="13"/>
      <c r="G192" s="13"/>
    </row>
    <row r="193" ht="15.75" customHeight="1">
      <c r="A193" s="13"/>
      <c r="B193" s="13"/>
      <c r="C193" s="13"/>
      <c r="D193" s="13"/>
      <c r="E193" s="13"/>
      <c r="F193" s="13"/>
      <c r="G193" s="13"/>
    </row>
    <row r="194" ht="15.75" customHeight="1">
      <c r="A194" s="13"/>
      <c r="B194" s="13"/>
      <c r="C194" s="13"/>
      <c r="D194" s="13"/>
      <c r="E194" s="13"/>
      <c r="F194" s="13"/>
      <c r="G194" s="13"/>
    </row>
    <row r="195" ht="15.75" customHeight="1">
      <c r="A195" s="13"/>
      <c r="B195" s="13"/>
      <c r="C195" s="13"/>
      <c r="D195" s="13"/>
      <c r="E195" s="13"/>
      <c r="F195" s="13"/>
      <c r="G195" s="13"/>
    </row>
    <row r="196" ht="15.75" customHeight="1">
      <c r="A196" s="13"/>
      <c r="B196" s="13"/>
      <c r="C196" s="13"/>
      <c r="D196" s="13"/>
      <c r="E196" s="13"/>
      <c r="F196" s="13"/>
      <c r="G196" s="13"/>
    </row>
    <row r="197" ht="15.75" customHeight="1">
      <c r="A197" s="13"/>
      <c r="B197" s="13"/>
      <c r="C197" s="13"/>
      <c r="D197" s="13"/>
      <c r="E197" s="13"/>
      <c r="F197" s="13"/>
      <c r="G197" s="13"/>
    </row>
    <row r="198" ht="15.75" customHeight="1">
      <c r="A198" s="13"/>
      <c r="B198" s="13"/>
      <c r="C198" s="13"/>
      <c r="D198" s="13"/>
      <c r="E198" s="13"/>
      <c r="F198" s="13"/>
      <c r="G198" s="13"/>
    </row>
    <row r="199" ht="15.75" customHeight="1">
      <c r="A199" s="13"/>
      <c r="B199" s="13"/>
      <c r="C199" s="13"/>
      <c r="D199" s="13"/>
      <c r="E199" s="13"/>
      <c r="F199" s="13"/>
      <c r="G199" s="13"/>
    </row>
    <row r="200" ht="15.75" customHeight="1">
      <c r="A200" s="13"/>
      <c r="B200" s="13"/>
      <c r="C200" s="13"/>
      <c r="D200" s="13"/>
      <c r="E200" s="13"/>
      <c r="F200" s="13"/>
      <c r="G200" s="13"/>
    </row>
    <row r="201" ht="15.75" customHeight="1">
      <c r="A201" s="13"/>
      <c r="B201" s="13"/>
      <c r="C201" s="13"/>
      <c r="D201" s="13"/>
      <c r="E201" s="13"/>
      <c r="F201" s="13"/>
      <c r="G201" s="13"/>
    </row>
    <row r="202" ht="15.75" customHeight="1">
      <c r="A202" s="13"/>
      <c r="B202" s="13"/>
      <c r="C202" s="13"/>
      <c r="D202" s="13"/>
      <c r="E202" s="13"/>
      <c r="F202" s="13"/>
      <c r="G202" s="13"/>
    </row>
    <row r="203" ht="15.75" customHeight="1">
      <c r="A203" s="13"/>
      <c r="B203" s="13"/>
      <c r="C203" s="13"/>
      <c r="D203" s="13"/>
      <c r="E203" s="13"/>
      <c r="F203" s="13"/>
      <c r="G203" s="13"/>
    </row>
    <row r="204" ht="15.75" customHeight="1">
      <c r="A204" s="13"/>
      <c r="B204" s="13"/>
      <c r="C204" s="13"/>
      <c r="D204" s="13"/>
      <c r="E204" s="13"/>
      <c r="F204" s="13"/>
      <c r="G204" s="13"/>
    </row>
    <row r="205" ht="15.75" customHeight="1">
      <c r="A205" s="13"/>
      <c r="B205" s="13"/>
      <c r="C205" s="13"/>
      <c r="D205" s="13"/>
      <c r="E205" s="13"/>
      <c r="F205" s="13"/>
      <c r="G205" s="13"/>
    </row>
    <row r="206" ht="15.75" customHeight="1">
      <c r="A206" s="13"/>
      <c r="B206" s="13"/>
      <c r="C206" s="13"/>
      <c r="D206" s="13"/>
      <c r="E206" s="13"/>
      <c r="F206" s="13"/>
      <c r="G206" s="13"/>
    </row>
    <row r="207" ht="15.75" customHeight="1">
      <c r="A207" s="13"/>
      <c r="B207" s="13"/>
      <c r="C207" s="13"/>
      <c r="D207" s="13"/>
      <c r="E207" s="13"/>
      <c r="F207" s="13"/>
      <c r="G207" s="13"/>
    </row>
    <row r="208" ht="15.75" customHeight="1">
      <c r="A208" s="13"/>
      <c r="B208" s="13"/>
      <c r="C208" s="13"/>
      <c r="D208" s="13"/>
      <c r="E208" s="13"/>
      <c r="F208" s="13"/>
      <c r="G208" s="13"/>
    </row>
    <row r="209" ht="15.75" customHeight="1">
      <c r="A209" s="13"/>
      <c r="B209" s="13"/>
      <c r="C209" s="13"/>
      <c r="D209" s="13"/>
      <c r="E209" s="13"/>
      <c r="F209" s="13"/>
      <c r="G209" s="13"/>
    </row>
    <row r="210" ht="15.75" customHeight="1">
      <c r="A210" s="13"/>
      <c r="B210" s="13"/>
      <c r="C210" s="13"/>
      <c r="D210" s="13"/>
      <c r="E210" s="13"/>
      <c r="F210" s="13"/>
      <c r="G210" s="13"/>
    </row>
    <row r="211" ht="15.75" customHeight="1">
      <c r="A211" s="13"/>
      <c r="B211" s="13"/>
      <c r="C211" s="13"/>
      <c r="D211" s="13"/>
      <c r="E211" s="13"/>
      <c r="F211" s="13"/>
      <c r="G211" s="13"/>
    </row>
    <row r="212" ht="15.75" customHeight="1">
      <c r="A212" s="13"/>
      <c r="B212" s="13"/>
      <c r="C212" s="13"/>
      <c r="D212" s="13"/>
      <c r="E212" s="13"/>
      <c r="F212" s="13"/>
      <c r="G212" s="13"/>
    </row>
    <row r="213" ht="15.75" customHeight="1">
      <c r="A213" s="13"/>
      <c r="B213" s="13"/>
      <c r="C213" s="13"/>
      <c r="D213" s="13"/>
      <c r="E213" s="13"/>
      <c r="F213" s="13"/>
      <c r="G213" s="13"/>
    </row>
    <row r="214" ht="15.75" customHeight="1">
      <c r="A214" s="13"/>
      <c r="B214" s="13"/>
      <c r="C214" s="13"/>
      <c r="D214" s="13"/>
      <c r="E214" s="13"/>
      <c r="F214" s="13"/>
      <c r="G214" s="13"/>
    </row>
    <row r="215" ht="15.75" customHeight="1">
      <c r="A215" s="13"/>
      <c r="B215" s="13"/>
      <c r="C215" s="13"/>
      <c r="D215" s="13"/>
      <c r="E215" s="13"/>
      <c r="F215" s="13"/>
      <c r="G215" s="13"/>
    </row>
    <row r="216" ht="15.75" customHeight="1">
      <c r="A216" s="13"/>
      <c r="B216" s="13"/>
      <c r="C216" s="13"/>
      <c r="D216" s="13"/>
      <c r="E216" s="13"/>
      <c r="F216" s="13"/>
      <c r="G216" s="13"/>
    </row>
    <row r="217" ht="15.75" customHeight="1">
      <c r="A217" s="13"/>
      <c r="B217" s="13"/>
      <c r="C217" s="13"/>
      <c r="D217" s="13"/>
      <c r="E217" s="13"/>
      <c r="F217" s="13"/>
      <c r="G217" s="13"/>
    </row>
    <row r="218" ht="15.75" customHeight="1">
      <c r="A218" s="13"/>
      <c r="B218" s="13"/>
      <c r="C218" s="13"/>
      <c r="D218" s="13"/>
      <c r="E218" s="13"/>
      <c r="F218" s="13"/>
      <c r="G218" s="13"/>
    </row>
    <row r="219" ht="15.75" customHeight="1">
      <c r="A219" s="13"/>
      <c r="B219" s="13"/>
      <c r="C219" s="13"/>
      <c r="D219" s="13"/>
      <c r="E219" s="13"/>
      <c r="F219" s="13"/>
      <c r="G219" s="13"/>
    </row>
    <row r="220" ht="15.75" customHeight="1">
      <c r="A220" s="13"/>
      <c r="B220" s="13"/>
      <c r="C220" s="13"/>
      <c r="D220" s="13"/>
      <c r="E220" s="13"/>
      <c r="F220" s="13"/>
      <c r="G220" s="13"/>
    </row>
    <row r="221" ht="15.75" customHeight="1">
      <c r="A221" s="13"/>
      <c r="B221" s="13"/>
      <c r="C221" s="13"/>
      <c r="D221" s="13"/>
      <c r="E221" s="13"/>
      <c r="F221" s="13"/>
      <c r="G221" s="13"/>
    </row>
    <row r="222" ht="15.75" customHeight="1">
      <c r="A222" s="13"/>
      <c r="B222" s="13"/>
      <c r="C222" s="13"/>
      <c r="D222" s="13"/>
      <c r="E222" s="13"/>
      <c r="F222" s="13"/>
      <c r="G222" s="13"/>
    </row>
    <row r="223" ht="15.75" customHeight="1">
      <c r="A223" s="13"/>
      <c r="B223" s="13"/>
      <c r="C223" s="13"/>
      <c r="D223" s="13"/>
      <c r="E223" s="13"/>
      <c r="F223" s="13"/>
      <c r="G223" s="13"/>
    </row>
    <row r="224" ht="15.75" customHeight="1">
      <c r="A224" s="13"/>
      <c r="B224" s="13"/>
      <c r="C224" s="13"/>
      <c r="D224" s="13"/>
      <c r="E224" s="13"/>
      <c r="F224" s="13"/>
      <c r="G224" s="13"/>
    </row>
    <row r="225" ht="15.75" customHeight="1">
      <c r="A225" s="13"/>
      <c r="B225" s="13"/>
      <c r="C225" s="13"/>
      <c r="D225" s="13"/>
      <c r="E225" s="13"/>
      <c r="F225" s="13"/>
      <c r="G225" s="13"/>
    </row>
    <row r="226" ht="15.75" customHeight="1">
      <c r="A226" s="13"/>
      <c r="B226" s="13"/>
      <c r="C226" s="13"/>
      <c r="D226" s="13"/>
      <c r="E226" s="13"/>
      <c r="F226" s="13"/>
      <c r="G226" s="13"/>
    </row>
    <row r="227" ht="15.75" customHeight="1">
      <c r="A227" s="13"/>
      <c r="B227" s="13"/>
      <c r="C227" s="13"/>
      <c r="D227" s="13"/>
      <c r="E227" s="13"/>
      <c r="F227" s="13"/>
      <c r="G227" s="13"/>
    </row>
    <row r="228" ht="15.75" customHeight="1">
      <c r="A228" s="13"/>
      <c r="B228" s="13"/>
      <c r="C228" s="13"/>
      <c r="D228" s="13"/>
      <c r="E228" s="13"/>
      <c r="F228" s="13"/>
      <c r="G228" s="13"/>
    </row>
    <row r="229" ht="15.75" customHeight="1">
      <c r="A229" s="13"/>
      <c r="B229" s="13"/>
      <c r="C229" s="13"/>
      <c r="D229" s="13"/>
      <c r="E229" s="13"/>
      <c r="F229" s="13"/>
      <c r="G229" s="13"/>
    </row>
    <row r="230" ht="15.75" customHeight="1">
      <c r="A230" s="13"/>
      <c r="B230" s="13"/>
      <c r="C230" s="13"/>
      <c r="D230" s="13"/>
      <c r="E230" s="13"/>
      <c r="F230" s="13"/>
      <c r="G230" s="13"/>
    </row>
    <row r="231" ht="15.75" customHeight="1">
      <c r="A231" s="13"/>
      <c r="B231" s="13"/>
      <c r="C231" s="13"/>
      <c r="D231" s="13"/>
      <c r="E231" s="13"/>
      <c r="F231" s="13"/>
      <c r="G231" s="13"/>
    </row>
    <row r="232" ht="15.75" customHeight="1">
      <c r="A232" s="13"/>
      <c r="B232" s="13"/>
      <c r="C232" s="13"/>
      <c r="D232" s="13"/>
      <c r="E232" s="13"/>
      <c r="F232" s="13"/>
      <c r="G232" s="13"/>
    </row>
    <row r="233" ht="15.75" customHeight="1">
      <c r="A233" s="13"/>
      <c r="B233" s="13"/>
      <c r="C233" s="13"/>
      <c r="D233" s="13"/>
      <c r="E233" s="13"/>
      <c r="F233" s="13"/>
      <c r="G233" s="13"/>
    </row>
    <row r="234" ht="15.75" customHeight="1">
      <c r="A234" s="13"/>
      <c r="B234" s="13"/>
      <c r="C234" s="13"/>
      <c r="D234" s="13"/>
      <c r="E234" s="13"/>
      <c r="F234" s="13"/>
      <c r="G234" s="13"/>
    </row>
    <row r="235" ht="15.75" customHeight="1">
      <c r="A235" s="13"/>
      <c r="B235" s="13"/>
      <c r="C235" s="13"/>
      <c r="D235" s="13"/>
      <c r="E235" s="13"/>
      <c r="F235" s="13"/>
      <c r="G235" s="13"/>
    </row>
    <row r="236" ht="15.75" customHeight="1">
      <c r="A236" s="13"/>
      <c r="B236" s="13"/>
      <c r="C236" s="13"/>
      <c r="D236" s="13"/>
      <c r="E236" s="13"/>
      <c r="F236" s="13"/>
      <c r="G236" s="13"/>
    </row>
    <row r="237" ht="15.75" customHeight="1">
      <c r="A237" s="13"/>
      <c r="B237" s="13"/>
      <c r="C237" s="13"/>
      <c r="D237" s="13"/>
      <c r="E237" s="13"/>
      <c r="F237" s="13"/>
      <c r="G237" s="13"/>
    </row>
    <row r="238" ht="15.75" customHeight="1">
      <c r="A238" s="13"/>
      <c r="B238" s="13"/>
      <c r="C238" s="13"/>
      <c r="D238" s="13"/>
      <c r="E238" s="13"/>
      <c r="F238" s="13"/>
      <c r="G238" s="13"/>
    </row>
    <row r="239" ht="15.75" customHeight="1">
      <c r="A239" s="13"/>
      <c r="B239" s="13"/>
      <c r="C239" s="13"/>
      <c r="D239" s="13"/>
      <c r="E239" s="13"/>
      <c r="F239" s="13"/>
      <c r="G239" s="13"/>
    </row>
    <row r="240" ht="15.75" customHeight="1">
      <c r="A240" s="13"/>
      <c r="B240" s="13"/>
      <c r="C240" s="13"/>
      <c r="D240" s="13"/>
      <c r="E240" s="13"/>
      <c r="F240" s="13"/>
      <c r="G240" s="13"/>
    </row>
    <row r="241" ht="15.75" customHeight="1">
      <c r="A241" s="13"/>
      <c r="B241" s="13"/>
      <c r="C241" s="13"/>
      <c r="D241" s="13"/>
      <c r="E241" s="13"/>
      <c r="F241" s="13"/>
      <c r="G241" s="13"/>
    </row>
    <row r="242" ht="15.75" customHeight="1">
      <c r="A242" s="13"/>
      <c r="B242" s="13"/>
      <c r="C242" s="13"/>
      <c r="D242" s="13"/>
      <c r="E242" s="13"/>
      <c r="F242" s="13"/>
      <c r="G242" s="13"/>
    </row>
    <row r="243" ht="15.75" customHeight="1">
      <c r="A243" s="13"/>
      <c r="B243" s="13"/>
      <c r="C243" s="13"/>
      <c r="D243" s="13"/>
      <c r="E243" s="13"/>
      <c r="F243" s="13"/>
      <c r="G243" s="13"/>
    </row>
    <row r="244" ht="15.75" customHeight="1">
      <c r="A244" s="13"/>
      <c r="B244" s="13"/>
      <c r="C244" s="13"/>
      <c r="D244" s="13"/>
      <c r="E244" s="13"/>
      <c r="F244" s="13"/>
      <c r="G244" s="13"/>
    </row>
    <row r="245" ht="15.75" customHeight="1">
      <c r="A245" s="13"/>
      <c r="B245" s="13"/>
      <c r="C245" s="13"/>
      <c r="D245" s="13"/>
      <c r="E245" s="13"/>
      <c r="F245" s="13"/>
      <c r="G245" s="13"/>
    </row>
    <row r="246" ht="15.75" customHeight="1">
      <c r="A246" s="13"/>
      <c r="B246" s="13"/>
      <c r="C246" s="13"/>
      <c r="D246" s="13"/>
      <c r="E246" s="13"/>
      <c r="F246" s="13"/>
      <c r="G246" s="13"/>
    </row>
    <row r="247" ht="15.75" customHeight="1">
      <c r="A247" s="13"/>
      <c r="B247" s="13"/>
      <c r="C247" s="13"/>
      <c r="D247" s="13"/>
      <c r="E247" s="13"/>
      <c r="F247" s="13"/>
      <c r="G247" s="13"/>
    </row>
    <row r="248" ht="15.75" customHeight="1">
      <c r="A248" s="13"/>
      <c r="B248" s="13"/>
      <c r="C248" s="13"/>
      <c r="D248" s="13"/>
      <c r="E248" s="13"/>
      <c r="F248" s="13"/>
      <c r="G248" s="13"/>
    </row>
    <row r="249" ht="15.75" customHeight="1">
      <c r="A249" s="13"/>
      <c r="B249" s="13"/>
      <c r="C249" s="13"/>
      <c r="D249" s="13"/>
      <c r="E249" s="13"/>
      <c r="F249" s="13"/>
      <c r="G249" s="13"/>
    </row>
    <row r="250" ht="15.75" customHeight="1">
      <c r="A250" s="13"/>
      <c r="B250" s="13"/>
      <c r="C250" s="13"/>
      <c r="D250" s="13"/>
      <c r="E250" s="13"/>
      <c r="F250" s="13"/>
      <c r="G250" s="13"/>
    </row>
    <row r="251" ht="15.75" customHeight="1">
      <c r="A251" s="13"/>
      <c r="B251" s="13"/>
      <c r="C251" s="13"/>
      <c r="D251" s="13"/>
      <c r="E251" s="13"/>
      <c r="F251" s="13"/>
      <c r="G251" s="13"/>
    </row>
    <row r="252" ht="15.75" customHeight="1">
      <c r="A252" s="13"/>
      <c r="B252" s="13"/>
      <c r="C252" s="13"/>
      <c r="D252" s="13"/>
      <c r="E252" s="13"/>
      <c r="F252" s="13"/>
      <c r="G252" s="13"/>
    </row>
    <row r="253" ht="15.75" customHeight="1">
      <c r="A253" s="13"/>
      <c r="B253" s="13"/>
      <c r="C253" s="13"/>
      <c r="D253" s="13"/>
      <c r="E253" s="13"/>
      <c r="F253" s="13"/>
      <c r="G253" s="13"/>
    </row>
    <row r="254" ht="15.75" customHeight="1">
      <c r="A254" s="13"/>
      <c r="B254" s="13"/>
      <c r="C254" s="13"/>
      <c r="D254" s="13"/>
      <c r="E254" s="13"/>
      <c r="F254" s="13"/>
      <c r="G254" s="13"/>
    </row>
    <row r="255" ht="15.75" customHeight="1">
      <c r="A255" s="13"/>
      <c r="B255" s="13"/>
      <c r="C255" s="13"/>
      <c r="D255" s="13"/>
      <c r="E255" s="13"/>
      <c r="F255" s="13"/>
      <c r="G255" s="13"/>
    </row>
    <row r="256" ht="15.75" customHeight="1">
      <c r="A256" s="13"/>
      <c r="B256" s="13"/>
      <c r="C256" s="13"/>
      <c r="D256" s="13"/>
      <c r="E256" s="13"/>
      <c r="F256" s="13"/>
      <c r="G256" s="13"/>
    </row>
    <row r="257" ht="15.75" customHeight="1">
      <c r="A257" s="13"/>
      <c r="B257" s="13"/>
      <c r="C257" s="13"/>
      <c r="D257" s="13"/>
      <c r="E257" s="13"/>
      <c r="F257" s="13"/>
      <c r="G257" s="13"/>
    </row>
    <row r="258" ht="15.75" customHeight="1">
      <c r="A258" s="13"/>
      <c r="B258" s="13"/>
      <c r="C258" s="13"/>
      <c r="D258" s="13"/>
      <c r="E258" s="13"/>
      <c r="F258" s="13"/>
      <c r="G258" s="13"/>
    </row>
    <row r="259" ht="15.75" customHeight="1">
      <c r="A259" s="13"/>
      <c r="B259" s="13"/>
      <c r="C259" s="13"/>
      <c r="D259" s="13"/>
      <c r="E259" s="13"/>
      <c r="F259" s="13"/>
      <c r="G259" s="13"/>
    </row>
    <row r="260" ht="15.75" customHeight="1">
      <c r="A260" s="13"/>
      <c r="B260" s="13"/>
      <c r="C260" s="13"/>
      <c r="D260" s="13"/>
      <c r="E260" s="13"/>
      <c r="F260" s="13"/>
      <c r="G260" s="13"/>
    </row>
    <row r="261" ht="15.75" customHeight="1">
      <c r="A261" s="13"/>
      <c r="B261" s="13"/>
      <c r="C261" s="13"/>
      <c r="D261" s="13"/>
      <c r="E261" s="13"/>
      <c r="F261" s="13"/>
      <c r="G261" s="13"/>
    </row>
    <row r="262" ht="15.75" customHeight="1">
      <c r="A262" s="13"/>
      <c r="B262" s="13"/>
      <c r="C262" s="13"/>
      <c r="D262" s="13"/>
      <c r="E262" s="13"/>
      <c r="F262" s="13"/>
      <c r="G262" s="13"/>
    </row>
    <row r="263" ht="15.75" customHeight="1">
      <c r="A263" s="13"/>
      <c r="B263" s="13"/>
      <c r="C263" s="13"/>
      <c r="D263" s="13"/>
      <c r="E263" s="13"/>
      <c r="F263" s="13"/>
      <c r="G263" s="13"/>
    </row>
    <row r="264" ht="15.75" customHeight="1">
      <c r="A264" s="13"/>
      <c r="B264" s="13"/>
      <c r="C264" s="13"/>
      <c r="D264" s="13"/>
      <c r="E264" s="13"/>
      <c r="F264" s="13"/>
      <c r="G264" s="13"/>
    </row>
    <row r="265" ht="15.75" customHeight="1">
      <c r="A265" s="13"/>
      <c r="B265" s="13"/>
      <c r="C265" s="13"/>
      <c r="D265" s="13"/>
      <c r="E265" s="13"/>
      <c r="F265" s="13"/>
      <c r="G265" s="13"/>
    </row>
    <row r="266" ht="15.75" customHeight="1">
      <c r="A266" s="13"/>
      <c r="B266" s="13"/>
      <c r="C266" s="13"/>
      <c r="D266" s="13"/>
      <c r="E266" s="13"/>
      <c r="F266" s="13"/>
      <c r="G266" s="13"/>
    </row>
    <row r="267" ht="15.75" customHeight="1">
      <c r="A267" s="13"/>
      <c r="B267" s="13"/>
      <c r="C267" s="13"/>
      <c r="D267" s="13"/>
      <c r="E267" s="13"/>
      <c r="F267" s="13"/>
      <c r="G267" s="13"/>
    </row>
    <row r="268" ht="15.75" customHeight="1">
      <c r="A268" s="13"/>
      <c r="B268" s="13"/>
      <c r="C268" s="13"/>
      <c r="D268" s="13"/>
      <c r="E268" s="13"/>
      <c r="F268" s="13"/>
      <c r="G268" s="13"/>
    </row>
    <row r="269" ht="15.75" customHeight="1">
      <c r="A269" s="13"/>
      <c r="B269" s="13"/>
      <c r="C269" s="13"/>
      <c r="D269" s="13"/>
      <c r="E269" s="13"/>
      <c r="F269" s="13"/>
      <c r="G269" s="13"/>
    </row>
    <row r="270" ht="15.75" customHeight="1">
      <c r="A270" s="13"/>
      <c r="B270" s="13"/>
      <c r="C270" s="13"/>
      <c r="D270" s="13"/>
      <c r="E270" s="13"/>
      <c r="F270" s="13"/>
      <c r="G270" s="13"/>
    </row>
    <row r="271" ht="15.75" customHeight="1">
      <c r="A271" s="13"/>
      <c r="B271" s="13"/>
      <c r="C271" s="13"/>
      <c r="D271" s="13"/>
      <c r="E271" s="13"/>
      <c r="F271" s="13"/>
      <c r="G271" s="13"/>
    </row>
    <row r="272" ht="15.75" customHeight="1">
      <c r="A272" s="13"/>
      <c r="B272" s="13"/>
      <c r="C272" s="13"/>
      <c r="D272" s="13"/>
      <c r="E272" s="13"/>
      <c r="F272" s="13"/>
      <c r="G272" s="13"/>
    </row>
    <row r="273" ht="15.75" customHeight="1">
      <c r="A273" s="13"/>
      <c r="B273" s="13"/>
      <c r="C273" s="13"/>
      <c r="D273" s="13"/>
      <c r="E273" s="13"/>
      <c r="F273" s="13"/>
      <c r="G273" s="13"/>
    </row>
    <row r="274" ht="15.75" customHeight="1">
      <c r="A274" s="13"/>
      <c r="B274" s="13"/>
      <c r="C274" s="13"/>
      <c r="D274" s="13"/>
      <c r="E274" s="13"/>
      <c r="F274" s="13"/>
      <c r="G274" s="13"/>
    </row>
    <row r="275" ht="15.75" customHeight="1">
      <c r="A275" s="13"/>
      <c r="B275" s="13"/>
      <c r="C275" s="13"/>
      <c r="D275" s="13"/>
      <c r="E275" s="13"/>
      <c r="F275" s="13"/>
      <c r="G275" s="13"/>
    </row>
    <row r="276" ht="15.75" customHeight="1">
      <c r="A276" s="13"/>
      <c r="B276" s="13"/>
      <c r="C276" s="13"/>
      <c r="D276" s="13"/>
      <c r="E276" s="13"/>
      <c r="F276" s="13"/>
      <c r="G276" s="13"/>
    </row>
    <row r="277" ht="15.75" customHeight="1">
      <c r="A277" s="13"/>
      <c r="B277" s="13"/>
      <c r="C277" s="13"/>
      <c r="D277" s="13"/>
      <c r="E277" s="13"/>
      <c r="F277" s="13"/>
      <c r="G277" s="13"/>
    </row>
    <row r="278" ht="15.75" customHeight="1">
      <c r="A278" s="13"/>
      <c r="B278" s="13"/>
      <c r="C278" s="13"/>
      <c r="D278" s="13"/>
      <c r="E278" s="13"/>
      <c r="F278" s="13"/>
      <c r="G278" s="13"/>
    </row>
    <row r="279" ht="15.75" customHeight="1">
      <c r="A279" s="13"/>
      <c r="B279" s="13"/>
      <c r="C279" s="13"/>
      <c r="D279" s="13"/>
      <c r="E279" s="13"/>
      <c r="F279" s="13"/>
      <c r="G279" s="13"/>
    </row>
    <row r="280" ht="15.75" customHeight="1">
      <c r="A280" s="13"/>
      <c r="B280" s="13"/>
      <c r="C280" s="13"/>
      <c r="D280" s="13"/>
      <c r="E280" s="13"/>
      <c r="F280" s="13"/>
      <c r="G280" s="13"/>
    </row>
    <row r="281" ht="15.75" customHeight="1">
      <c r="A281" s="13"/>
      <c r="B281" s="13"/>
      <c r="C281" s="13"/>
      <c r="D281" s="13"/>
      <c r="E281" s="13"/>
      <c r="F281" s="13"/>
      <c r="G281" s="13"/>
    </row>
    <row r="282" ht="15.75" customHeight="1">
      <c r="A282" s="13"/>
      <c r="B282" s="13"/>
      <c r="C282" s="13"/>
      <c r="D282" s="13"/>
      <c r="E282" s="13"/>
      <c r="F282" s="13"/>
      <c r="G282" s="13"/>
    </row>
    <row r="283" ht="15.75" customHeight="1">
      <c r="A283" s="13"/>
      <c r="B283" s="13"/>
      <c r="C283" s="13"/>
      <c r="D283" s="13"/>
      <c r="E283" s="13"/>
      <c r="F283" s="13"/>
      <c r="G283" s="13"/>
    </row>
    <row r="284" ht="15.75" customHeight="1">
      <c r="A284" s="13"/>
      <c r="B284" s="13"/>
      <c r="C284" s="13"/>
      <c r="D284" s="13"/>
      <c r="E284" s="13"/>
      <c r="F284" s="13"/>
      <c r="G284" s="13"/>
    </row>
    <row r="285" ht="15.75" customHeight="1">
      <c r="A285" s="13"/>
      <c r="B285" s="13"/>
      <c r="C285" s="13"/>
      <c r="D285" s="13"/>
      <c r="E285" s="13"/>
      <c r="F285" s="13"/>
      <c r="G285" s="13"/>
    </row>
    <row r="286" ht="15.75" customHeight="1">
      <c r="A286" s="13"/>
      <c r="B286" s="13"/>
      <c r="C286" s="13"/>
      <c r="D286" s="13"/>
      <c r="E286" s="13"/>
      <c r="F286" s="13"/>
      <c r="G286" s="13"/>
    </row>
    <row r="287" ht="15.75" customHeight="1">
      <c r="A287" s="13"/>
      <c r="B287" s="13"/>
      <c r="C287" s="13"/>
      <c r="D287" s="13"/>
      <c r="E287" s="13"/>
      <c r="F287" s="13"/>
      <c r="G287" s="13"/>
    </row>
    <row r="288" ht="15.75" customHeight="1">
      <c r="A288" s="13"/>
      <c r="B288" s="13"/>
      <c r="C288" s="13"/>
      <c r="D288" s="13"/>
      <c r="E288" s="13"/>
      <c r="F288" s="13"/>
      <c r="G288" s="13"/>
    </row>
    <row r="289" ht="15.75" customHeight="1">
      <c r="A289" s="13"/>
      <c r="B289" s="13"/>
      <c r="C289" s="13"/>
      <c r="D289" s="13"/>
      <c r="E289" s="13"/>
      <c r="F289" s="13"/>
      <c r="G289" s="13"/>
    </row>
    <row r="290" ht="15.75" customHeight="1">
      <c r="A290" s="13"/>
      <c r="B290" s="13"/>
      <c r="C290" s="13"/>
      <c r="D290" s="13"/>
      <c r="E290" s="13"/>
      <c r="F290" s="13"/>
      <c r="G290" s="13"/>
    </row>
    <row r="291" ht="15.75" customHeight="1">
      <c r="A291" s="13"/>
      <c r="B291" s="13"/>
      <c r="C291" s="13"/>
      <c r="D291" s="13"/>
      <c r="E291" s="13"/>
      <c r="F291" s="13"/>
      <c r="G291" s="13"/>
    </row>
    <row r="292" ht="15.75" customHeight="1">
      <c r="A292" s="13"/>
      <c r="B292" s="13"/>
      <c r="C292" s="13"/>
      <c r="D292" s="13"/>
      <c r="E292" s="13"/>
      <c r="F292" s="13"/>
      <c r="G292" s="13"/>
    </row>
    <row r="293" ht="15.75" customHeight="1">
      <c r="A293" s="13"/>
      <c r="B293" s="13"/>
      <c r="C293" s="13"/>
      <c r="D293" s="13"/>
      <c r="E293" s="13"/>
      <c r="F293" s="13"/>
      <c r="G293" s="13"/>
    </row>
    <row r="294" ht="15.75" customHeight="1">
      <c r="A294" s="13"/>
      <c r="B294" s="13"/>
      <c r="C294" s="13"/>
      <c r="D294" s="13"/>
      <c r="E294" s="13"/>
      <c r="F294" s="13"/>
      <c r="G294" s="13"/>
    </row>
    <row r="295" ht="15.75" customHeight="1">
      <c r="A295" s="13"/>
      <c r="B295" s="13"/>
      <c r="C295" s="13"/>
      <c r="D295" s="13"/>
      <c r="E295" s="13"/>
      <c r="F295" s="13"/>
      <c r="G295" s="13"/>
    </row>
    <row r="296" ht="15.75" customHeight="1">
      <c r="A296" s="13"/>
      <c r="B296" s="13"/>
      <c r="C296" s="13"/>
      <c r="D296" s="13"/>
      <c r="E296" s="13"/>
      <c r="F296" s="13"/>
      <c r="G296" s="13"/>
    </row>
    <row r="297" ht="15.75" customHeight="1">
      <c r="A297" s="13"/>
      <c r="B297" s="13"/>
      <c r="C297" s="13"/>
      <c r="D297" s="13"/>
      <c r="E297" s="13"/>
      <c r="F297" s="13"/>
      <c r="G297" s="13"/>
    </row>
    <row r="298" ht="15.75" customHeight="1">
      <c r="A298" s="13"/>
      <c r="B298" s="13"/>
      <c r="C298" s="13"/>
      <c r="D298" s="13"/>
      <c r="E298" s="13"/>
      <c r="F298" s="13"/>
      <c r="G298" s="13"/>
    </row>
    <row r="299" ht="15.75" customHeight="1">
      <c r="A299" s="13"/>
      <c r="B299" s="13"/>
      <c r="C299" s="13"/>
      <c r="D299" s="13"/>
      <c r="E299" s="13"/>
      <c r="F299" s="13"/>
      <c r="G299" s="13"/>
    </row>
    <row r="300" ht="15.75" customHeight="1">
      <c r="A300" s="13"/>
      <c r="B300" s="13"/>
      <c r="C300" s="13"/>
      <c r="D300" s="13"/>
      <c r="E300" s="13"/>
      <c r="F300" s="13"/>
      <c r="G300" s="13"/>
    </row>
    <row r="301" ht="15.75" customHeight="1">
      <c r="A301" s="13"/>
      <c r="B301" s="13"/>
      <c r="C301" s="13"/>
      <c r="D301" s="13"/>
      <c r="E301" s="13"/>
      <c r="F301" s="13"/>
      <c r="G301" s="13"/>
    </row>
    <row r="302" ht="15.75" customHeight="1">
      <c r="A302" s="13"/>
      <c r="B302" s="13"/>
      <c r="C302" s="13"/>
      <c r="D302" s="13"/>
      <c r="E302" s="13"/>
      <c r="F302" s="13"/>
      <c r="G302" s="13"/>
    </row>
    <row r="303" ht="15.75" customHeight="1">
      <c r="A303" s="13"/>
      <c r="B303" s="13"/>
      <c r="C303" s="13"/>
      <c r="D303" s="13"/>
      <c r="E303" s="13"/>
      <c r="F303" s="13"/>
      <c r="G303" s="13"/>
    </row>
    <row r="304" ht="15.75" customHeight="1">
      <c r="A304" s="13"/>
      <c r="B304" s="13"/>
      <c r="C304" s="13"/>
      <c r="D304" s="13"/>
      <c r="E304" s="13"/>
      <c r="F304" s="13"/>
      <c r="G304" s="13"/>
    </row>
    <row r="305" ht="15.75" customHeight="1">
      <c r="A305" s="13"/>
      <c r="B305" s="13"/>
      <c r="C305" s="13"/>
      <c r="D305" s="13"/>
      <c r="E305" s="13"/>
      <c r="F305" s="13"/>
      <c r="G305" s="13"/>
    </row>
    <row r="306" ht="15.75" customHeight="1">
      <c r="A306" s="13"/>
      <c r="B306" s="13"/>
      <c r="C306" s="13"/>
      <c r="D306" s="13"/>
      <c r="E306" s="13"/>
      <c r="F306" s="13"/>
      <c r="G306" s="13"/>
    </row>
    <row r="307" ht="15.75" customHeight="1">
      <c r="A307" s="13"/>
      <c r="B307" s="13"/>
      <c r="C307" s="13"/>
      <c r="D307" s="13"/>
      <c r="E307" s="13"/>
      <c r="F307" s="13"/>
      <c r="G307" s="13"/>
    </row>
    <row r="308" ht="15.75" customHeight="1">
      <c r="A308" s="13"/>
      <c r="B308" s="13"/>
      <c r="C308" s="13"/>
      <c r="D308" s="13"/>
      <c r="E308" s="13"/>
      <c r="F308" s="13"/>
      <c r="G308" s="13"/>
    </row>
    <row r="309" ht="15.75" customHeight="1">
      <c r="A309" s="13"/>
      <c r="B309" s="13"/>
      <c r="C309" s="13"/>
      <c r="D309" s="13"/>
      <c r="E309" s="13"/>
      <c r="F309" s="13"/>
      <c r="G309" s="13"/>
    </row>
    <row r="310" ht="15.75" customHeight="1">
      <c r="A310" s="13"/>
      <c r="B310" s="13"/>
      <c r="C310" s="13"/>
      <c r="D310" s="13"/>
      <c r="E310" s="13"/>
      <c r="F310" s="13"/>
      <c r="G310" s="13"/>
    </row>
    <row r="311" ht="15.75" customHeight="1">
      <c r="A311" s="13"/>
      <c r="B311" s="13"/>
      <c r="C311" s="13"/>
      <c r="D311" s="13"/>
      <c r="E311" s="13"/>
      <c r="F311" s="13"/>
      <c r="G311" s="13"/>
    </row>
    <row r="312" ht="15.75" customHeight="1">
      <c r="A312" s="13"/>
      <c r="B312" s="13"/>
      <c r="C312" s="13"/>
      <c r="D312" s="13"/>
      <c r="E312" s="13"/>
      <c r="F312" s="13"/>
      <c r="G312" s="13"/>
    </row>
    <row r="313" ht="15.75" customHeight="1">
      <c r="A313" s="13"/>
      <c r="B313" s="13"/>
      <c r="C313" s="13"/>
      <c r="D313" s="13"/>
      <c r="E313" s="13"/>
      <c r="F313" s="13"/>
      <c r="G313" s="13"/>
    </row>
    <row r="314" ht="15.75" customHeight="1">
      <c r="A314" s="13"/>
      <c r="B314" s="13"/>
      <c r="C314" s="13"/>
      <c r="D314" s="13"/>
      <c r="E314" s="13"/>
      <c r="F314" s="13"/>
      <c r="G314" s="13"/>
    </row>
    <row r="315" ht="15.75" customHeight="1">
      <c r="A315" s="13"/>
      <c r="B315" s="13"/>
      <c r="C315" s="13"/>
      <c r="D315" s="13"/>
      <c r="E315" s="13"/>
      <c r="F315" s="13"/>
      <c r="G315" s="13"/>
    </row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G2"/>
    <mergeCell ref="B37:F37"/>
    <mergeCell ref="B63:F63"/>
    <mergeCell ref="B115:E115"/>
  </mergeCells>
  <conditionalFormatting sqref="H3:H62">
    <cfRule type="notContainsBlanks" dxfId="0" priority="1">
      <formula>LEN(TRIM(H3))&gt;0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38.0"/>
    <col customWidth="1" min="3" max="3" width="42.0"/>
    <col customWidth="1" min="4" max="4" width="18.0"/>
    <col customWidth="1" min="5" max="5" width="24.0"/>
    <col customWidth="1" min="6" max="7" width="20.0"/>
  </cols>
  <sheetData>
    <row r="1" ht="15.75" customHeight="1">
      <c r="A1" s="1" t="s">
        <v>437</v>
      </c>
      <c r="B1" s="1" t="s">
        <v>438</v>
      </c>
      <c r="C1" s="1" t="s">
        <v>439</v>
      </c>
      <c r="D1" s="1" t="s">
        <v>440</v>
      </c>
      <c r="E1" s="1" t="s">
        <v>441</v>
      </c>
      <c r="F1" s="1" t="s">
        <v>442</v>
      </c>
      <c r="G1" s="1" t="s">
        <v>443</v>
      </c>
    </row>
    <row r="2" ht="15.75" customHeight="1">
      <c r="A2" s="39">
        <f>RAW_699!A3</f>
        <v>1</v>
      </c>
      <c r="B2" s="40" t="str">
        <f>RAW_699!B3</f>
        <v>Công ty nhiệt điện Na Dương</v>
      </c>
      <c r="C2" s="40" t="str">
        <f>RAW_699!C3</f>
        <v>Thị trấn Na Dương, huyện Lộc Bình, tỉnh Lang Sơn</v>
      </c>
      <c r="D2" s="39" t="str">
        <f>IF(RAW_699!D3="","",IF(ISNUMBER(RAW_699!D3),TEXT(RAW_699!D3,"0"),RAW_699!D3))</f>
        <v>0104297034-001</v>
      </c>
      <c r="E2" s="40" t="str">
        <f>RAW_699!E3</f>
        <v>Phạm Đức Tuyên</v>
      </c>
      <c r="F2" s="41">
        <f>IF(RAW_699!F3="","",IF(ISNUMBER(RAW_699!F3),IF(MOD(RAW_699!F3,1)=0,RAW_699!F3,ROUND(RAW_699!F3*1000,0)),VALUE(SUBSTITUTE(RAW_699!F3,",",""))))</f>
        <v>1035566</v>
      </c>
      <c r="G2" s="41">
        <f>IF(RAW_699!G3="","",IF(ISNUMBER(RAW_699!G3),IF(MOD(RAW_699!G3,1)=0,RAW_699!G3,ROUND(RAW_699!G3*1000,0)),VALUE(SUBSTITUTE(RAW_699!G3,",",""))))</f>
        <v>1134493</v>
      </c>
    </row>
    <row r="3" ht="15.75" customHeight="1">
      <c r="A3" s="39">
        <f>RAW_699!A4</f>
        <v>2</v>
      </c>
      <c r="B3" s="40" t="str">
        <f>RAW_699!B4</f>
        <v>Công ty nhiệt điện Sơn động Việt Nam</v>
      </c>
      <c r="C3" s="40" t="str">
        <f>RAW_699!C4</f>
        <v>Thị trấn Tây Yên Tử, huyện Sơn Đông, tỉnh Bắc Giang</v>
      </c>
      <c r="D3" s="39" t="str">
        <f>IF(RAW_699!D4="","",IF(ISNUMBER(RAW_699!D4),TEXT(RAW_699!D4,"0"),RAW_699!D4))</f>
        <v>0104297034-003</v>
      </c>
      <c r="E3" s="40" t="str">
        <f>RAW_699!E4</f>
        <v>Dương Hồng Đường</v>
      </c>
      <c r="F3" s="41">
        <f>IF(RAW_699!F4="","",IF(ISNUMBER(RAW_699!F4),IF(MOD(RAW_699!F4,1)=0,RAW_699!F4,ROUND(RAW_699!F4*1000,0)),VALUE(SUBSTITUTE(RAW_699!F4,",",""))))</f>
        <v>2032458</v>
      </c>
      <c r="G3" s="41">
        <f>IF(RAW_699!G4="","",IF(ISNUMBER(RAW_699!G4),IF(MOD(RAW_699!G4,1)=0,RAW_699!G4,ROUND(RAW_699!G4*1000,0)),VALUE(SUBSTITUTE(RAW_699!G4,",",""))))</f>
        <v>2226618</v>
      </c>
    </row>
    <row r="4" ht="15.75" customHeight="1">
      <c r="A4" s="39">
        <f>RAW_699!A5</f>
        <v>3</v>
      </c>
      <c r="B4" s="40" t="str">
        <f>RAW_699!B5</f>
        <v>Công ty Nhiệt điện Uông Bí</v>
      </c>
      <c r="C4" s="40" t="str">
        <f>RAW_699!C5</f>
        <v>Khu 6, Quang Trung, thành phố Uông Bí, tỉnh Quảng Ninh</v>
      </c>
      <c r="D4" s="39" t="str">
        <f>IF(RAW_699!D5="","",IF(ISNUMBER(RAW_699!D5),TEXT(RAW_699!D5,"0"),RAW_699!D5))</f>
        <v>5701662152-010</v>
      </c>
      <c r="E4" s="40" t="str">
        <f>RAW_699!E5</f>
        <v>Đỗ Trung Kiên</v>
      </c>
      <c r="F4" s="41">
        <f>IF(RAW_699!F5="","",IF(ISNUMBER(RAW_699!F5),IF(MOD(RAW_699!F5,1)=0,RAW_699!F5,ROUND(RAW_699!F5*1000,0)),VALUE(SUBSTITUTE(RAW_699!F5,",",""))))</f>
        <v>5691098</v>
      </c>
      <c r="G4" s="41">
        <f>IF(RAW_699!G5="","",IF(ISNUMBER(RAW_699!G5),IF(MOD(RAW_699!G5,1)=0,RAW_699!G5,ROUND(RAW_699!G5*1000,0)),VALUE(SUBSTITUTE(RAW_699!G5,",",""))))</f>
        <v>6234766</v>
      </c>
    </row>
    <row r="5" ht="15.75" customHeight="1">
      <c r="A5" s="39">
        <f>RAW_699!A6</f>
        <v>4</v>
      </c>
      <c r="B5" s="40" t="str">
        <f>RAW_699!B6</f>
        <v>Công ty Cổ phần Nhiệt điện Quảng Ninh</v>
      </c>
      <c r="C5" s="40" t="str">
        <f>RAW_699!C6</f>
        <v>T33K5, phường Hà Khánh, Hạ Long, tỉnh Quảng Ninh</v>
      </c>
      <c r="D5" s="39" t="str">
        <f>IF(RAW_699!D6="","",IF(ISNUMBER(RAW_699!D6),TEXT(RAW_699!D6,"0"),RAW_699!D6))</f>
        <v>5700434869</v>
      </c>
      <c r="E5" s="40" t="str">
        <f>RAW_699!E6</f>
        <v>Nguyễn Việt Dũng</v>
      </c>
      <c r="F5" s="41">
        <f>IF(RAW_699!F6="","",IF(ISNUMBER(RAW_699!F6),IF(MOD(RAW_699!F6,1)=0,RAW_699!F6,ROUND(RAW_699!F6*1000,0)),VALUE(SUBSTITUTE(RAW_699!F6,",",""))))</f>
        <v>11097421</v>
      </c>
      <c r="G5" s="41">
        <f>IF(RAW_699!G6="","",IF(ISNUMBER(RAW_699!G6),IF(MOD(RAW_699!G6,1)=0,RAW_699!G6,ROUND(RAW_699!G6*1000,0)),VALUE(SUBSTITUTE(RAW_699!G6,",",""))))</f>
        <v>12157553</v>
      </c>
    </row>
    <row r="6" ht="15.75" customHeight="1">
      <c r="A6" s="39">
        <f>RAW_699!A7</f>
        <v>5</v>
      </c>
      <c r="B6" s="40" t="str">
        <f>RAW_699!B7</f>
        <v>Công ty Nhiệt điện Cẩm Phả - TKV</v>
      </c>
      <c r="C6" s="40" t="str">
        <f>RAW_699!C7</f>
        <v>Tổ 4, khu 4A, Phường Cẩm Thịnh, Cẩm Phả, tỉnh Quảng Ninh</v>
      </c>
      <c r="D6" s="39" t="str">
        <f>IF(RAW_699!D7="","",IF(ISNUMBER(RAW_699!D7),TEXT(RAW_699!D7,"0"),RAW_699!D7))</f>
        <v>0104297034-008</v>
      </c>
      <c r="E6" s="40" t="str">
        <f>RAW_699!E7</f>
        <v>Trần Văn Hoan</v>
      </c>
      <c r="F6" s="41">
        <f>IF(RAW_699!F7="","",IF(ISNUMBER(RAW_699!F7),IF(MOD(RAW_699!F7,1)=0,RAW_699!F7,ROUND(RAW_699!F7*1000,0)),VALUE(SUBSTITUTE(RAW_699!F7,",",""))))</f>
        <v>3585092</v>
      </c>
      <c r="G6" s="41">
        <f>IF(RAW_699!G7="","",IF(ISNUMBER(RAW_699!G7),IF(MOD(RAW_699!G7,1)=0,RAW_699!G7,ROUND(RAW_699!G7*1000,0)),VALUE(SUBSTITUTE(RAW_699!G7,",",""))))</f>
        <v>3927575</v>
      </c>
    </row>
    <row r="7" ht="15.75" customHeight="1">
      <c r="A7" s="39">
        <f>RAW_699!A8</f>
        <v>6</v>
      </c>
      <c r="B7" s="40" t="str">
        <f>RAW_699!B8</f>
        <v>Công ty TNHH Điện Lực AES Mông Dương - Nhà máy nhiệt điện Mông Dương II</v>
      </c>
      <c r="C7" s="40" t="str">
        <f>RAW_699!C8</f>
        <v>Khu 8, phường Mông Dương, Cẩm Phả, tỉnh Quảng Ninh</v>
      </c>
      <c r="D7" s="39" t="str">
        <f>IF(RAW_699!D8="","",IF(ISNUMBER(RAW_699!D8),TEXT(RAW_699!D8,"0"),RAW_699!D8))</f>
        <v>5701384498</v>
      </c>
      <c r="E7" s="40" t="str">
        <f>RAW_699!E8</f>
        <v>Oliver Robert Jean Marquette</v>
      </c>
      <c r="F7" s="41">
        <f>IF(RAW_699!F8="","",IF(ISNUMBER(RAW_699!F8),IF(MOD(RAW_699!F8,1)=0,RAW_699!F8,ROUND(RAW_699!F8*1000,0)),VALUE(SUBSTITUTE(RAW_699!F8,",",""))))</f>
        <v>12190431</v>
      </c>
      <c r="G7" s="41">
        <f>IF(RAW_699!G8="","",IF(ISNUMBER(RAW_699!G8),IF(MOD(RAW_699!G8,1)=0,RAW_699!G8,ROUND(RAW_699!G8*1000,0)),VALUE(SUBSTITUTE(RAW_699!G8,",",""))))</f>
        <v>13354978</v>
      </c>
    </row>
    <row r="8" ht="15.75" customHeight="1">
      <c r="A8" s="39">
        <f>RAW_699!A9</f>
        <v>7</v>
      </c>
      <c r="B8" s="40" t="str">
        <f>RAW_699!B9</f>
        <v>Công ty Nhiệt điện Đông Triều - TKV - Nhà máy nhiệt điện Mạo Khê</v>
      </c>
      <c r="C8" s="40" t="str">
        <f>RAW_699!C9</f>
        <v>Thôn Đồng Sơn, xã Bình Khê, Đông Triều, tỉnh Quảng Ninh</v>
      </c>
      <c r="D8" s="39" t="str">
        <f>IF(RAW_699!D9="","",IF(ISNUMBER(RAW_699!D9),TEXT(RAW_699!D9,"0"),RAW_699!D9))</f>
        <v>0104297034-006</v>
      </c>
      <c r="E8" s="40" t="str">
        <f>RAW_699!E9</f>
        <v>Nguyễn Đình Tuấn</v>
      </c>
      <c r="F8" s="41">
        <f>IF(RAW_699!F9="","",IF(ISNUMBER(RAW_699!F9),IF(MOD(RAW_699!F9,1)=0,RAW_699!F9,ROUND(RAW_699!F9*1000,0)),VALUE(SUBSTITUTE(RAW_699!F9,",",""))))</f>
        <v>4436759</v>
      </c>
      <c r="G8" s="41">
        <f>IF(RAW_699!G9="","",IF(ISNUMBER(RAW_699!G9),IF(MOD(RAW_699!G9,1)=0,RAW_699!G9,ROUND(RAW_699!G9*1000,0)),VALUE(SUBSTITUTE(RAW_699!G9,",",""))))</f>
        <v>4860601</v>
      </c>
    </row>
    <row r="9" ht="15.75" customHeight="1">
      <c r="A9" s="39">
        <f>RAW_699!A10</f>
        <v>8</v>
      </c>
      <c r="B9" s="40" t="str">
        <f>RAW_699!B10</f>
        <v>Nhà máy nhiệt điện Mông Dương I - Công ty Nhiệt điện Mông Dương</v>
      </c>
      <c r="C9" s="40" t="str">
        <f>RAW_699!C10</f>
        <v>Phường Mông Dương, Cẩm Phả, tỉnh Quảng Ninh</v>
      </c>
      <c r="D9" s="39" t="str">
        <f>IF(RAW_699!D10="","",IF(ISNUMBER(RAW_699!D10),TEXT(RAW_699!D10,"0"),RAW_699!D10))</f>
        <v>3502208399-008</v>
      </c>
      <c r="E9" s="40" t="str">
        <f>RAW_699!E10</f>
        <v>Nguyễn Hữu Tuấn</v>
      </c>
      <c r="F9" s="41">
        <f>IF(RAW_699!F10="","",IF(ISNUMBER(RAW_699!F10),IF(MOD(RAW_699!F10,1)=0,RAW_699!F10,ROUND(RAW_699!F10*1000,0)),VALUE(SUBSTITUTE(RAW_699!F10,",",""))))</f>
        <v>9556403</v>
      </c>
      <c r="G9" s="41">
        <f>IF(RAW_699!G10="","",IF(ISNUMBER(RAW_699!G10),IF(MOD(RAW_699!G10,1)=0,RAW_699!G10,ROUND(RAW_699!G10*1000,0)),VALUE(SUBSTITUTE(RAW_699!G10,",",""))))</f>
        <v>10469322</v>
      </c>
    </row>
    <row r="10" ht="15.75" customHeight="1">
      <c r="A10" s="39">
        <f>RAW_699!A11</f>
        <v>9</v>
      </c>
      <c r="B10" s="40" t="str">
        <f>RAW_699!B11</f>
        <v>Công ty Cổ phần Nhiệt điện Hải Phòng</v>
      </c>
      <c r="C10" s="40" t="str">
        <f>RAW_699!C11</f>
        <v>Xã Tam Hưng, huyện Thủy Nguyên, thành phố Hải Phòng</v>
      </c>
      <c r="D10" s="39" t="str">
        <f>IF(RAW_699!D11="","",IF(ISNUMBER(RAW_699!D11),TEXT(RAW_699!D11,"0"),RAW_699!D11))</f>
        <v>200493225</v>
      </c>
      <c r="E10" s="40" t="str">
        <f>RAW_699!E11</f>
        <v>Dương Sơn Bá</v>
      </c>
      <c r="F10" s="41">
        <f>IF(RAW_699!F11="","",IF(ISNUMBER(RAW_699!F11),IF(MOD(RAW_699!F11,1)=0,RAW_699!F11,ROUND(RAW_699!F11*1000,0)),VALUE(SUBSTITUTE(RAW_699!F11,",",""))))</f>
        <v>10239469</v>
      </c>
      <c r="G10" s="41">
        <f>IF(RAW_699!G11="","",IF(ISNUMBER(RAW_699!G11),IF(MOD(RAW_699!G11,1)=0,RAW_699!G11,ROUND(RAW_699!G11*1000,0)),VALUE(SUBSTITUTE(RAW_699!G11,",",""))))</f>
        <v>11217642</v>
      </c>
    </row>
    <row r="11" ht="15.75" customHeight="1">
      <c r="A11" s="39">
        <f>RAW_699!A12</f>
        <v>10</v>
      </c>
      <c r="B11" s="40" t="str">
        <f>RAW_699!B12</f>
        <v>Nhà máy điện Nghi Sơn 1</v>
      </c>
      <c r="C11" s="40" t="str">
        <f>RAW_699!C12</f>
        <v>Xã Hải Hà, thị xã Nghi Sơn, tỉnh Thanh Hóa</v>
      </c>
      <c r="D11" s="39" t="str">
        <f>IF(RAW_699!D12="","",IF(ISNUMBER(RAW_699!D12),TEXT(RAW_699!D12,"0"),RAW_699!D12))</f>
        <v>5701662152-011</v>
      </c>
      <c r="E11" s="40" t="str">
        <f>RAW_699!E12</f>
        <v>Võ Mạnh Hà</v>
      </c>
      <c r="F11" s="41">
        <f>IF(RAW_699!F12="","",IF(ISNUMBER(RAW_699!F12),IF(MOD(RAW_699!F12,1)=0,RAW_699!F12,ROUND(RAW_699!F12*1000,0)),VALUE(SUBSTITUTE(RAW_699!F12,",",""))))</f>
        <v>5036163</v>
      </c>
      <c r="G11" s="41">
        <f>IF(RAW_699!G12="","",IF(ISNUMBER(RAW_699!G12),IF(MOD(RAW_699!G12,1)=0,RAW_699!G12,ROUND(RAW_699!G12*1000,0)),VALUE(SUBSTITUTE(RAW_699!G12,",",""))))</f>
        <v>5517266</v>
      </c>
    </row>
    <row r="12" ht="15.75" customHeight="1">
      <c r="A12" s="39">
        <f>RAW_699!A13</f>
        <v>11</v>
      </c>
      <c r="B12" s="40" t="str">
        <f>RAW_699!B13</f>
        <v>Công ty Điện lực Dầu khí Hà Tĩnh</v>
      </c>
      <c r="C12" s="40" t="str">
        <f>RAW_699!C13</f>
        <v>Xóm Hải Phong, xã Kỳ Lợi, thị xã Kỳ Anh, tỉnh Hà Tĩnh</v>
      </c>
      <c r="D12" s="39" t="str">
        <f>IF(RAW_699!D13="","",IF(ISNUMBER(RAW_699!D13),TEXT(RAW_699!D13,"0"),RAW_699!D13))</f>
        <v>0102276173-007</v>
      </c>
      <c r="E12" s="40" t="str">
        <f>RAW_699!E13</f>
        <v>Trịnh Bảo Ngọc</v>
      </c>
      <c r="F12" s="41">
        <f>IF(RAW_699!F13="","",IF(ISNUMBER(RAW_699!F13),IF(MOD(RAW_699!F13,1)=0,RAW_699!F13,ROUND(RAW_699!F13*1000,0)),VALUE(SUBSTITUTE(RAW_699!F13,",",""))))</f>
        <v>7214687</v>
      </c>
      <c r="G12" s="41">
        <f>IF(RAW_699!G13="","",IF(ISNUMBER(RAW_699!G13),IF(MOD(RAW_699!G13,1)=0,RAW_699!G13,ROUND(RAW_699!G13*1000,0)),VALUE(SUBSTITUTE(RAW_699!G13,",",""))))</f>
        <v>7903903</v>
      </c>
    </row>
    <row r="13" ht="15.75" customHeight="1">
      <c r="A13" s="39">
        <f>RAW_699!A14</f>
        <v>12</v>
      </c>
      <c r="B13" s="40" t="str">
        <f>RAW_699!B14</f>
        <v>Công ty TNHH Hưng Nghiệp Formosa</v>
      </c>
      <c r="C13" s="40" t="str">
        <f>RAW_699!C14</f>
        <v>KCN Nhơn Trạch III _ Giai đoạn 1, thị trấn Hiệp Phước, huyện Nhơn Trạch, tỉnh Đồng Nai</v>
      </c>
      <c r="D13" s="39" t="str">
        <f>IF(RAW_699!D14="","",IF(ISNUMBER(RAW_699!D14),TEXT(RAW_699!D14,"0"),RAW_699!D14))</f>
        <v>3600517557</v>
      </c>
      <c r="E13" s="40" t="str">
        <f>RAW_699!E14</f>
        <v>Huang Chien Fu</v>
      </c>
      <c r="F13" s="41">
        <f>IF(RAW_699!F14="","",IF(ISNUMBER(RAW_699!F14),IF(MOD(RAW_699!F14,1)=0,RAW_699!F14,ROUND(RAW_699!F14*1000,0)),VALUE(SUBSTITUTE(RAW_699!F14,",",""))))</f>
        <v>2558365</v>
      </c>
      <c r="G13" s="41">
        <f>IF(RAW_699!G14="","",IF(ISNUMBER(RAW_699!G14),IF(MOD(RAW_699!G14,1)=0,RAW_699!G14,ROUND(RAW_699!G14*1000,0)),VALUE(SUBSTITUTE(RAW_699!G14,",",""))))</f>
        <v>2802764</v>
      </c>
    </row>
    <row r="14" ht="15.75" customHeight="1">
      <c r="A14" s="39">
        <f>RAW_699!A15</f>
        <v>13</v>
      </c>
      <c r="B14" s="40" t="str">
        <f>RAW_699!B15</f>
        <v>Công ty TNHH Điện lực Vĩnh Tân 1 (Nhà máy nhiệt điện BOT Vĩnh Tân 1)</v>
      </c>
      <c r="C14" s="40" t="str">
        <f>RAW_699!C15</f>
        <v>Thôn Vĩnh Phúc, xã Vĩnh Tân, huyện Tuy Phong, tỉnh Bình Thuận</v>
      </c>
      <c r="D14" s="39" t="str">
        <f>IF(RAW_699!D15="","",IF(ISNUMBER(RAW_699!D15),TEXT(RAW_699!D15,"0"),RAW_699!D15))</f>
        <v>3401060812</v>
      </c>
      <c r="E14" s="40" t="str">
        <f>RAW_699!E15</f>
        <v>Chen HongPeng</v>
      </c>
      <c r="F14" s="41">
        <f>IF(RAW_699!F15="","",IF(ISNUMBER(RAW_699!F15),IF(MOD(RAW_699!F15,1)=0,RAW_699!F15,ROUND(RAW_699!F15*1000,0)),VALUE(SUBSTITUTE(RAW_699!F15,",",""))))</f>
        <v>11856608</v>
      </c>
      <c r="G14" s="41">
        <f>IF(RAW_699!G15="","",IF(ISNUMBER(RAW_699!G15),IF(MOD(RAW_699!G15,1)=0,RAW_699!G15,ROUND(RAW_699!G15*1000,0)),VALUE(SUBSTITUTE(RAW_699!G15,",",""))))</f>
        <v>12989265</v>
      </c>
    </row>
    <row r="15" ht="15.75" customHeight="1">
      <c r="A15" s="39">
        <f>RAW_699!A16</f>
        <v>14</v>
      </c>
      <c r="B15" s="40" t="str">
        <f>RAW_699!B16</f>
        <v>Công ty Nhiệt điện Vĩnh Tân -CW nhánh TNHH MTV Tổng công ty Phát điện 3 (Nhà máy nhiệt điện Vĩnh Tân 2)</v>
      </c>
      <c r="C15" s="40" t="str">
        <f>RAW_699!C16</f>
        <v>Thôn Vĩnh Phúc, xã Vĩnh Tân, huyện Tuy Phong, tỉnh Bình Thuận</v>
      </c>
      <c r="D15" s="39" t="str">
        <f>IF(RAW_699!D16="","",IF(ISNUMBER(RAW_699!D16),TEXT(RAW_699!D16,"0"),RAW_699!D16))</f>
        <v>3502208399-007</v>
      </c>
      <c r="E15" s="40" t="str">
        <f>RAW_699!E16</f>
        <v>Thiên Thanh Sơn</v>
      </c>
      <c r="F15" s="41">
        <f>IF(RAW_699!F16="","",IF(ISNUMBER(RAW_699!F16),IF(MOD(RAW_699!F16,1)=0,RAW_699!F16,ROUND(RAW_699!F16*1000,0)),VALUE(SUBSTITUTE(RAW_699!F16,",",""))))</f>
        <v>10530658</v>
      </c>
      <c r="G15" s="41">
        <f>IF(RAW_699!G16="","",IF(ISNUMBER(RAW_699!G16),IF(MOD(RAW_699!G16,1)=0,RAW_699!G16,ROUND(RAW_699!G16*1000,0)),VALUE(SUBSTITUTE(RAW_699!G16,",",""))))</f>
        <v>11536648</v>
      </c>
    </row>
    <row r="16" ht="15.75" customHeight="1">
      <c r="A16" s="39">
        <f>RAW_699!A17</f>
        <v>15</v>
      </c>
      <c r="B16" s="40" t="str">
        <f>RAW_699!B17</f>
        <v>Nhà máy nhiệt điện Vĩnh Tân 4 - 4 Mở rộng - Chi nhánh Tập đoàn Điện lực Việt Nam</v>
      </c>
      <c r="C16" s="40" t="str">
        <f>RAW_699!C17</f>
        <v>Thôn Vĩnh Phúc, xã Vĩnh Tân, huyện Tuy Phong, tỉnh Bình Thuận</v>
      </c>
      <c r="D16" s="39" t="str">
        <f>IF(RAW_699!D17="","",IF(ISNUMBER(RAW_699!D17),TEXT(RAW_699!D17,"0"),RAW_699!D17))</f>
        <v>0100100079-088</v>
      </c>
      <c r="E16" s="40" t="str">
        <f>RAW_699!E17</f>
        <v>Vũ Thanh Hải</v>
      </c>
      <c r="F16" s="41">
        <f>IF(RAW_699!F17="","",IF(ISNUMBER(RAW_699!F17),IF(MOD(RAW_699!F17,1)=0,RAW_699!F17,ROUND(RAW_699!F17*1000,0)),VALUE(SUBSTITUTE(RAW_699!F17,",",""))))</f>
        <v>8528067</v>
      </c>
      <c r="G16" s="41">
        <f>IF(RAW_699!G17="","",IF(ISNUMBER(RAW_699!G17),IF(MOD(RAW_699!G17,1)=0,RAW_699!G17,ROUND(RAW_699!G17*1000,0)),VALUE(SUBSTITUTE(RAW_699!G17,",",""))))</f>
        <v>9342750</v>
      </c>
    </row>
    <row r="17" ht="15.75" customHeight="1">
      <c r="A17" s="39">
        <f>RAW_699!A18</f>
        <v>16</v>
      </c>
      <c r="B17" s="40" t="str">
        <f>RAW_699!B18</f>
        <v>Nhà máy điện Diesel Phú Quý</v>
      </c>
      <c r="C17" s="40" t="str">
        <f>RAW_699!C18</f>
        <v>Thôn Triều Dương, xã Tam Thanh, huyện Phú Qúy, tỉnh Bình Thuận</v>
      </c>
      <c r="D17" s="39" t="str">
        <f>IF(RAW_699!D18="","",IF(ISNUMBER(RAW_699!D18),TEXT(RAW_699!D18,"0"),RAW_699!D18))</f>
        <v>0300942001-012</v>
      </c>
      <c r="E17" s="40" t="str">
        <f>RAW_699!E18</f>
        <v>Phan Sỹ Duy</v>
      </c>
      <c r="F17" s="41">
        <f>IF(RAW_699!F18="","",IF(ISNUMBER(RAW_699!F18),IF(MOD(RAW_699!F18,1)=0,RAW_699!F18,ROUND(RAW_699!F18*1000,0)),VALUE(SUBSTITUTE(RAW_699!F18,",",""))))</f>
        <v>21460</v>
      </c>
      <c r="G17" s="41">
        <f>IF(RAW_699!G18="","",IF(ISNUMBER(RAW_699!G18),IF(MOD(RAW_699!G18,1)=0,RAW_699!G18,ROUND(RAW_699!G18*1000,0)),VALUE(SUBSTITUTE(RAW_699!G18,",",""))))</f>
        <v>23510</v>
      </c>
    </row>
    <row r="18" ht="15.75" customHeight="1">
      <c r="A18" s="39">
        <f>RAW_699!A19</f>
        <v>17</v>
      </c>
      <c r="B18" s="40" t="str">
        <f>RAW_699!B19</f>
        <v>Nhà máy nhiệt điện Phú Mỹ 1 - Công ty Nhiệt điện Phú Mỹ</v>
      </c>
      <c r="C18" s="40" t="str">
        <f>RAW_699!C19</f>
        <v>Khu công nghiệp Phú Mỹ 1, phường Phú Mỹ, thị xã Phú Mỹ, tỉnh Bà Rịa - Vũng Tàu</v>
      </c>
      <c r="D18" s="39" t="str">
        <f>IF(RAW_699!D19="","",IF(ISNUMBER(RAW_699!D19),TEXT(RAW_699!D19,"0"),RAW_699!D19))</f>
        <v>3502208399-010</v>
      </c>
      <c r="E18" s="40" t="str">
        <f>RAW_699!E19</f>
        <v>Trần Đình Ân</v>
      </c>
      <c r="F18" s="41">
        <f>IF(RAW_699!F19="","",IF(ISNUMBER(RAW_699!F19),IF(MOD(RAW_699!F19,1)=0,RAW_699!F19,ROUND(RAW_699!F19*1000,0)),VALUE(SUBSTITUTE(RAW_699!F19,",",""))))</f>
        <v>2519925</v>
      </c>
      <c r="G18" s="41">
        <f>IF(RAW_699!G19="","",IF(ISNUMBER(RAW_699!G19),IF(MOD(RAW_699!G19,1)=0,RAW_699!G19,ROUND(RAW_699!G19*1000,0)),VALUE(SUBSTITUTE(RAW_699!G19,",",""))))</f>
        <v>2760653</v>
      </c>
    </row>
    <row r="19" ht="15.75" customHeight="1">
      <c r="A19" s="39">
        <f>RAW_699!A20</f>
        <v>18</v>
      </c>
      <c r="B19" s="40" t="str">
        <f>RAW_699!B20</f>
        <v>Nhà máy nhiệt điện Phú Mỹ 2,1 và Phú Mỹ 2,1 mở rộng - Công ty Nhiệt điện Phú Mỹ</v>
      </c>
      <c r="C19" s="40" t="str">
        <f>RAW_699!C20</f>
        <v>Khu công nghiệp Phú Mỹ 1, phường Phú Mỹ, thị xã Phú Mỹ, tỉnh Bà Rịa - Vũng Tàu</v>
      </c>
      <c r="D19" s="39" t="str">
        <f>IF(RAW_699!D20="","",IF(ISNUMBER(RAW_699!D20),TEXT(RAW_699!D20,"0"),RAW_699!D20))</f>
        <v>3502208399-010</v>
      </c>
      <c r="E19" s="40" t="str">
        <f>RAW_699!E20</f>
        <v>Trần Đình Ân</v>
      </c>
      <c r="F19" s="41">
        <f>IF(RAW_699!F20="","",IF(ISNUMBER(RAW_699!F20),IF(MOD(RAW_699!F20,1)=0,RAW_699!F20,ROUND(RAW_699!F20*1000,0)),VALUE(SUBSTITUTE(RAW_699!F20,",",""))))</f>
        <v>1079828</v>
      </c>
      <c r="G19" s="41">
        <f>IF(RAW_699!G20="","",IF(ISNUMBER(RAW_699!G20),IF(MOD(RAW_699!G20,1)=0,RAW_699!G20,ROUND(RAW_699!G20*1000,0)),VALUE(SUBSTITUTE(RAW_699!G20,",",""))))</f>
        <v>1182984</v>
      </c>
    </row>
    <row r="20" ht="15.75" customHeight="1">
      <c r="A20" s="39">
        <f>RAW_699!A21</f>
        <v>19</v>
      </c>
      <c r="B20" s="40" t="str">
        <f>RAW_699!B21</f>
        <v>Nhà máy nhiệt điện Phú Mỹ 4 - Công ty Nhiệt điện Phú Mỹ</v>
      </c>
      <c r="C20" s="40" t="str">
        <f>RAW_699!C21</f>
        <v>Khu công nghiệp Phú Mỹ 1, phường Phú Mỹ, thị xã Phú Mỹ, tỉnh Bà Rịa - Vũng Tàu</v>
      </c>
      <c r="D20" s="39" t="str">
        <f>IF(RAW_699!D21="","",IF(ISNUMBER(RAW_699!D21),TEXT(RAW_699!D21,"0"),RAW_699!D21))</f>
        <v>3502208399-010</v>
      </c>
      <c r="E20" s="40" t="str">
        <f>RAW_699!E21</f>
        <v>Trần Đình Ân</v>
      </c>
      <c r="F20" s="41">
        <f>IF(RAW_699!F21="","",IF(ISNUMBER(RAW_699!F21),IF(MOD(RAW_699!F21,1)=0,RAW_699!F21,ROUND(RAW_699!F21*1000,0)),VALUE(SUBSTITUTE(RAW_699!F21,",",""))))</f>
        <v>876004</v>
      </c>
      <c r="G20" s="41">
        <f>IF(RAW_699!G21="","",IF(ISNUMBER(RAW_699!G21),IF(MOD(RAW_699!G21,1)=0,RAW_699!G21,ROUND(RAW_699!G21*1000,0)),VALUE(SUBSTITUTE(RAW_699!G21,",",""))))</f>
        <v>959689</v>
      </c>
    </row>
    <row r="21" ht="15.75" customHeight="1">
      <c r="A21" s="39">
        <f>RAW_699!A22</f>
        <v>20</v>
      </c>
      <c r="B21" s="40" t="str">
        <f>RAW_699!B22</f>
        <v>Công ty Cổ phần Nhiệt điện Bà Rịa</v>
      </c>
      <c r="C21" s="40" t="str">
        <f>RAW_699!C22</f>
        <v>Khu phố Hương Giang, phường Long Hương, thành phố Bà Rịa, tỉnh Bà Rịa - Vũng Tàu</v>
      </c>
      <c r="D21" s="39" t="str">
        <f>IF(RAW_699!D22="","",IF(ISNUMBER(RAW_699!D22),TEXT(RAW_699!D22,"0"),RAW_699!D22))</f>
        <v>3500701305</v>
      </c>
      <c r="E21" s="40" t="str">
        <f>RAW_699!E22</f>
        <v>Lê Văn Huy</v>
      </c>
      <c r="F21" s="41">
        <f>IF(RAW_699!F22="","",IF(ISNUMBER(RAW_699!F22),IF(MOD(RAW_699!F22,1)=0,RAW_699!F22,ROUND(RAW_699!F22*1000,0)),VALUE(SUBSTITUTE(RAW_699!F22,",",""))))</f>
        <v>68969</v>
      </c>
      <c r="G21" s="41">
        <f>IF(RAW_699!G22="","",IF(ISNUMBER(RAW_699!G22),IF(MOD(RAW_699!G22,1)=0,RAW_699!G22,ROUND(RAW_699!G22*1000,0)),VALUE(SUBSTITUTE(RAW_699!G22,",",""))))</f>
        <v>75558</v>
      </c>
    </row>
    <row r="22" ht="15.75" customHeight="1">
      <c r="A22" s="39">
        <f>RAW_699!A23</f>
        <v>21</v>
      </c>
      <c r="B22" s="40" t="str">
        <f>RAW_699!B23</f>
        <v>Nhà máy Điện An Hội</v>
      </c>
      <c r="C22" s="40" t="str">
        <f>RAW_699!C23</f>
        <v>Đường số 16, Khu công nghiệp Phú Mỹ 1, phường Phú Mỹ, thị xã Phú Mỹ, tỉnh Bà Rịa - Vũng Tàu</v>
      </c>
      <c r="D22" s="39" t="str">
        <f>IF(RAW_699!D23="","",IF(ISNUMBER(RAW_699!D23),TEXT(RAW_699!D23,"0"),RAW_699!D23))</f>
        <v>0300942001-026</v>
      </c>
      <c r="E22" s="40" t="str">
        <f>RAW_699!E23</f>
        <v>Nguyễn Văn Giáp</v>
      </c>
      <c r="F22" s="41">
        <f>IF(RAW_699!F23="","",IF(ISNUMBER(RAW_699!F23),IF(MOD(RAW_699!F23,1)=0,RAW_699!F23,ROUND(RAW_699!F23*1000,0)),VALUE(SUBSTITUTE(RAW_699!F23,",",""))))</f>
        <v>31803</v>
      </c>
      <c r="G22" s="41">
        <f>IF(RAW_699!G23="","",IF(ISNUMBER(RAW_699!G23),IF(MOD(RAW_699!G23,1)=0,RAW_699!G23,ROUND(RAW_699!G23*1000,0)),VALUE(SUBSTITUTE(RAW_699!G23,",",""))))</f>
        <v>34842</v>
      </c>
    </row>
    <row r="23" ht="15.75" customHeight="1">
      <c r="A23" s="39">
        <f>RAW_699!A24</f>
        <v>22</v>
      </c>
      <c r="B23" s="40" t="str">
        <f>RAW_699!B24</f>
        <v>Chi nhánh Tổng Công ty Điện lực Dầu khí Việt Nam - Công ty Cổ phần - Công ty Điện lục Dầu khí Nhơn Trạch</v>
      </c>
      <c r="C23" s="40" t="str">
        <f>RAW_699!C24</f>
        <v>Ấp 3, xã Phước Khánh, huyện Nhơn Trạch, tỉnh Đồng Nai</v>
      </c>
      <c r="D23" s="39" t="str">
        <f>IF(RAW_699!D24="","",IF(ISNUMBER(RAW_699!D24),TEXT(RAW_699!D24,"0"),RAW_699!D24))</f>
        <v>0102276173-003</v>
      </c>
      <c r="E23" s="40" t="str">
        <f>RAW_699!E24</f>
        <v>Nguyễn Thanh Tùng</v>
      </c>
      <c r="F23" s="41">
        <f>IF(RAW_699!F24="","",IF(ISNUMBER(RAW_699!F24),IF(MOD(RAW_699!F24,1)=0,RAW_699!F24,ROUND(RAW_699!F24*1000,0)),VALUE(SUBSTITUTE(RAW_699!F24,",",""))))</f>
        <v>407990</v>
      </c>
      <c r="G23" s="41">
        <f>IF(RAW_699!G24="","",IF(ISNUMBER(RAW_699!G24),IF(MOD(RAW_699!G24,1)=0,RAW_699!G24,ROUND(RAW_699!G24*1000,0)),VALUE(SUBSTITUTE(RAW_699!G24,",",""))))</f>
        <v>446965</v>
      </c>
    </row>
    <row r="24" ht="15.75" customHeight="1">
      <c r="A24" s="39">
        <f>RAW_699!A25</f>
        <v>23</v>
      </c>
      <c r="B24" s="40" t="str">
        <f>RAW_699!B25</f>
        <v>Nhà máy nhiệt điện VEDAN</v>
      </c>
      <c r="C24" s="40" t="str">
        <f>RAW_699!C25</f>
        <v>TP, Biên Hòa, tỉnh Đồng Nai</v>
      </c>
      <c r="D24" s="39" t="str">
        <f>IF(RAW_699!D25="","",IF(ISNUMBER(RAW_699!D25),TEXT(RAW_699!D25,"0"),RAW_699!D25))</f>
        <v>3600239719</v>
      </c>
      <c r="E24" s="40" t="str">
        <f>RAW_699!E25</f>
        <v>Yang Tou Hisung</v>
      </c>
      <c r="F24" s="41">
        <f>IF(RAW_699!F25="","",IF(ISNUMBER(RAW_699!F25),IF(MOD(RAW_699!F25,1)=0,RAW_699!F25,ROUND(RAW_699!F25*1000,0)),VALUE(SUBSTITUTE(RAW_699!F25,",",""))))</f>
        <v>512653</v>
      </c>
      <c r="G24" s="41">
        <f>IF(RAW_699!G25="","",IF(ISNUMBER(RAW_699!G25),IF(MOD(RAW_699!G25,1)=0,RAW_699!G25,ROUND(RAW_699!G25*1000,0)),VALUE(SUBSTITUTE(RAW_699!G25,",",""))))</f>
        <v>561627</v>
      </c>
    </row>
    <row r="25" ht="15.75" customHeight="1">
      <c r="A25" s="39">
        <f>RAW_699!A26</f>
        <v>24</v>
      </c>
      <c r="B25" s="40" t="str">
        <f>RAW_699!B26</f>
        <v>Nhà máy nhiệt điện Amata</v>
      </c>
      <c r="C25" s="40" t="str">
        <f>RAW_699!C26</f>
        <v>TP, Biên Hòa, tỉnh Đồng Nai</v>
      </c>
      <c r="D25" s="39" t="str">
        <f>IF(RAW_699!D26="","",IF(ISNUMBER(RAW_699!D26),TEXT(RAW_699!D26,"0"),RAW_699!D26))</f>
        <v>3600257958</v>
      </c>
      <c r="E25" s="40" t="str">
        <f>RAW_699!E26</f>
        <v>Peradach Patanachan</v>
      </c>
      <c r="F25" s="41">
        <f>IF(RAW_699!F26="","",IF(ISNUMBER(RAW_699!F26),IF(MOD(RAW_699!F26,1)=0,RAW_699!F26,ROUND(RAW_699!F26*1000,0)),VALUE(SUBSTITUTE(RAW_699!F26,",",""))))</f>
        <v>89</v>
      </c>
      <c r="G25" s="41">
        <f>IF(RAW_699!G26="","",IF(ISNUMBER(RAW_699!G26),IF(MOD(RAW_699!G26,1)=0,RAW_699!G26,ROUND(RAW_699!G26*1000,0)),VALUE(SUBSTITUTE(RAW_699!G26,",",""))))</f>
        <v>97</v>
      </c>
    </row>
    <row r="26" ht="15.75" customHeight="1">
      <c r="A26" s="39">
        <f>RAW_699!A27</f>
        <v>25</v>
      </c>
      <c r="B26" s="40" t="str">
        <f>RAW_699!B27</f>
        <v>Nhà máy nhiệt điện Nhơn Trạch 2</v>
      </c>
      <c r="C26" s="40" t="str">
        <f>RAW_699!C27</f>
        <v>Huyện Nhơn Trạch, tỉnh Đồng Nai</v>
      </c>
      <c r="D26" s="39" t="str">
        <f>IF(RAW_699!D27="","",IF(ISNUMBER(RAW_699!D27),TEXT(RAW_699!D27,"0"),RAW_699!D27))</f>
        <v>3600897316</v>
      </c>
      <c r="E26" s="40" t="str">
        <f>RAW_699!E27</f>
        <v>Ngô Đức Nhân</v>
      </c>
      <c r="F26" s="41">
        <f>IF(RAW_699!F27="","",IF(ISNUMBER(RAW_699!F27),IF(MOD(RAW_699!F27,1)=0,RAW_699!F27,ROUND(RAW_699!F27*1000,0)),VALUE(SUBSTITUTE(RAW_699!F27,",",""))))</f>
        <v>1617372</v>
      </c>
      <c r="G26" s="41">
        <f>IF(RAW_699!G27="","",IF(ISNUMBER(RAW_699!G27),IF(MOD(RAW_699!G27,1)=0,RAW_699!G27,ROUND(RAW_699!G27*1000,0)),VALUE(SUBSTITUTE(RAW_699!G27,",",""))))</f>
        <v>1771879</v>
      </c>
    </row>
    <row r="27" ht="15.75" customHeight="1">
      <c r="A27" s="39">
        <f>RAW_699!A28</f>
        <v>26</v>
      </c>
      <c r="B27" s="40" t="str">
        <f>RAW_699!B28</f>
        <v>Công ty Nhiệt điện Duyên Hải (Nhà máy Duyên Hải 1)</v>
      </c>
      <c r="C27" s="40" t="str">
        <f>RAW_699!C28</f>
        <v>Xã Dân Thành, thị xã Duyên Hải, tỉnh Trà Vinh</v>
      </c>
      <c r="D27" s="39" t="str">
        <f>IF(RAW_699!D28="","",IF(ISNUMBER(RAW_699!D28),TEXT(RAW_699!D28,"0"),RAW_699!D28))</f>
        <v>5701662152-009</v>
      </c>
      <c r="E27" s="40" t="str">
        <f>RAW_699!E28</f>
        <v>Ngô Văn Sỹ</v>
      </c>
      <c r="F27" s="41">
        <f>IF(RAW_699!F28="","",IF(ISNUMBER(RAW_699!F28),IF(MOD(RAW_699!F28,1)=0,RAW_699!F28,ROUND(RAW_699!F28*1000,0)),VALUE(SUBSTITUTE(RAW_699!F28,",",""))))</f>
        <v>9663688</v>
      </c>
      <c r="G27" s="41">
        <f>IF(RAW_699!G28="","",IF(ISNUMBER(RAW_699!G28),IF(MOD(RAW_699!G28,1)=0,RAW_699!G28,ROUND(RAW_699!G28*1000,0)),VALUE(SUBSTITUTE(RAW_699!G28,",",""))))</f>
        <v>10586856</v>
      </c>
    </row>
    <row r="28" ht="15.75" customHeight="1">
      <c r="A28" s="39">
        <f>RAW_699!A29</f>
        <v>27</v>
      </c>
      <c r="B28" s="40" t="str">
        <f>RAW_699!B29</f>
        <v>Công ty Nhiệt điện Duyên Hải (Nhà máy Duyên Hải 3)</v>
      </c>
      <c r="C28" s="40" t="str">
        <f>RAW_699!C29</f>
        <v>Xã Dân Thành, thị xã Duyên Hải, tỉnh Trà Vinh</v>
      </c>
      <c r="D28" s="39" t="str">
        <f>IF(RAW_699!D29="","",IF(ISNUMBER(RAW_699!D29),TEXT(RAW_699!D29,"0"),RAW_699!D29))</f>
        <v>5701662152-009</v>
      </c>
      <c r="E28" s="40" t="str">
        <f>RAW_699!E29</f>
        <v>Ngô Văn Sỹ</v>
      </c>
      <c r="F28" s="41">
        <f>IF(RAW_699!F29="","",IF(ISNUMBER(RAW_699!F29),IF(MOD(RAW_699!F29,1)=0,RAW_699!F29,ROUND(RAW_699!F29*1000,0)),VALUE(SUBSTITUTE(RAW_699!F29,",",""))))</f>
        <v>3623243</v>
      </c>
      <c r="G28" s="41">
        <f>IF(RAW_699!G29="","",IF(ISNUMBER(RAW_699!G29),IF(MOD(RAW_699!G29,1)=0,RAW_699!G29,ROUND(RAW_699!G29*1000,0)),VALUE(SUBSTITUTE(RAW_699!G29,",",""))))</f>
        <v>3969369</v>
      </c>
    </row>
    <row r="29" ht="15.75" customHeight="1">
      <c r="A29" s="39">
        <f>RAW_699!A30</f>
        <v>28</v>
      </c>
      <c r="B29" s="40" t="str">
        <f>RAW_699!B30</f>
        <v>Công ty Nhiệt điện Duyên Hải (Nhà máy Duyên Hải 3 MR)</v>
      </c>
      <c r="C29" s="40" t="str">
        <f>RAW_699!C30</f>
        <v>Xã Dân Thành, thị xã Duyên Hải, tỉnh Trà Vinh</v>
      </c>
      <c r="D29" s="39" t="str">
        <f>IF(RAW_699!D30="","",IF(ISNUMBER(RAW_699!D30),TEXT(RAW_699!D30,"0"),RAW_699!D30))</f>
        <v>5701662152-009</v>
      </c>
      <c r="E29" s="40" t="str">
        <f>RAW_699!E30</f>
        <v>Ngô Văn Sỹ</v>
      </c>
      <c r="F29" s="41">
        <f>IF(RAW_699!F30="","",IF(ISNUMBER(RAW_699!F30),IF(MOD(RAW_699!F30,1)=0,RAW_699!F30,ROUND(RAW_699!F30*1000,0)),VALUE(SUBSTITUTE(RAW_699!F30,",",""))))</f>
        <v>2728391</v>
      </c>
      <c r="G29" s="41">
        <f>IF(RAW_699!G30="","",IF(ISNUMBER(RAW_699!G30),IF(MOD(RAW_699!G30,1)=0,RAW_699!G30,ROUND(RAW_699!G30*1000,0)),VALUE(SUBSTITUTE(RAW_699!G30,",",""))))</f>
        <v>2989033</v>
      </c>
    </row>
    <row r="30" ht="15.75" customHeight="1">
      <c r="A30" s="39">
        <f>RAW_699!A31</f>
        <v>29</v>
      </c>
      <c r="B30" s="40" t="str">
        <f>RAW_699!B31</f>
        <v>Công ty TNHH gang thép Hưng Nghiệp Formosa Hà Tĩnh</v>
      </c>
      <c r="C30" s="40" t="str">
        <f>RAW_699!C31</f>
        <v>Khu kinh tế Vũng Áng, phường Vũng Áng, tỉnh Hà Tĩnh</v>
      </c>
      <c r="D30" s="39" t="str">
        <f>IF(RAW_699!D31="","",IF(ISNUMBER(RAW_699!D31),TEXT(RAW_699!D31,"0"),RAW_699!D31))</f>
        <v>3000437821</v>
      </c>
      <c r="E30" s="40" t="str">
        <f>RAW_699!E31</f>
        <v>Chen, Chun-Liang</v>
      </c>
      <c r="F30" s="41">
        <f>IF(RAW_699!F31="","",IF(ISNUMBER(RAW_699!F31),IF(MOD(RAW_699!F31,1)=0,RAW_699!F31,ROUND(RAW_699!F31*1000,0)),VALUE(SUBSTITUTE(RAW_699!F31,",",""))))</f>
        <v>5199840</v>
      </c>
      <c r="G30" s="41">
        <f>IF(RAW_699!G31="","",IF(ISNUMBER(RAW_699!G31),IF(MOD(RAW_699!G31,1)=0,RAW_699!G31,ROUND(RAW_699!G31*1000,0)),VALUE(SUBSTITUTE(RAW_699!G31,",",""))))</f>
        <v>5696578</v>
      </c>
    </row>
    <row r="31" ht="15.75" customHeight="1">
      <c r="A31" s="39">
        <f>RAW_699!A32</f>
        <v>30</v>
      </c>
      <c r="B31" s="40" t="str">
        <f>RAW_699!B32</f>
        <v>Công ty Điện lực dầu khí Cà Mau (Nhà máy điện Cà Mau 1)</v>
      </c>
      <c r="C31" s="40" t="str">
        <f>RAW_699!C32</f>
        <v>Xã An Khánh, huyện U Minh, tỉnh Cà Mau</v>
      </c>
      <c r="D31" s="39" t="str">
        <f>IF(RAW_699!D32="","",IF(ISNUMBER(RAW_699!D32),TEXT(RAW_699!D32,"0"),RAW_699!D32))</f>
        <v>0102276173-002</v>
      </c>
      <c r="E31" s="40" t="str">
        <f>RAW_699!E32</f>
        <v>Đoàn Công Đức</v>
      </c>
      <c r="F31" s="41">
        <f>IF(RAW_699!F32="","",IF(ISNUMBER(RAW_699!F32),IF(MOD(RAW_699!F32,1)=0,RAW_699!F32,ROUND(RAW_699!F32*1000,0)),VALUE(SUBSTITUTE(RAW_699!F32,",",""))))</f>
        <v>1006602</v>
      </c>
      <c r="G31" s="41">
        <f>IF(RAW_699!G32="","",IF(ISNUMBER(RAW_699!G32),IF(MOD(RAW_699!G32,1)=0,RAW_699!G32,ROUND(RAW_699!G32*1000,0)),VALUE(SUBSTITUTE(RAW_699!G32,",",""))))</f>
        <v>1102763</v>
      </c>
    </row>
    <row r="32" ht="15.75" customHeight="1">
      <c r="A32" s="39">
        <f>RAW_699!A33</f>
        <v>31</v>
      </c>
      <c r="B32" s="40" t="str">
        <f>RAW_699!B33</f>
        <v>Công ty Điện lực dầu khí Cà Mau (Nhà máy điện Cà Mau 2)</v>
      </c>
      <c r="C32" s="40" t="str">
        <f>RAW_699!C33</f>
        <v>Xã An Khánh, huyện U Minh, tỉnh Cà Mau</v>
      </c>
      <c r="D32" s="39" t="str">
        <f>IF(RAW_699!D33="","",IF(ISNUMBER(RAW_699!D33),TEXT(RAW_699!D33,"0"),RAW_699!D33))</f>
        <v>0102276173-002</v>
      </c>
      <c r="E32" s="40" t="str">
        <f>RAW_699!E33</f>
        <v>Đoàn Công Đức</v>
      </c>
      <c r="F32" s="41">
        <f>IF(RAW_699!F33="","",IF(ISNUMBER(RAW_699!F33),IF(MOD(RAW_699!F33,1)=0,RAW_699!F33,ROUND(RAW_699!F33*1000,0)),VALUE(SUBSTITUTE(RAW_699!F33,",",""))))</f>
        <v>1550998</v>
      </c>
      <c r="G32" s="41">
        <f>IF(RAW_699!G33="","",IF(ISNUMBER(RAW_699!G33),IF(MOD(RAW_699!G33,1)=0,RAW_699!G33,ROUND(RAW_699!G33*1000,0)),VALUE(SUBSTITUTE(RAW_699!G33,",",""))))</f>
        <v>1699164</v>
      </c>
    </row>
    <row r="33" ht="15.75" customHeight="1">
      <c r="A33" s="39">
        <f>RAW_699!A34</f>
        <v>32</v>
      </c>
      <c r="B33" s="40" t="str">
        <f>RAW_699!B34</f>
        <v>Công ty cổ phần nhiệt điện An Khánh</v>
      </c>
      <c r="C33" s="40" t="str">
        <f>RAW_699!C34</f>
        <v>Tổ 22 phường Quang Trung, thành phố Thái Nguyên, tỉnh Thái Nguyên</v>
      </c>
      <c r="D33" s="39" t="str">
        <f>IF(RAW_699!D34="","",IF(ISNUMBER(RAW_699!D34),TEXT(RAW_699!D34,"0"),RAW_699!D34))</f>
        <v>4600421021</v>
      </c>
      <c r="E33" s="40" t="str">
        <f>RAW_699!E34</f>
        <v>Nguyễn Văn Thắng</v>
      </c>
      <c r="F33" s="41">
        <f>IF(RAW_699!F34="","",IF(ISNUMBER(RAW_699!F34),IF(MOD(RAW_699!F34,1)=0,RAW_699!F34,ROUND(RAW_699!F34*1000,0)),VALUE(SUBSTITUTE(RAW_699!F34,",",""))))</f>
        <v>924021</v>
      </c>
      <c r="G33" s="41">
        <f>IF(RAW_699!G34="","",IF(ISNUMBER(RAW_699!G34),IF(MOD(RAW_699!G34,1)=0,RAW_699!G34,ROUND(RAW_699!G34*1000,0)),VALUE(SUBSTITUTE(RAW_699!G34,",",""))))</f>
        <v>1012292</v>
      </c>
    </row>
    <row r="34" ht="15.75" customHeight="1">
      <c r="A34" s="39">
        <f>RAW_699!A35</f>
        <v>33</v>
      </c>
      <c r="B34" s="40" t="str">
        <f>RAW_699!B35</f>
        <v>Công ty nhiệt điện Cao Ngạn</v>
      </c>
      <c r="C34" s="40" t="str">
        <f>RAW_699!C35</f>
        <v>Phường Quan Triều, thành phố Thái Nguyên, tỉnh Thái Nguyên</v>
      </c>
      <c r="D34" s="39" t="str">
        <f>IF(RAW_699!D35="","",IF(ISNUMBER(RAW_699!D35),TEXT(RAW_699!D35,"0"),RAW_699!D35))</f>
        <v>0104297034-002</v>
      </c>
      <c r="E34" s="40" t="str">
        <f>RAW_699!E35</f>
        <v>Nguyễn Mạnh Cường</v>
      </c>
      <c r="F34" s="41">
        <f>IF(RAW_699!F35="","",IF(ISNUMBER(RAW_699!F35),IF(MOD(RAW_699!F35,1)=0,RAW_699!F35,ROUND(RAW_699!F35*1000,0)),VALUE(SUBSTITUTE(RAW_699!F35,",",""))))</f>
        <v>1240305</v>
      </c>
      <c r="G34" s="41">
        <f>IF(RAW_699!G35="","",IF(ISNUMBER(RAW_699!G35),IF(MOD(RAW_699!G35,1)=0,RAW_699!G35,ROUND(RAW_699!G35*1000,0)),VALUE(SUBSTITUTE(RAW_699!G35,",",""))))</f>
        <v>1358791</v>
      </c>
    </row>
    <row r="35" ht="15.75" customHeight="1">
      <c r="A35" s="39">
        <f>RAW_699!A36</f>
        <v>34</v>
      </c>
      <c r="B35" s="40" t="str">
        <f>RAW_699!B36</f>
        <v>Ban điều hành nhà máy điện Kiên Hải</v>
      </c>
      <c r="C35" s="40" t="str">
        <f>RAW_699!C36</f>
        <v>Số 287, ấp 2, Hòn Tre, đặc khu Kiên Hải, tỉnh An Giang</v>
      </c>
      <c r="D35" s="39" t="str">
        <f>IF(RAW_699!D36="","",IF(ISNUMBER(RAW_699!D36),TEXT(RAW_699!D36,"0"),RAW_699!D36))</f>
        <v>1700403486</v>
      </c>
      <c r="E35" s="40" t="str">
        <f>RAW_699!E36</f>
        <v>Huỳnh Cao Phướng</v>
      </c>
      <c r="F35" s="41">
        <f>IF(RAW_699!F36="","",IF(ISNUMBER(RAW_699!F36),IF(MOD(RAW_699!F36,1)=0,RAW_699!F36,ROUND(RAW_699!F36*1000,0)),VALUE(SUBSTITUTE(RAW_699!F36,",",""))))</f>
        <v>5539</v>
      </c>
      <c r="G35" s="41">
        <f>IF(RAW_699!G36="","",IF(ISNUMBER(RAW_699!G36),IF(MOD(RAW_699!G36,1)=0,RAW_699!G36,ROUND(RAW_699!G36*1000,0)),VALUE(SUBSTITUTE(RAW_699!G36,",",""))))</f>
        <v>6068</v>
      </c>
    </row>
    <row r="36" ht="15.75" customHeight="1">
      <c r="A36" s="39">
        <f>RAW_699!A38</f>
        <v>1</v>
      </c>
      <c r="B36" s="40" t="str">
        <f>RAW_699!B38</f>
        <v>Công ty TNHH khoáng sản và luyện kim Việt Trung</v>
      </c>
      <c r="C36" s="40" t="str">
        <f>RAW_699!C38</f>
        <v>Khu công nghiệp Tằng Loỏng, huyện Bảo Thắng, tỉnh Lào Cai</v>
      </c>
      <c r="D36" s="39" t="str">
        <f>IF(RAW_699!D38="","",IF(ISNUMBER(RAW_699!D38),TEXT(RAW_699!D38,"0"),RAW_699!D38))</f>
        <v>5300232681</v>
      </c>
      <c r="E36" s="40" t="str">
        <f>RAW_699!E38</f>
        <v>Ngô Sỹ Hiếu</v>
      </c>
      <c r="F36" s="41">
        <f>IF(RAW_699!F38="","",IF(ISNUMBER(RAW_699!F38),IF(MOD(RAW_699!F38,1)=0,RAW_699!F38,ROUND(RAW_699!F38*1000,0)),VALUE(SUBSTITUTE(RAW_699!F38,",",""))))</f>
        <v>255476</v>
      </c>
      <c r="G36" s="41">
        <f>IF(RAW_699!G38="","",IF(ISNUMBER(RAW_699!G38),IF(MOD(RAW_699!G38,1)=0,RAW_699!G38,ROUND(RAW_699!G38*1000,0)),VALUE(SUBSTITUTE(RAW_699!G38,",",""))))</f>
        <v>297830</v>
      </c>
    </row>
    <row r="37" ht="15.75" customHeight="1">
      <c r="A37" s="39">
        <f>RAW_699!A39</f>
        <v>2</v>
      </c>
      <c r="B37" s="40" t="str">
        <f>RAW_699!B39</f>
        <v>Công ty cổ phần Gang thép Cao Bằng</v>
      </c>
      <c r="C37" s="40" t="str">
        <f>RAW_699!C39</f>
        <v>Số 52, phố Kim Đồng, phường Hợp Giang, thành phố Cao Bằng, tỉnh Cao Bằng</v>
      </c>
      <c r="D37" s="39" t="str">
        <f>IF(RAW_699!D39="","",IF(ISNUMBER(RAW_699!D39),TEXT(RAW_699!D39,"0"),RAW_699!D39))</f>
        <v>4800162247</v>
      </c>
      <c r="E37" s="40" t="str">
        <f>RAW_699!E39</f>
        <v>Nguyễn Văn Phương</v>
      </c>
      <c r="F37" s="41">
        <f>IF(RAW_699!F39="","",IF(ISNUMBER(RAW_699!F39),IF(MOD(RAW_699!F39,1)=0,RAW_699!F39,ROUND(RAW_699!F39*1000,0)),VALUE(SUBSTITUTE(RAW_699!F39,",",""))))</f>
        <v>391158</v>
      </c>
      <c r="G37" s="41">
        <f>IF(RAW_699!G39="","",IF(ISNUMBER(RAW_699!G39),IF(MOD(RAW_699!G39,1)=0,RAW_699!G39,ROUND(RAW_699!G39*1000,0)),VALUE(SUBSTITUTE(RAW_699!G39,",",""))))</f>
        <v>456006</v>
      </c>
    </row>
    <row r="38" ht="15.75" customHeight="1">
      <c r="A38" s="39">
        <f>RAW_699!A40</f>
        <v>3</v>
      </c>
      <c r="B38" s="40" t="str">
        <f>RAW_699!B40</f>
        <v>Công ty cổ phần luyện thép Việt Ý</v>
      </c>
      <c r="C38" s="40" t="str">
        <f>RAW_699!C40</f>
        <v>Khu công nghiệp cầu Kiền, xã Hoàng Động, huyện Thủy Nguyên, thành phố Hải Phòng</v>
      </c>
      <c r="D38" s="39" t="str">
        <f>IF(RAW_699!D40="","",IF(ISNUMBER(RAW_699!D40),TEXT(RAW_699!D40,"0"),RAW_699!D40))</f>
        <v>0900222647-004</v>
      </c>
      <c r="E38" s="40" t="str">
        <f>RAW_699!E40</f>
        <v>Yasuhiro Yonemura</v>
      </c>
      <c r="F38" s="41">
        <f>IF(RAW_699!F40="","",IF(ISNUMBER(RAW_699!F40),IF(MOD(RAW_699!F40,1)=0,RAW_699!F40,ROUND(RAW_699!F40*1000,0)),VALUE(SUBSTITUTE(RAW_699!F40,",",""))))</f>
        <v>33053</v>
      </c>
      <c r="G38" s="41">
        <f>IF(RAW_699!G40="","",IF(ISNUMBER(RAW_699!G40),IF(MOD(RAW_699!G40,1)=0,RAW_699!G40,ROUND(RAW_699!G40*1000,0)),VALUE(SUBSTITUTE(RAW_699!G40,",",""))))</f>
        <v>38533</v>
      </c>
    </row>
    <row r="39" ht="15.75" customHeight="1">
      <c r="A39" s="39">
        <f>RAW_699!A41</f>
        <v>4</v>
      </c>
      <c r="B39" s="40" t="str">
        <f>RAW_699!B41</f>
        <v>Công ty cổ phần luyện thép cao cấp Việt Nhật</v>
      </c>
      <c r="C39" s="40" t="str">
        <f>RAW_699!C41</f>
        <v>Khu công nghiệp Nam Cầu Kiền, xã Kiền Bái, huyện Thủy Nguyên, thành phố Hải Phòng</v>
      </c>
      <c r="D39" s="39" t="str">
        <f>IF(RAW_699!D41="","",IF(ISNUMBER(RAW_699!D41),TEXT(RAW_699!D41,"0"),RAW_699!D41))</f>
        <v>201572208</v>
      </c>
      <c r="E39" s="40" t="str">
        <f>RAW_699!E41</f>
        <v>Đặng Việt Bách</v>
      </c>
      <c r="F39" s="41">
        <f>IF(RAW_699!F41="","",IF(ISNUMBER(RAW_699!F41),IF(MOD(RAW_699!F41,1)=0,RAW_699!F41,ROUND(RAW_699!F41*1000,0)),VALUE(SUBSTITUTE(RAW_699!F41,",",""))))</f>
        <v>902</v>
      </c>
      <c r="G39" s="41">
        <f>IF(RAW_699!G41="","",IF(ISNUMBER(RAW_699!G41),IF(MOD(RAW_699!G41,1)=0,RAW_699!G41,ROUND(RAW_699!G41*1000,0)),VALUE(SUBSTITUTE(RAW_699!G41,",",""))))</f>
        <v>1052</v>
      </c>
    </row>
    <row r="40" ht="15.75" customHeight="1">
      <c r="A40" s="39">
        <f>RAW_699!A42</f>
        <v>5</v>
      </c>
      <c r="B40" s="40" t="str">
        <f>RAW_699!B42</f>
        <v>Công ty TNHH MTV Thép Hòa Phát</v>
      </c>
      <c r="C40" s="40" t="str">
        <f>RAW_699!C42</f>
        <v>Khu công nghiệp Phố Nối A, xã Giai Phạm, huyện Yên Mỹ, tỉnh Hưng Yên</v>
      </c>
      <c r="D40" s="39" t="str">
        <f>IF(RAW_699!D42="","",IF(ISNUMBER(RAW_699!D42),TEXT(RAW_699!D42,"0"),RAW_699!D42))</f>
        <v>900629369</v>
      </c>
      <c r="E40" s="40" t="str">
        <f>RAW_699!E42</f>
        <v>Kiều Chí Công</v>
      </c>
      <c r="F40" s="41">
        <f>IF(RAW_699!F42="","",IF(ISNUMBER(RAW_699!F42),IF(MOD(RAW_699!F42,1)=0,RAW_699!F42,ROUND(RAW_699!F42*1000,0)),VALUE(SUBSTITUTE(RAW_699!F42,",",""))))</f>
        <v>2406</v>
      </c>
      <c r="G40" s="41">
        <f>IF(RAW_699!G42="","",IF(ISNUMBER(RAW_699!G42),IF(MOD(RAW_699!G42,1)=0,RAW_699!G42,ROUND(RAW_699!G42*1000,0)),VALUE(SUBSTITUTE(RAW_699!G42,",",""))))</f>
        <v>2804</v>
      </c>
    </row>
    <row r="41" ht="15.75" customHeight="1">
      <c r="A41" s="39">
        <f>RAW_699!A43</f>
        <v>6</v>
      </c>
      <c r="B41" s="40" t="str">
        <f>RAW_699!B43</f>
        <v>Công ty TNHH Gang Thép Hung Nghiệp Formosa Hà Tĩnh</v>
      </c>
      <c r="C41" s="40" t="str">
        <f>RAW_699!C43</f>
        <v>Khu kinh tế Vũng Áng, phường Kỳ Long, thị xã Kỳ Anh, tỉnh Hà Tĩnh</v>
      </c>
      <c r="D41" s="39" t="str">
        <f>IF(RAW_699!D43="","",IF(ISNUMBER(RAW_699!D43),TEXT(RAW_699!D43,"0"),RAW_699!D43))</f>
        <v>3000437821</v>
      </c>
      <c r="E41" s="40" t="str">
        <f>RAW_699!E43</f>
        <v>Chen, Chun-Liang</v>
      </c>
      <c r="F41" s="41">
        <f>IF(RAW_699!F43="","",IF(ISNUMBER(RAW_699!F43),IF(MOD(RAW_699!F43,1)=0,RAW_699!F43,ROUND(RAW_699!F43*1000,0)),VALUE(SUBSTITUTE(RAW_699!F43,",",""))))</f>
        <v>13666930</v>
      </c>
      <c r="G41" s="41">
        <f>IF(RAW_699!G43="","",IF(ISNUMBER(RAW_699!G43),IF(MOD(RAW_699!G43,1)=0,RAW_699!G43,ROUND(RAW_699!G43*1000,0)),VALUE(SUBSTITUTE(RAW_699!G43,",",""))))</f>
        <v>15932703</v>
      </c>
    </row>
    <row r="42" ht="15.75" customHeight="1">
      <c r="A42" s="39">
        <f>RAW_699!A44</f>
        <v>7</v>
      </c>
      <c r="B42" s="40" t="str">
        <f>RAW_699!B44</f>
        <v>Công ty cổ phần Thép Hòa Phát Dung Quất</v>
      </c>
      <c r="C42" s="40" t="str">
        <f>RAW_699!C44</f>
        <v>Khu kinh tế Dung Quất, xã Bình Đông, huyện Bình Son, tỉnh Quảng Ngãi</v>
      </c>
      <c r="D42" s="39" t="str">
        <f>IF(RAW_699!D44="","",IF(ISNUMBER(RAW_699!D44),TEXT(RAW_699!D44,"0"),RAW_699!D44))</f>
        <v>4300793861</v>
      </c>
      <c r="E42" s="40" t="str">
        <f>RAW_699!E44</f>
        <v>Mai Văn Hà</v>
      </c>
      <c r="F42" s="41">
        <f>IF(RAW_699!F44="","",IF(ISNUMBER(RAW_699!F44),IF(MOD(RAW_699!F44,1)=0,RAW_699!F44,ROUND(RAW_699!F44*1000,0)),VALUE(SUBSTITUTE(RAW_699!F44,",",""))))</f>
        <v>11218848</v>
      </c>
      <c r="G42" s="41">
        <f>IF(RAW_699!G44="","",IF(ISNUMBER(RAW_699!G44),IF(MOD(RAW_699!G44,1)=0,RAW_699!G44,ROUND(RAW_699!G44*1000,0)),VALUE(SUBSTITUTE(RAW_699!G44,",",""))))</f>
        <v>13078765</v>
      </c>
    </row>
    <row r="43" ht="15.75" customHeight="1">
      <c r="A43" s="39">
        <f>RAW_699!A45</f>
        <v>8</v>
      </c>
      <c r="B43" s="40" t="str">
        <f>RAW_699!B45</f>
        <v>Công ty cổ phần Thép Thủ Đức - Vnsteel</v>
      </c>
      <c r="C43" s="40" t="str">
        <f>RAW_699!C45</f>
        <v>Km9 Xa lộ Hà Nội, phường Trường Thọ, thành phố Thủ Đức, thành phố Hồ Chí Minh</v>
      </c>
      <c r="D43" s="39" t="str">
        <f>IF(RAW_699!D45="","",IF(ISNUMBER(RAW_699!D45),TEXT(RAW_699!D45,"0"),RAW_699!D45))</f>
        <v>305409326</v>
      </c>
      <c r="E43" s="40" t="str">
        <f>RAW_699!E45</f>
        <v>Hoàng Đức Hoa</v>
      </c>
      <c r="F43" s="41">
        <f>IF(RAW_699!F45="","",IF(ISNUMBER(RAW_699!F45),IF(MOD(RAW_699!F45,1)=0,RAW_699!F45,ROUND(RAW_699!F45*1000,0)),VALUE(SUBSTITUTE(RAW_699!F45,",",""))))</f>
        <v>12842</v>
      </c>
      <c r="G43" s="41">
        <f>IF(RAW_699!G45="","",IF(ISNUMBER(RAW_699!G45),IF(MOD(RAW_699!G45,1)=0,RAW_699!G45,ROUND(RAW_699!G45*1000,0)),VALUE(SUBSTITUTE(RAW_699!G45,",",""))))</f>
        <v>14971</v>
      </c>
    </row>
    <row r="44" ht="15.75" customHeight="1">
      <c r="A44" s="39">
        <f>RAW_699!A46</f>
        <v>9</v>
      </c>
      <c r="B44" s="40" t="str">
        <f>RAW_699!B46</f>
        <v>Công ty TNHH thép Tung Ho Việt Nam</v>
      </c>
      <c r="C44" s="40" t="str">
        <f>RAW_699!C46</f>
        <v>Khu công nghiệp Phú Mỹ 2, phường Phú Mỹ, thị xã Phú Mỹ, tỉnh Bà Rịa - Vũng Tàu</v>
      </c>
      <c r="D44" s="39" t="str">
        <f>IF(RAW_699!D46="","",IF(ISNUMBER(RAW_699!D46),TEXT(RAW_699!D46,"0"),RAW_699!D46))</f>
        <v>3500791394</v>
      </c>
      <c r="E44" s="40" t="str">
        <f>RAW_699!E46</f>
        <v>Hou, Wu-Sheng</v>
      </c>
      <c r="F44" s="41">
        <f>IF(RAW_699!F46="","",IF(ISNUMBER(RAW_699!F46),IF(MOD(RAW_699!F46,1)=0,RAW_699!F46,ROUND(RAW_699!F46*1000,0)),VALUE(SUBSTITUTE(RAW_699!F46,",",""))))</f>
        <v>52001</v>
      </c>
      <c r="G44" s="41">
        <f>IF(RAW_699!G46="","",IF(ISNUMBER(RAW_699!G46),IF(MOD(RAW_699!G46,1)=0,RAW_699!G46,ROUND(RAW_699!G46*1000,0)),VALUE(SUBSTITUTE(RAW_699!G46,",",""))))</f>
        <v>60622</v>
      </c>
    </row>
    <row r="45" ht="15.75" customHeight="1">
      <c r="A45" s="39">
        <f>RAW_699!A47</f>
        <v>10</v>
      </c>
      <c r="B45" s="40" t="str">
        <f>RAW_699!B47</f>
        <v>Nhà máy thép Pomina 2</v>
      </c>
      <c r="C45" s="40" t="str">
        <f>RAW_699!C47</f>
        <v>Khu công nghiệp Phú Mỹ 1, phường Phú Mỹ, thị xã Phú Mỹ, tỉnh Bà Rịa - Vũng Tàu</v>
      </c>
      <c r="D45" s="39" t="str">
        <f>IF(RAW_699!D47="","",IF(ISNUMBER(RAW_699!D47),TEXT(RAW_699!D47,"0"),RAW_699!D47))</f>
        <v>3500793105</v>
      </c>
      <c r="E45" s="40" t="str">
        <f>RAW_699!E47</f>
        <v>Đỗ Văn Khánh</v>
      </c>
      <c r="F45" s="41">
        <f>IF(RAW_699!F47="","",IF(ISNUMBER(RAW_699!F47),IF(MOD(RAW_699!F47,1)=0,RAW_699!F47,ROUND(RAW_699!F47*1000,0)),VALUE(SUBSTITUTE(RAW_699!F47,",",""))))</f>
        <v>14952</v>
      </c>
      <c r="G45" s="41">
        <f>IF(RAW_699!G47="","",IF(ISNUMBER(RAW_699!G47),IF(MOD(RAW_699!G47,1)=0,RAW_699!G47,ROUND(RAW_699!G47*1000,0)),VALUE(SUBSTITUTE(RAW_699!G47,",",""))))</f>
        <v>17431</v>
      </c>
    </row>
    <row r="46" ht="15.75" customHeight="1">
      <c r="A46" s="39">
        <f>RAW_699!A48</f>
        <v>11</v>
      </c>
      <c r="B46" s="40" t="str">
        <f>RAW_699!B48</f>
        <v>Công ty TNHH MTV Thép Miền Nam</v>
      </c>
      <c r="C46" s="40" t="str">
        <f>RAW_699!C48</f>
        <v>Khu công nghiệp Phú Mỹ 1, phường Phú Mỹ, thị xã Phú Mỹ, tỉnh Bà Rịa - Vũng Tàu</v>
      </c>
      <c r="D46" s="39" t="str">
        <f>IF(RAW_699!D48="","",IF(ISNUMBER(RAW_699!D48),TEXT(RAW_699!D48,"0"),RAW_699!D48))</f>
        <v>3502269994</v>
      </c>
      <c r="E46" s="40" t="str">
        <f>RAW_699!E48</f>
        <v>Nguyễn Nguyên Ngọc</v>
      </c>
      <c r="F46" s="41">
        <f>IF(RAW_699!F48="","",IF(ISNUMBER(RAW_699!F48),IF(MOD(RAW_699!F48,1)=0,RAW_699!F48,ROUND(RAW_699!F48*1000,0)),VALUE(SUBSTITUTE(RAW_699!F48,",",""))))</f>
        <v>46390</v>
      </c>
      <c r="G46" s="41">
        <f>IF(RAW_699!G48="","",IF(ISNUMBER(RAW_699!G48),IF(MOD(RAW_699!G48,1)=0,RAW_699!G48,ROUND(RAW_699!G48*1000,0)),VALUE(SUBSTITUTE(RAW_699!G48,",",""))))</f>
        <v>54081</v>
      </c>
    </row>
    <row r="47" ht="15.75" customHeight="1">
      <c r="A47" s="39">
        <f>RAW_699!A49</f>
        <v>12</v>
      </c>
      <c r="B47" s="40" t="str">
        <f>RAW_699!B49</f>
        <v>Công ty TNHH Posco SS - Vina</v>
      </c>
      <c r="C47" s="40" t="str">
        <f>RAW_699!C49</f>
        <v>Đường N1, khu công nghiệp Phú Mỹ 2, phường Phú Mỹ, thị xã Phú Mỹ, tỉnh Bà Rịa - Vũng Tàu</v>
      </c>
      <c r="D47" s="39" t="str">
        <f>IF(RAW_699!D49="","",IF(ISNUMBER(RAW_699!D49),TEXT(RAW_699!D49,"0"),RAW_699!D49))</f>
        <v>3501620257</v>
      </c>
      <c r="E47" s="40" t="str">
        <f>RAW_699!E49</f>
        <v>Seo Kyeongcheol</v>
      </c>
      <c r="F47" s="41">
        <f>IF(RAW_699!F49="","",IF(ISNUMBER(RAW_699!F49),IF(MOD(RAW_699!F49,1)=0,RAW_699!F49,ROUND(RAW_699!F49*1000,0)),VALUE(SUBSTITUTE(RAW_699!F49,",",""))))</f>
        <v>50549</v>
      </c>
      <c r="G47" s="41">
        <f>IF(RAW_699!G49="","",IF(ISNUMBER(RAW_699!G49),IF(MOD(RAW_699!G49,1)=0,RAW_699!G49,ROUND(RAW_699!G49*1000,0)),VALUE(SUBSTITUTE(RAW_699!G49,",",""))))</f>
        <v>58930</v>
      </c>
    </row>
    <row r="48" ht="15.75" customHeight="1">
      <c r="A48" s="39">
        <f>RAW_699!A50</f>
        <v>13</v>
      </c>
      <c r="B48" s="40" t="str">
        <f>RAW_699!B50</f>
        <v>Công ty TNHH Thép Vina Kyoei</v>
      </c>
      <c r="C48" s="40" t="str">
        <f>RAW_699!C50</f>
        <v>Khu công nghiệp Phú Mỹ 1, phường Phú Mỹ, thị xã Phú Mỹ, tỉnh Bà Rịa - Vũng Tàu</v>
      </c>
      <c r="D48" s="39" t="str">
        <f>IF(RAW_699!D50="","",IF(ISNUMBER(RAW_699!D50),TEXT(RAW_699!D50,"0"),RAW_699!D50))</f>
        <v>3500106761</v>
      </c>
      <c r="E48" s="40" t="str">
        <f>RAW_699!E50</f>
        <v>Hidekazu Fukunishi</v>
      </c>
      <c r="F48" s="41">
        <f>IF(RAW_699!F50="","",IF(ISNUMBER(RAW_699!F50),IF(MOD(RAW_699!F50,1)=0,RAW_699!F50,ROUND(RAW_699!F50*1000,0)),VALUE(SUBSTITUTE(RAW_699!F50,",",""))))</f>
        <v>44367</v>
      </c>
      <c r="G48" s="41">
        <f>IF(RAW_699!G50="","",IF(ISNUMBER(RAW_699!G50),IF(MOD(RAW_699!G50,1)=0,RAW_699!G50,ROUND(RAW_699!G50*1000,0)),VALUE(SUBSTITUTE(RAW_699!G50,",",""))))</f>
        <v>51723</v>
      </c>
    </row>
    <row r="49" ht="15.75" customHeight="1">
      <c r="A49" s="39">
        <f>RAW_699!A51</f>
        <v>14</v>
      </c>
      <c r="B49" s="40" t="str">
        <f>RAW_699!B51</f>
        <v>Công ty TNHH thép VAS An Hưng Tường</v>
      </c>
      <c r="C49" s="40" t="str">
        <f>RAW_699!C51</f>
        <v>Khu phố 3, phường Tân Định, thị xã Bến Cát, tỉnh Bình Dương</v>
      </c>
      <c r="D49" s="39" t="str">
        <f>IF(RAW_699!D51="","",IF(ISNUMBER(RAW_699!D51),TEXT(RAW_699!D51,"0"),RAW_699!D51))</f>
        <v>3700256179</v>
      </c>
      <c r="E49" s="40" t="str">
        <f>RAW_699!E51</f>
        <v>Nguyễn Trần Quý</v>
      </c>
      <c r="F49" s="41">
        <f>IF(RAW_699!F51="","",IF(ISNUMBER(RAW_699!F51),IF(MOD(RAW_699!F51,1)=0,RAW_699!F51,ROUND(RAW_699!F51*1000,0)),VALUE(SUBSTITUTE(RAW_699!F51,",",""))))</f>
        <v>2050</v>
      </c>
      <c r="G49" s="41">
        <f>IF(RAW_699!G51="","",IF(ISNUMBER(RAW_699!G51),IF(MOD(RAW_699!G51,1)=0,RAW_699!G51,ROUND(RAW_699!G51*1000,0)),VALUE(SUBSTITUTE(RAW_699!G51,",",""))))</f>
        <v>2390</v>
      </c>
    </row>
    <row r="50" ht="15.75" customHeight="1">
      <c r="A50" s="39">
        <f>RAW_699!A52</f>
        <v>15</v>
      </c>
      <c r="B50" s="40" t="str">
        <f>RAW_699!B52</f>
        <v>Công ty TNHH thép Sa Mi Na</v>
      </c>
      <c r="C50" s="40" t="str">
        <f>RAW_699!C52</f>
        <v>Số 137C, khu B, khu phố Tân Thắng, phường Tân Bình, thành phố Dĩ An, tỉnh Bình Dương</v>
      </c>
      <c r="D50" s="39" t="str">
        <f>IF(RAW_699!D52="","",IF(ISNUMBER(RAW_699!D52),TEXT(RAW_699!D52,"0"),RAW_699!D52))</f>
        <v>3700598687</v>
      </c>
      <c r="E50" s="40" t="str">
        <f>RAW_699!E52</f>
        <v>Phạm Hoàng Cung</v>
      </c>
      <c r="F50" s="41">
        <f>IF(RAW_699!F52="","",IF(ISNUMBER(RAW_699!F52),IF(MOD(RAW_699!F52,1)=0,RAW_699!F52,ROUND(RAW_699!F52*1000,0)),VALUE(SUBSTITUTE(RAW_699!F52,",",""))))</f>
        <v>265</v>
      </c>
      <c r="G50" s="41">
        <f>IF(RAW_699!G52="","",IF(ISNUMBER(RAW_699!G52),IF(MOD(RAW_699!G52,1)=0,RAW_699!G52,ROUND(RAW_699!G52*1000,0)),VALUE(SUBSTITUTE(RAW_699!G52,",",""))))</f>
        <v>310</v>
      </c>
    </row>
    <row r="51" ht="15.75" customHeight="1">
      <c r="A51" s="39">
        <f>RAW_699!A53</f>
        <v>16</v>
      </c>
      <c r="B51" s="40" t="str">
        <f>RAW_699!B53</f>
        <v>Công ty cổ phần thép Tuệ Minh</v>
      </c>
      <c r="C51" s="40" t="str">
        <f>RAW_699!C53</f>
        <v>Lô A5, đường D2, khu công nghiệp Đất Cuốc, xã Đất Cuốc, huyện Bắc Tân Uyên, tỉnh Bình Dương</v>
      </c>
      <c r="D51" s="39" t="str">
        <f>IF(RAW_699!D53="","",IF(ISNUMBER(RAW_699!D53),TEXT(RAW_699!D53,"0"),RAW_699!D53))</f>
        <v>3701729269</v>
      </c>
      <c r="E51" s="40" t="str">
        <f>RAW_699!E53</f>
        <v>Vũ Minh Tư</v>
      </c>
      <c r="F51" s="41">
        <f>IF(RAW_699!F53="","",IF(ISNUMBER(RAW_699!F53),IF(MOD(RAW_699!F53,1)=0,RAW_699!F53,ROUND(RAW_699!F53*1000,0)),VALUE(SUBSTITUTE(RAW_699!F53,",",""))))</f>
        <v>2559</v>
      </c>
      <c r="G51" s="41">
        <f>IF(RAW_699!G53="","",IF(ISNUMBER(RAW_699!G53),IF(MOD(RAW_699!G53,1)=0,RAW_699!G53,ROUND(RAW_699!G53*1000,0)),VALUE(SUBSTITUTE(RAW_699!G53,",",""))))</f>
        <v>2983</v>
      </c>
    </row>
    <row r="52" ht="15.75" customHeight="1">
      <c r="A52" s="39">
        <f>RAW_699!A54</f>
        <v>17</v>
      </c>
      <c r="B52" s="40" t="str">
        <f>RAW_699!B54</f>
        <v>Công ty cổ phần Sản xuất thép Vina One</v>
      </c>
      <c r="C52" s="40" t="str">
        <f>RAW_699!C54</f>
        <v>Ấp Voi Lá, xã Long Hiệp, huyện Bến Lức, tỉnh Long An</v>
      </c>
      <c r="D52" s="39" t="str">
        <f>IF(RAW_699!D54="","",IF(ISNUMBER(RAW_699!D54),TEXT(RAW_699!D54,"0"),RAW_699!D54))</f>
        <v>1100549268</v>
      </c>
      <c r="E52" s="40" t="str">
        <f>RAW_699!E54</f>
        <v>Huỳnh Nghĩa Thiện</v>
      </c>
      <c r="F52" s="41">
        <f>IF(RAW_699!F54="","",IF(ISNUMBER(RAW_699!F54),IF(MOD(RAW_699!F54,1)=0,RAW_699!F54,ROUND(RAW_699!F54*1000,0)),VALUE(SUBSTITUTE(RAW_699!F54,",",""))))</f>
        <v>246</v>
      </c>
      <c r="G52" s="41">
        <f>IF(RAW_699!G54="","",IF(ISNUMBER(RAW_699!G54),IF(MOD(RAW_699!G54,1)=0,RAW_699!G54,ROUND(RAW_699!G54*1000,0)),VALUE(SUBSTITUTE(RAW_699!G54,",",""))))</f>
        <v>287</v>
      </c>
    </row>
    <row r="53" ht="15.75" customHeight="1">
      <c r="A53" s="39">
        <f>RAW_699!A55</f>
        <v>18</v>
      </c>
      <c r="B53" s="40" t="str">
        <f>RAW_699!B55</f>
        <v>Công ty TNHH MTV thép VAS Nghi Sơn</v>
      </c>
      <c r="C53" s="40" t="str">
        <f>RAW_699!C55</f>
        <v>Khu liên hợp Gang thép Nghi Sơn, khu kinh tế Nghi Sơn, thị xã Nghi Sơn, tỉnh Thanh Hóa</v>
      </c>
      <c r="D53" s="39" t="str">
        <f>IF(RAW_699!D55="","",IF(ISNUMBER(RAW_699!D55),TEXT(RAW_699!D55,"0"),RAW_699!D55))</f>
        <v>2801115888</v>
      </c>
      <c r="E53" s="40" t="str">
        <f>RAW_699!E55</f>
        <v>Nguyễn Bảo Giang</v>
      </c>
      <c r="F53" s="41">
        <f>IF(RAW_699!F55="","",IF(ISNUMBER(RAW_699!F55),IF(MOD(RAW_699!F55,1)=0,RAW_699!F55,ROUND(RAW_699!F55*1000,0)),VALUE(SUBSTITUTE(RAW_699!F55,",",""))))</f>
        <v>6602</v>
      </c>
      <c r="G53" s="41">
        <f>IF(RAW_699!G55="","",IF(ISNUMBER(RAW_699!G55),IF(MOD(RAW_699!G55,1)=0,RAW_699!G55,ROUND(RAW_699!G55*1000,0)),VALUE(SUBSTITUTE(RAW_699!G55,",",""))))</f>
        <v>7696</v>
      </c>
    </row>
    <row r="54" ht="15.75" customHeight="1">
      <c r="A54" s="39">
        <f>RAW_699!A56</f>
        <v>19</v>
      </c>
      <c r="B54" s="40" t="str">
        <f>RAW_699!B56</f>
        <v>Công ty cổ phần Cơ khí Gang thép</v>
      </c>
      <c r="C54" s="40" t="str">
        <f>RAW_699!C56</f>
        <v>Phường Cam Giá, thành phố Thái Nguyên, tỉnh Thái Nguyên</v>
      </c>
      <c r="D54" s="39" t="str">
        <f>IF(RAW_699!D56="","",IF(ISNUMBER(RAW_699!D56),TEXT(RAW_699!D56,"0"),RAW_699!D56))</f>
        <v>4600479367</v>
      </c>
      <c r="E54" s="40" t="str">
        <f>RAW_699!E56</f>
        <v>Bùi Thái Sơn</v>
      </c>
      <c r="F54" s="41">
        <f>IF(RAW_699!F56="","",IF(ISNUMBER(RAW_699!F56),IF(MOD(RAW_699!F56,1)=0,RAW_699!F56,ROUND(RAW_699!F56*1000,0)),VALUE(SUBSTITUTE(RAW_699!F56,",",""))))</f>
        <v>715</v>
      </c>
      <c r="G54" s="41">
        <f>IF(RAW_699!G56="","",IF(ISNUMBER(RAW_699!G56),IF(MOD(RAW_699!G56,1)=0,RAW_699!G56,ROUND(RAW_699!G56*1000,0)),VALUE(SUBSTITUTE(RAW_699!G56,",",""))))</f>
        <v>833</v>
      </c>
    </row>
    <row r="55" ht="15.75" customHeight="1">
      <c r="A55" s="39">
        <f>RAW_699!A57</f>
        <v>20</v>
      </c>
      <c r="B55" s="40" t="str">
        <f>RAW_699!B57</f>
        <v>Công ty cổ phần Thép Hòa Phát</v>
      </c>
      <c r="C55" s="40" t="str">
        <f>RAW_699!C57</f>
        <v>Phường Hiệp Sơn, thị xã Kinh Môn, tỉnh Hải Dương</v>
      </c>
      <c r="D55" s="39" t="str">
        <f>IF(RAW_699!D57="","",IF(ISNUMBER(RAW_699!D57),TEXT(RAW_699!D57,"0"),RAW_699!D57))</f>
        <v>800384651</v>
      </c>
      <c r="E55" s="40" t="str">
        <f>RAW_699!E57</f>
        <v>Đỗ Thị Thảo</v>
      </c>
      <c r="F55" s="41">
        <f>IF(RAW_699!F57="","",IF(ISNUMBER(RAW_699!F57),IF(MOD(RAW_699!F57,1)=0,RAW_699!F57,ROUND(RAW_699!F57*1000,0)),VALUE(SUBSTITUTE(RAW_699!F57,",",""))))</f>
        <v>4494857</v>
      </c>
      <c r="G55" s="41">
        <f>IF(RAW_699!G57="","",IF(ISNUMBER(RAW_699!G57),IF(MOD(RAW_699!G57,1)=0,RAW_699!G57,ROUND(RAW_699!G57*1000,0)),VALUE(SUBSTITUTE(RAW_699!G57,",",""))))</f>
        <v>5240036</v>
      </c>
    </row>
    <row r="56" ht="15.75" customHeight="1">
      <c r="A56" s="39">
        <f>RAW_699!A58</f>
        <v>21</v>
      </c>
      <c r="B56" s="40" t="str">
        <f>RAW_699!B58</f>
        <v>Công ty cổ phần Gang Thép Thái Nguyên</v>
      </c>
      <c r="C56" s="40" t="str">
        <f>RAW_699!C58</f>
        <v>Phường Cam Giá, thành phố Thái Nguyên, tỉnh Thái Nguyên</v>
      </c>
      <c r="D56" s="39" t="str">
        <f>IF(RAW_699!D58="","",IF(ISNUMBER(RAW_699!D58),TEXT(RAW_699!D58,"0"),RAW_699!D58))</f>
        <v>4600100155</v>
      </c>
      <c r="E56" s="40" t="str">
        <f>RAW_699!E58</f>
        <v>Nguyễn Minh Hạnh</v>
      </c>
      <c r="F56" s="41">
        <f>IF(RAW_699!F58="","",IF(ISNUMBER(RAW_699!F58),IF(MOD(RAW_699!F58,1)=0,RAW_699!F58,ROUND(RAW_699!F58*1000,0)),VALUE(SUBSTITUTE(RAW_699!F58,",",""))))</f>
        <v>487238</v>
      </c>
      <c r="G56" s="41">
        <f>IF(RAW_699!G58="","",IF(ISNUMBER(RAW_699!G58),IF(MOD(RAW_699!G58,1)=0,RAW_699!G58,ROUND(RAW_699!G58*1000,0)),VALUE(SUBSTITUTE(RAW_699!G58,",",""))))</f>
        <v>568015</v>
      </c>
    </row>
    <row r="57" ht="15.75" customHeight="1">
      <c r="A57" s="39">
        <f>RAW_699!A59</f>
        <v>22</v>
      </c>
      <c r="B57" s="40" t="str">
        <f>RAW_699!B59</f>
        <v>Công ty cổ phần thép Đà Nẵng</v>
      </c>
      <c r="C57" s="40" t="str">
        <f>RAW_699!C59</f>
        <v>Đường Tạ Quang Bửu, khu công nghiệp Liên Chiểu, thành phố Đà Nẵng</v>
      </c>
      <c r="D57" s="39" t="str">
        <f>IF(RAW_699!D59="","",IF(ISNUMBER(RAW_699!D59),TEXT(RAW_699!D59,"0"),RAW_699!D59))</f>
        <v>400101549</v>
      </c>
      <c r="E57" s="40" t="str">
        <f>RAW_699!E59</f>
        <v>Nguyễn Văn Dũng</v>
      </c>
      <c r="F57" s="41">
        <f>IF(RAW_699!F59="","",IF(ISNUMBER(RAW_699!F59),IF(MOD(RAW_699!F59,1)=0,RAW_699!F59,ROUND(RAW_699!F59*1000,0)),VALUE(SUBSTITUTE(RAW_699!F59,",",""))))</f>
        <v>11961</v>
      </c>
      <c r="G57" s="41">
        <f>IF(RAW_699!G59="","",IF(ISNUMBER(RAW_699!G59),IF(MOD(RAW_699!G59,1)=0,RAW_699!G59,ROUND(RAW_699!G59*1000,0)),VALUE(SUBSTITUTE(RAW_699!G59,",",""))))</f>
        <v>13944</v>
      </c>
    </row>
    <row r="58" ht="15.75" customHeight="1">
      <c r="A58" s="39">
        <f>RAW_699!A60</f>
        <v>23</v>
      </c>
      <c r="B58" s="40" t="str">
        <f>RAW_699!B60</f>
        <v>Công ty cổ phần Thép Vicasa - Vnsteel</v>
      </c>
      <c r="C58" s="40" t="str">
        <f>RAW_699!C60</f>
        <v>Khu công nghiệp Biên Hòa 1, Đường số 9, thành phố Biên Hòa, tỉnh Đồng Nai</v>
      </c>
      <c r="D58" s="39" t="str">
        <f>IF(RAW_699!D60="","",IF(ISNUMBER(RAW_699!D60),TEXT(RAW_699!D60,"0"),RAW_699!D60))</f>
        <v>3600961762</v>
      </c>
      <c r="E58" s="40" t="str">
        <f>RAW_699!E60</f>
        <v>Ngô Tiến Thọ</v>
      </c>
      <c r="F58" s="41">
        <f>IF(RAW_699!F60="","",IF(ISNUMBER(RAW_699!F60),IF(MOD(RAW_699!F60,1)=0,RAW_699!F60,ROUND(RAW_699!F60*1000,0)),VALUE(SUBSTITUTE(RAW_699!F60,",",""))))</f>
        <v>15530</v>
      </c>
      <c r="G58" s="41">
        <f>IF(RAW_699!G60="","",IF(ISNUMBER(RAW_699!G60),IF(MOD(RAW_699!G60,1)=0,RAW_699!G60,ROUND(RAW_699!G60*1000,0)),VALUE(SUBSTITUTE(RAW_699!G60,",",""))))</f>
        <v>18105</v>
      </c>
    </row>
    <row r="59" ht="15.75" customHeight="1">
      <c r="A59" s="39">
        <f>RAW_699!A61</f>
        <v>24</v>
      </c>
      <c r="B59" s="40" t="str">
        <f>RAW_699!B61</f>
        <v>Công ty TNHH thép đặc biệt Shengli Việt Nam</v>
      </c>
      <c r="C59" s="40" t="str">
        <f>RAW_699!C61</f>
        <v>Khu công nghiệp Cầu Nghìn, huyện Quỳnh Phụ, tỉnh Thái Bình</v>
      </c>
      <c r="D59" s="39" t="str">
        <f>IF(RAW_699!D61="","",IF(ISNUMBER(RAW_699!D61),TEXT(RAW_699!D61,"0"),RAW_699!D61))</f>
        <v>1000440676</v>
      </c>
      <c r="E59" s="40" t="str">
        <f>RAW_699!E61</f>
        <v>Zhang Chun Tuan</v>
      </c>
      <c r="F59" s="41">
        <f>IF(RAW_699!F61="","",IF(ISNUMBER(RAW_699!F61),IF(MOD(RAW_699!F61,1)=0,RAW_699!F61,ROUND(RAW_699!F61*1000,0)),VALUE(SUBSTITUTE(RAW_699!F61,",",""))))</f>
        <v>2893</v>
      </c>
      <c r="G59" s="41">
        <f>IF(RAW_699!G61="","",IF(ISNUMBER(RAW_699!G61),IF(MOD(RAW_699!G61,1)=0,RAW_699!G61,ROUND(RAW_699!G61*1000,0)),VALUE(SUBSTITUTE(RAW_699!G61,",",""))))</f>
        <v>3372</v>
      </c>
    </row>
    <row r="60" ht="15.75" customHeight="1">
      <c r="A60" s="39">
        <f>RAW_699!A62</f>
        <v>25</v>
      </c>
      <c r="B60" s="40" t="str">
        <f>RAW_699!B62</f>
        <v>Công ty cổ phần Luyện kim đen Thái Nguyên</v>
      </c>
      <c r="C60" s="40" t="str">
        <f>RAW_699!C62</f>
        <v>Xã Nam Hòa, huyện Đồng Hỷ, tỉnh Thái Nguyên</v>
      </c>
      <c r="D60" s="39" t="str">
        <f>IF(RAW_699!D62="","",IF(ISNUMBER(RAW_699!D62),TEXT(RAW_699!D62,"0"),RAW_699!D62))</f>
        <v>4600400261</v>
      </c>
      <c r="E60" s="40" t="str">
        <f>RAW_699!E62</f>
        <v>Chu Phương Đông</v>
      </c>
      <c r="F60" s="41">
        <f>IF(RAW_699!F62="","",IF(ISNUMBER(RAW_699!F62),IF(MOD(RAW_699!F62,1)=0,RAW_699!F62,ROUND(RAW_699!F62*1000,0)),VALUE(SUBSTITUTE(RAW_699!F62,",",""))))</f>
        <v>236403</v>
      </c>
      <c r="G60" s="41">
        <f>IF(RAW_699!G62="","",IF(ISNUMBER(RAW_699!G62),IF(MOD(RAW_699!G62,1)=0,RAW_699!G62,ROUND(RAW_699!G62*1000,0)),VALUE(SUBSTITUTE(RAW_699!G62,",",""))))</f>
        <v>275595</v>
      </c>
    </row>
    <row r="61" ht="15.75" customHeight="1">
      <c r="A61" s="39">
        <f>RAW_699!A64</f>
        <v>1</v>
      </c>
      <c r="B61" s="40" t="str">
        <f>RAW_699!B64</f>
        <v>Công ty Cổ phần Xi măng X18</v>
      </c>
      <c r="C61" s="40" t="str">
        <f>RAW_699!C64</f>
        <v>Xã Ngọc Lương, huyên Yên Thủy, tỉnh Hòa Bình</v>
      </c>
      <c r="D61" s="39" t="str">
        <f>IF(RAW_699!D64="","",IF(ISNUMBER(RAW_699!D64),TEXT(RAW_699!D64,"0"),RAW_699!D64))</f>
        <v>5400253188</v>
      </c>
      <c r="E61" s="40" t="str">
        <f>RAW_699!E64</f>
        <v>Lê Ngọc Hùng</v>
      </c>
      <c r="F61" s="41">
        <f>IF(RAW_699!F64="","",IF(ISNUMBER(RAW_699!F64),IF(MOD(RAW_699!F64,1)=0,RAW_699!F64,ROUND(RAW_699!F64*1000,0)),VALUE(SUBSTITUTE(RAW_699!F64,",",""))))</f>
        <v>109943</v>
      </c>
      <c r="G61" s="41">
        <f>IF(RAW_699!G64="","",IF(ISNUMBER(RAW_699!G64),IF(MOD(RAW_699!G64,1)=0,RAW_699!G64,ROUND(RAW_699!G64*1000,0)),VALUE(SUBSTITUTE(RAW_699!G64,",",""))))</f>
        <v>120305</v>
      </c>
    </row>
    <row r="62" ht="15.75" customHeight="1">
      <c r="A62" s="39">
        <f>RAW_699!A65</f>
        <v>2</v>
      </c>
      <c r="B62" s="40" t="str">
        <f>RAW_699!B65</f>
        <v>Nhà máy Xi măng Trung Sơn (Công ty Cổ phần Xây dựng và Du lịch Bình Minh)</v>
      </c>
      <c r="C62" s="40" t="str">
        <f>RAW_699!C65</f>
        <v>Xóm Lộc Môn, xã Trung Sơn, huyện Lương Sơn, tỉnh Hòa Bình</v>
      </c>
      <c r="D62" s="39" t="str">
        <f>IF(RAW_699!D65="","",IF(ISNUMBER(RAW_699!D65),TEXT(RAW_699!D65,"0"),RAW_699!D65))</f>
        <v>5400478632</v>
      </c>
      <c r="E62" s="40" t="str">
        <f>RAW_699!E65</f>
        <v>Đỗ Trần Minh</v>
      </c>
      <c r="F62" s="41">
        <f>IF(RAW_699!F65="","",IF(ISNUMBER(RAW_699!F65),IF(MOD(RAW_699!F65,1)=0,RAW_699!F65,ROUND(RAW_699!F65*1000,0)),VALUE(SUBSTITUTE(RAW_699!F65,",",""))))</f>
        <v>648135</v>
      </c>
      <c r="G62" s="41">
        <f>IF(RAW_699!G65="","",IF(ISNUMBER(RAW_699!G65),IF(MOD(RAW_699!G65,1)=0,RAW_699!G65,ROUND(RAW_699!G65*1000,0)),VALUE(SUBSTITUTE(RAW_699!G65,",",""))))</f>
        <v>709220</v>
      </c>
    </row>
    <row r="63" ht="15.75" customHeight="1">
      <c r="A63" s="39">
        <f>RAW_699!A66</f>
        <v>3</v>
      </c>
      <c r="B63" s="40" t="str">
        <f>RAW_699!B66</f>
        <v>Nhà máy Xi măng Vĩnh Sơn (Công ty TNHH Xi măng Vĩnh Sơn)</v>
      </c>
      <c r="C63" s="40" t="str">
        <f>RAW_699!C66</f>
        <v>Xã Trung Sơn, huyện Lương Sơn, tỉnh Hòa Bình</v>
      </c>
      <c r="D63" s="39" t="str">
        <f>IF(RAW_699!D66="","",IF(ISNUMBER(RAW_699!D66),TEXT(RAW_699!D66,"0"),RAW_699!D66))</f>
        <v>5400208756</v>
      </c>
      <c r="E63" s="40" t="str">
        <f>RAW_699!E66</f>
        <v>Đỗ Quân</v>
      </c>
      <c r="F63" s="41">
        <f>IF(RAW_699!F66="","",IF(ISNUMBER(RAW_699!F66),IF(MOD(RAW_699!F66,1)=0,RAW_699!F66,ROUND(RAW_699!F66*1000,0)),VALUE(SUBSTITUTE(RAW_699!F66,",",""))))</f>
        <v>369109</v>
      </c>
      <c r="G63" s="41">
        <f>IF(RAW_699!G66="","",IF(ISNUMBER(RAW_699!G66),IF(MOD(RAW_699!G66,1)=0,RAW_699!G66,ROUND(RAW_699!G66*1000,0)),VALUE(SUBSTITUTE(RAW_699!G66,",",""))))</f>
        <v>403897</v>
      </c>
    </row>
    <row r="64" ht="15.75" customHeight="1">
      <c r="A64" s="39">
        <f>RAW_699!A67</f>
        <v>4</v>
      </c>
      <c r="B64" s="40" t="str">
        <f>RAW_699!B67</f>
        <v>Công ty Cổ phần Xi măng Mai Sơn</v>
      </c>
      <c r="C64" s="40" t="str">
        <f>RAW_699!C67</f>
        <v>Xã Nà Bó, huyện Mai Sơn, tỉnh Sơn La</v>
      </c>
      <c r="D64" s="39" t="str">
        <f>IF(RAW_699!D67="","",IF(ISNUMBER(RAW_699!D67),TEXT(RAW_699!D67,"0"),RAW_699!D67))</f>
        <v>5500230970</v>
      </c>
      <c r="E64" s="40" t="str">
        <f>RAW_699!E67</f>
        <v>Mã Đề Thuấn</v>
      </c>
      <c r="F64" s="41">
        <f>IF(RAW_699!F67="","",IF(ISNUMBER(RAW_699!F67),IF(MOD(RAW_699!F67,1)=0,RAW_699!F67,ROUND(RAW_699!F67*1000,0)),VALUE(SUBSTITUTE(RAW_699!F67,",",""))))</f>
        <v>359956</v>
      </c>
      <c r="G64" s="41">
        <f>IF(RAW_699!G67="","",IF(ISNUMBER(RAW_699!G67),IF(MOD(RAW_699!G67,1)=0,RAW_699!G67,ROUND(RAW_699!G67*1000,0)),VALUE(SUBSTITUTE(RAW_699!G67,",",""))))</f>
        <v>393882</v>
      </c>
    </row>
    <row r="65" ht="15.75" customHeight="1">
      <c r="A65" s="39">
        <f>RAW_699!A68</f>
        <v>5</v>
      </c>
      <c r="B65" s="40" t="str">
        <f>RAW_699!B68</f>
        <v>Nhà máy xi măng Điện Biên</v>
      </c>
      <c r="C65" s="40" t="str">
        <f>RAW_699!C68</f>
        <v>Bản Na Hai, xã Pom Lót, huyện Điện Biên, tỉnh Điện Biên</v>
      </c>
      <c r="D65" s="39" t="str">
        <f>IF(RAW_699!D68="","",IF(ISNUMBER(RAW_699!D68),TEXT(RAW_699!D68,"0"),RAW_699!D68))</f>
        <v>5600177368</v>
      </c>
      <c r="E65" s="40" t="str">
        <f>RAW_699!E68</f>
        <v>Trần Khác Đại</v>
      </c>
      <c r="F65" s="41">
        <f>IF(RAW_699!F68="","",IF(ISNUMBER(RAW_699!F68),IF(MOD(RAW_699!F68,1)=0,RAW_699!F68,ROUND(RAW_699!F68*1000,0)),VALUE(SUBSTITUTE(RAW_699!F68,",",""))))</f>
        <v>171860</v>
      </c>
      <c r="G65" s="41">
        <f>IF(RAW_699!G68="","",IF(ISNUMBER(RAW_699!G68),IF(MOD(RAW_699!G68,1)=0,RAW_699!G68,ROUND(RAW_699!G68*1000,0)),VALUE(SUBSTITUTE(RAW_699!G68,",",""))))</f>
        <v>188058</v>
      </c>
    </row>
    <row r="66" ht="15.75" customHeight="1">
      <c r="A66" s="39">
        <f>RAW_699!A69</f>
        <v>6</v>
      </c>
      <c r="B66" s="40" t="str">
        <f>RAW_699!B69</f>
        <v>Nhà máy Xi măng Yên Bái, Công ty Cổ phần Xi măng và Khoáng sản Yên Bái</v>
      </c>
      <c r="C66" s="40" t="str">
        <f>RAW_699!C69</f>
        <v>Thị trấn Yên Bình, huyện Yên Bình, tỉnh Yên Bái</v>
      </c>
      <c r="D66" s="39" t="str">
        <f>IF(RAW_699!D69="","",IF(ISNUMBER(RAW_699!D69),TEXT(RAW_699!D69,"0"),RAW_699!D69))</f>
        <v>5200216647</v>
      </c>
      <c r="E66" s="40" t="str">
        <f>RAW_699!E69</f>
        <v>Phạm Quang Phú</v>
      </c>
      <c r="F66" s="41">
        <f>IF(RAW_699!F69="","",IF(ISNUMBER(RAW_699!F69),IF(MOD(RAW_699!F69,1)=0,RAW_699!F69,ROUND(RAW_699!F69*1000,0)),VALUE(SUBSTITUTE(RAW_699!F69,",",""))))</f>
        <v>400233</v>
      </c>
      <c r="G66" s="41">
        <f>IF(RAW_699!G69="","",IF(ISNUMBER(RAW_699!G69),IF(MOD(RAW_699!G69,1)=0,RAW_699!G69,ROUND(RAW_699!G69*1000,0)),VALUE(SUBSTITUTE(RAW_699!G69,",",""))))</f>
        <v>437954</v>
      </c>
    </row>
    <row r="67" ht="15.75" customHeight="1">
      <c r="A67" s="39">
        <f>RAW_699!A70</f>
        <v>7</v>
      </c>
      <c r="B67" s="40" t="str">
        <f>RAW_699!B70</f>
        <v>Nhà máy Xi măng Yên Bình, Công ty Cổ phần Xi măng Yên Bình</v>
      </c>
      <c r="C67" s="40" t="str">
        <f>RAW_699!C70</f>
        <v>Thị trấn Yên Bình, huyện Yên Bình, tỉnh Yên Bái</v>
      </c>
      <c r="D67" s="39" t="str">
        <f>IF(RAW_699!D70="","",IF(ISNUMBER(RAW_699!D70),TEXT(RAW_699!D70,"0"),RAW_699!D70))</f>
        <v>5200213597</v>
      </c>
      <c r="E67" s="40" t="str">
        <f>RAW_699!E70</f>
        <v>Mai Thế Loan</v>
      </c>
      <c r="F67" s="41">
        <f>IF(RAW_699!F70="","",IF(ISNUMBER(RAW_699!F70),IF(MOD(RAW_699!F70,1)=0,RAW_699!F70,ROUND(RAW_699!F70*1000,0)),VALUE(SUBSTITUTE(RAW_699!F70,",",""))))</f>
        <v>598709</v>
      </c>
      <c r="G67" s="41">
        <f>IF(RAW_699!G70="","",IF(ISNUMBER(RAW_699!G70),IF(MOD(RAW_699!G70,1)=0,RAW_699!G70,ROUND(RAW_699!G70*1000,0)),VALUE(SUBSTITUTE(RAW_699!G70,",",""))))</f>
        <v>655136</v>
      </c>
    </row>
    <row r="68" ht="15.75" customHeight="1">
      <c r="A68" s="39">
        <f>RAW_699!A71</f>
        <v>8</v>
      </c>
      <c r="B68" s="40" t="str">
        <f>RAW_699!B71</f>
        <v>Công ty cổ phần xi măng Phú Thọ</v>
      </c>
      <c r="C68" s="40" t="str">
        <f>RAW_699!C71</f>
        <v>Khu 12, Thị trấn Thanh Ba, huyện Thanh Ba, tỉnh Phú Thọ</v>
      </c>
      <c r="D68" s="39" t="str">
        <f>IF(RAW_699!D71="","",IF(ISNUMBER(RAW_699!D71),TEXT(RAW_699!D71,"0"),RAW_699!D71))</f>
        <v>2600116271</v>
      </c>
      <c r="E68" s="40" t="str">
        <f>RAW_699!E71</f>
        <v>Tràn Tuấn Đạt</v>
      </c>
      <c r="F68" s="41">
        <f>IF(RAW_699!F71="","",IF(ISNUMBER(RAW_699!F71),IF(MOD(RAW_699!F71,1)=0,RAW_699!F71,ROUND(RAW_699!F71*1000,0)),VALUE(SUBSTITUTE(RAW_699!F71,",",""))))</f>
        <v>126022</v>
      </c>
      <c r="G68" s="41">
        <f>IF(RAW_699!G71="","",IF(ISNUMBER(RAW_699!G71),IF(MOD(RAW_699!G71,1)=0,RAW_699!G71,ROUND(RAW_699!G71*1000,0)),VALUE(SUBSTITUTE(RAW_699!G71,",",""))))</f>
        <v>137899</v>
      </c>
    </row>
    <row r="69" ht="15.75" customHeight="1">
      <c r="A69" s="39">
        <f>RAW_699!A72</f>
        <v>9</v>
      </c>
      <c r="B69" s="40" t="str">
        <f>RAW_699!B72</f>
        <v>Công ty cổ phần xi măng VIMCEM Sông Thao</v>
      </c>
      <c r="C69" s="40" t="str">
        <f>RAW_699!C72</f>
        <v>Xã Ninh Dân, huyện Thanh Ba, tỉnh Phú Thọ</v>
      </c>
      <c r="D69" s="39" t="str">
        <f>IF(RAW_699!D72="","",IF(ISNUMBER(RAW_699!D72),TEXT(RAW_699!D72,"0"),RAW_699!D72))</f>
        <v>2600279082</v>
      </c>
      <c r="E69" s="40" t="str">
        <f>RAW_699!E72</f>
        <v>Nguyễn Quang Huy</v>
      </c>
      <c r="F69" s="41">
        <f>IF(RAW_699!F72="","",IF(ISNUMBER(RAW_699!F72),IF(MOD(RAW_699!F72,1)=0,RAW_699!F72,ROUND(RAW_699!F72*1000,0)),VALUE(SUBSTITUTE(RAW_699!F72,",",""))))</f>
        <v>836948</v>
      </c>
      <c r="G69" s="41">
        <f>IF(RAW_699!G72="","",IF(ISNUMBER(RAW_699!G72),IF(MOD(RAW_699!G72,1)=0,RAW_699!G72,ROUND(RAW_699!G72*1000,0)),VALUE(SUBSTITUTE(RAW_699!G72,",",""))))</f>
        <v>915828</v>
      </c>
    </row>
    <row r="70" ht="15.75" customHeight="1">
      <c r="A70" s="39">
        <f>RAW_699!A73</f>
        <v>10</v>
      </c>
      <c r="B70" s="40" t="str">
        <f>RAW_699!B73</f>
        <v>Nhà máy xi măng Tuyên Quang, Công ty cổ phần xi măng Tuyên Quang</v>
      </c>
      <c r="C70" s="40" t="str">
        <f>RAW_699!C73</f>
        <v>Xã Tràng Đà, thành phố Tuyên Quang, tỉnh Tuyên Quang</v>
      </c>
      <c r="D70" s="39" t="str">
        <f>IF(RAW_699!D73="","",IF(ISNUMBER(RAW_699!D73),TEXT(RAW_699!D73,"0"),RAW_699!D73))</f>
        <v>5000119170</v>
      </c>
      <c r="E70" s="40" t="str">
        <f>RAW_699!E73</f>
        <v>Nguyễn Mạnh Danh</v>
      </c>
      <c r="F70" s="41">
        <f>IF(RAW_699!F73="","",IF(ISNUMBER(RAW_699!F73),IF(MOD(RAW_699!F73,1)=0,RAW_699!F73,ROUND(RAW_699!F73*1000,0)),VALUE(SUBSTITUTE(RAW_699!F73,",",""))))</f>
        <v>124008</v>
      </c>
      <c r="G70" s="41">
        <f>IF(RAW_699!G73="","",IF(ISNUMBER(RAW_699!G73),IF(MOD(RAW_699!G73,1)=0,RAW_699!G73,ROUND(RAW_699!G73*1000,0)),VALUE(SUBSTITUTE(RAW_699!G73,",",""))))</f>
        <v>135696</v>
      </c>
    </row>
    <row r="71" ht="15.75" customHeight="1">
      <c r="A71" s="39">
        <f>RAW_699!A74</f>
        <v>11</v>
      </c>
      <c r="B71" s="40" t="str">
        <f>RAW_699!B74</f>
        <v>Nhà máy xi măng Tân Quang, Công ty cổ phần xi măng Tân Quang- VVMI, Tổng công ty công nghiệp mỏ Việt Bắc TKV</v>
      </c>
      <c r="C71" s="40" t="str">
        <f>RAW_699!C74</f>
        <v>Xã Tràng Đà, thành phố Tuyên Quang, tỉnh Tuyên Quang</v>
      </c>
      <c r="D71" s="39" t="str">
        <f>IF(RAW_699!D74="","",IF(ISNUMBER(RAW_699!D74),TEXT(RAW_699!D74,"0"),RAW_699!D74))</f>
        <v>5000280116</v>
      </c>
      <c r="E71" s="40" t="str">
        <f>RAW_699!E74</f>
        <v>Lê Danh Thắng</v>
      </c>
      <c r="F71" s="41">
        <f>IF(RAW_699!F74="","",IF(ISNUMBER(RAW_699!F74),IF(MOD(RAW_699!F74,1)=0,RAW_699!F74,ROUND(RAW_699!F74*1000,0)),VALUE(SUBSTITUTE(RAW_699!F74,",",""))))</f>
        <v>638702</v>
      </c>
      <c r="G71" s="41">
        <f>IF(RAW_699!G74="","",IF(ISNUMBER(RAW_699!G74),IF(MOD(RAW_699!G74,1)=0,RAW_699!G74,ROUND(RAW_699!G74*1000,0)),VALUE(SUBSTITUTE(RAW_699!G74,",",""))))</f>
        <v>698898</v>
      </c>
    </row>
    <row r="72" ht="15.75" customHeight="1">
      <c r="A72" s="39">
        <f>RAW_699!A75</f>
        <v>12</v>
      </c>
      <c r="B72" s="40" t="str">
        <f>RAW_699!B75</f>
        <v>Nhà máy sản xuất Xi măng Quán Triều, Công ty Cổ phần Xi măng Quán Triều</v>
      </c>
      <c r="C72" s="40" t="str">
        <f>RAW_699!C75</f>
        <v>Xã An Khánh, huyện Đại Từ, tỉnh Thái Nguyên</v>
      </c>
      <c r="D72" s="39" t="str">
        <f>IF(RAW_699!D75="","",IF(ISNUMBER(RAW_699!D75),TEXT(RAW_699!D75,"0"),RAW_699!D75))</f>
        <v>4600409377</v>
      </c>
      <c r="E72" s="40" t="str">
        <f>RAW_699!E75</f>
        <v>Trần Việt Cường</v>
      </c>
      <c r="F72" s="41">
        <f>IF(RAW_699!F75="","",IF(ISNUMBER(RAW_699!F75),IF(MOD(RAW_699!F75,1)=0,RAW_699!F75,ROUND(RAW_699!F75*1000,0)),VALUE(SUBSTITUTE(RAW_699!F75,",",""))))</f>
        <v>592455</v>
      </c>
      <c r="G72" s="41">
        <f>IF(RAW_699!G75="","",IF(ISNUMBER(RAW_699!G75),IF(MOD(RAW_699!G75,1)=0,RAW_699!G75,ROUND(RAW_699!G75*1000,0)),VALUE(SUBSTITUTE(RAW_699!G75,",",""))))</f>
        <v>648292</v>
      </c>
    </row>
    <row r="73" ht="15.75" customHeight="1">
      <c r="A73" s="39">
        <f>RAW_699!A76</f>
        <v>13</v>
      </c>
      <c r="B73" s="40" t="str">
        <f>RAW_699!B76</f>
        <v>Nhà máy sản xuất Xi măng La Hiên, Công ty cổ phần Xi măng La Hiên</v>
      </c>
      <c r="C73" s="40" t="str">
        <f>RAW_699!C76</f>
        <v>Xã La Hiên, huyện Võ Nhai, tỉnh Thái Nguyên</v>
      </c>
      <c r="D73" s="39" t="str">
        <f>IF(RAW_699!D76="","",IF(ISNUMBER(RAW_699!D76),TEXT(RAW_699!D76,"0"),RAW_699!D76))</f>
        <v>4600422240</v>
      </c>
      <c r="E73" s="40" t="str">
        <f>RAW_699!E76</f>
        <v>Trần Quang Khải</v>
      </c>
      <c r="F73" s="41">
        <f>IF(RAW_699!F76="","",IF(ISNUMBER(RAW_699!F76),IF(MOD(RAW_699!F76,1)=0,RAW_699!F76,ROUND(RAW_699!F76*1000,0)),VALUE(SUBSTITUTE(RAW_699!F76,",",""))))</f>
        <v>480806</v>
      </c>
      <c r="G73" s="41">
        <f>IF(RAW_699!G76="","",IF(ISNUMBER(RAW_699!G76),IF(MOD(RAW_699!G76,1)=0,RAW_699!G76,ROUND(RAW_699!G76*1000,0)),VALUE(SUBSTITUTE(RAW_699!G76,",",""))))</f>
        <v>526121</v>
      </c>
    </row>
    <row r="74" ht="15.75" customHeight="1">
      <c r="A74" s="39">
        <f>RAW_699!A77</f>
        <v>14</v>
      </c>
      <c r="B74" s="40" t="str">
        <f>RAW_699!B77</f>
        <v>Nhà máy sản xuất Xi măng Quang Sơn, Công ty cổ phần Xi măng Quang Sơn</v>
      </c>
      <c r="C74" s="40" t="str">
        <f>RAW_699!C77</f>
        <v>Xã Quang Sơn, huyện Đồng Hỷ, tỉnh Thái Nguyên</v>
      </c>
      <c r="D74" s="39" t="str">
        <f>IF(RAW_699!D77="","",IF(ISNUMBER(RAW_699!D77),TEXT(RAW_699!D77,"0"),RAW_699!D77))</f>
        <v>4600964966</v>
      </c>
      <c r="E74" s="40" t="str">
        <f>RAW_699!E77</f>
        <v>Hà Quang Sáng</v>
      </c>
      <c r="F74" s="41">
        <f>IF(RAW_699!F77="","",IF(ISNUMBER(RAW_699!F77),IF(MOD(RAW_699!F77,1)=0,RAW_699!F77,ROUND(RAW_699!F77*1000,0)),VALUE(SUBSTITUTE(RAW_699!F77,",",""))))</f>
        <v>404692</v>
      </c>
      <c r="G74" s="41">
        <f>IF(RAW_699!G77="","",IF(ISNUMBER(RAW_699!G77),IF(MOD(RAW_699!G77,1)=0,RAW_699!G77,ROUND(RAW_699!G77*1000,0)),VALUE(SUBSTITUTE(RAW_699!G77,",",""))))</f>
        <v>442833</v>
      </c>
    </row>
    <row r="75" ht="15.75" customHeight="1">
      <c r="A75" s="39">
        <f>RAW_699!A78</f>
        <v>15</v>
      </c>
      <c r="B75" s="40" t="str">
        <f>RAW_699!B78</f>
        <v>Công ty Cổ phần xi măng Đồng Bành</v>
      </c>
      <c r="C75" s="40" t="str">
        <f>RAW_699!C78</f>
        <v>Thị trấn Chi Lăng, huyện Chi Lăng, tỉnh Lạng Sơn</v>
      </c>
      <c r="D75" s="39" t="str">
        <f>IF(RAW_699!D78="","",IF(ISNUMBER(RAW_699!D78),TEXT(RAW_699!D78,"0"),RAW_699!D78))</f>
        <v>4900225282</v>
      </c>
      <c r="E75" s="40" t="str">
        <f>RAW_699!E78</f>
        <v>Đỗ Cao Sơn</v>
      </c>
      <c r="F75" s="41">
        <f>IF(RAW_699!F78="","",IF(ISNUMBER(RAW_699!F78),IF(MOD(RAW_699!F78,1)=0,RAW_699!F78,ROUND(RAW_699!F78*1000,0)),VALUE(SUBSTITUTE(RAW_699!F78,",",""))))</f>
        <v>679217</v>
      </c>
      <c r="G75" s="41">
        <f>IF(RAW_699!G78="","",IF(ISNUMBER(RAW_699!G78),IF(MOD(RAW_699!G78,1)=0,RAW_699!G78,ROUND(RAW_699!G78*1000,0)),VALUE(SUBSTITUTE(RAW_699!G78,",",""))))</f>
        <v>743232</v>
      </c>
    </row>
    <row r="76" ht="15.75" customHeight="1">
      <c r="A76" s="39">
        <f>RAW_699!A79</f>
        <v>16</v>
      </c>
      <c r="B76" s="40" t="str">
        <f>RAW_699!B79</f>
        <v>Công ty Cổ phần Xi măng Hồng Phong</v>
      </c>
      <c r="C76" s="40" t="str">
        <f>RAW_699!C79</f>
        <v>Xã Hồng Phong, huyện Cao Lộc, tỉnh Lạng Sơn</v>
      </c>
      <c r="D76" s="39" t="str">
        <f>IF(RAW_699!D79="","",IF(ISNUMBER(RAW_699!D79),TEXT(RAW_699!D79,"0"),RAW_699!D79))</f>
        <v>4900102650</v>
      </c>
      <c r="E76" s="40" t="str">
        <f>RAW_699!E79</f>
        <v>Trần Duyên Tùng</v>
      </c>
      <c r="F76" s="41">
        <f>IF(RAW_699!F79="","",IF(ISNUMBER(RAW_699!F79),IF(MOD(RAW_699!F79,1)=0,RAW_699!F79,ROUND(RAW_699!F79*1000,0)),VALUE(SUBSTITUTE(RAW_699!F79,",",""))))</f>
        <v>104067</v>
      </c>
      <c r="G76" s="41">
        <f>IF(RAW_699!G79="","",IF(ISNUMBER(RAW_699!G79),IF(MOD(RAW_699!G79,1)=0,RAW_699!G79,ROUND(RAW_699!G79*1000,0)),VALUE(SUBSTITUTE(RAW_699!G79,",",""))))</f>
        <v>113875</v>
      </c>
    </row>
    <row r="77" ht="15.75" customHeight="1">
      <c r="A77" s="39">
        <f>RAW_699!A80</f>
        <v>17</v>
      </c>
      <c r="B77" s="40" t="str">
        <f>RAW_699!B80</f>
        <v>Nhà máy xi măng Cẩm Phả, Công ty Cổ phần Xi măng Cẩm Phả</v>
      </c>
      <c r="C77" s="40" t="str">
        <f>RAW_699!C80</f>
        <v>Phường Cẩm Thạch, thành phố Cẩm Phả, tỉnh Quảng Ninh</v>
      </c>
      <c r="D77" s="39" t="str">
        <f>IF(RAW_699!D80="","",IF(ISNUMBER(RAW_699!D80),TEXT(RAW_699!D80,"0"),RAW_699!D80))</f>
        <v>5700804196</v>
      </c>
      <c r="E77" s="40" t="str">
        <f>RAW_699!E80</f>
        <v>Nguyễn Thái Hưng</v>
      </c>
      <c r="F77" s="41">
        <f>IF(RAW_699!F80="","",IF(ISNUMBER(RAW_699!F80),IF(MOD(RAW_699!F80,1)=0,RAW_699!F80,ROUND(RAW_699!F80*1000,0)),VALUE(SUBSTITUTE(RAW_699!F80,",",""))))</f>
        <v>1616252</v>
      </c>
      <c r="G77" s="41">
        <f>IF(RAW_699!G80="","",IF(ISNUMBER(RAW_699!G80),IF(MOD(RAW_699!G80,1)=0,RAW_699!G80,ROUND(RAW_699!G80*1000,0)),VALUE(SUBSTITUTE(RAW_699!G80,",",""))))</f>
        <v>1768581</v>
      </c>
    </row>
    <row r="78" ht="15.75" customHeight="1">
      <c r="A78" s="39">
        <f>RAW_699!A81</f>
        <v>18</v>
      </c>
      <c r="B78" s="40" t="str">
        <f>RAW_699!B81</f>
        <v>Công ty Cổ phần Xi măng và Xây dựng Quảng Ninh, Nhà máy xi măng Lam Thạch</v>
      </c>
      <c r="C78" s="40" t="str">
        <f>RAW_699!C81</f>
        <v>Khu Hợp Thành, phường Phương Nam, thành phố Uông Bí, tỉnh Quảng Ninh</v>
      </c>
      <c r="D78" s="39" t="str">
        <f>IF(RAW_699!D81="","",IF(ISNUMBER(RAW_699!D81),TEXT(RAW_699!D81,"0"),RAW_699!D81))</f>
        <v>5700100263-013</v>
      </c>
      <c r="E78" s="40" t="str">
        <f>RAW_699!E81</f>
        <v>Đặng Văn Học</v>
      </c>
      <c r="F78" s="41">
        <f>IF(RAW_699!F81="","",IF(ISNUMBER(RAW_699!F81),IF(MOD(RAW_699!F81,1)=0,RAW_699!F81,ROUND(RAW_699!F81*1000,0)),VALUE(SUBSTITUTE(RAW_699!F81,",",""))))</f>
        <v>933095</v>
      </c>
      <c r="G78" s="41">
        <f>IF(RAW_699!G81="","",IF(ISNUMBER(RAW_699!G81),IF(MOD(RAW_699!G81,1)=0,RAW_699!G81,ROUND(RAW_699!G81*1000,0)),VALUE(SUBSTITUTE(RAW_699!G81,",",""))))</f>
        <v>1021037</v>
      </c>
    </row>
    <row r="79" ht="15.75" customHeight="1">
      <c r="A79" s="39">
        <f>RAW_699!A82</f>
        <v>19</v>
      </c>
      <c r="B79" s="40" t="str">
        <f>RAW_699!B82</f>
        <v>Công ty Cổ phần Xi măng Hạ Long</v>
      </c>
      <c r="C79" s="40" t="str">
        <f>RAW_699!C82</f>
        <v>Xã Lê Lợi, thành phố Hạ Long, tỉnh Quảng Ninh</v>
      </c>
      <c r="D79" s="39" t="str">
        <f>IF(RAW_699!D82="","",IF(ISNUMBER(RAW_699!D82),TEXT(RAW_699!D82,"0"),RAW_699!D82))</f>
        <v>5700466028</v>
      </c>
      <c r="E79" s="40" t="str">
        <f>RAW_699!E82</f>
        <v>Mai Hồng Hải</v>
      </c>
      <c r="F79" s="41">
        <f>IF(RAW_699!F82="","",IF(ISNUMBER(RAW_699!F82),IF(MOD(RAW_699!F82,1)=0,RAW_699!F82,ROUND(RAW_699!F82*1000,0)),VALUE(SUBSTITUTE(RAW_699!F82,",",""))))</f>
        <v>989857</v>
      </c>
      <c r="G79" s="41">
        <f>IF(RAW_699!G82="","",IF(ISNUMBER(RAW_699!G82),IF(MOD(RAW_699!G82,1)=0,RAW_699!G82,ROUND(RAW_699!G82*1000,0)),VALUE(SUBSTITUTE(RAW_699!G82,",",""))))</f>
        <v>1083149</v>
      </c>
    </row>
    <row r="80" ht="15.75" customHeight="1">
      <c r="A80" s="39">
        <f>RAW_699!A83</f>
        <v>20</v>
      </c>
      <c r="B80" s="40" t="str">
        <f>RAW_699!B83</f>
        <v>Công ty Cổ phần Xi măng Thăng Long</v>
      </c>
      <c r="C80" s="40" t="str">
        <f>RAW_699!C83</f>
        <v>Xã Lê Lợi, thành phố Hạ Long, tỉnh Quảng Ninh</v>
      </c>
      <c r="D80" s="39" t="str">
        <f>IF(RAW_699!D83="","",IF(ISNUMBER(RAW_699!D83),TEXT(RAW_699!D83,"0"),RAW_699!D83))</f>
        <v>5700360871</v>
      </c>
      <c r="E80" s="40" t="str">
        <f>RAW_699!E83</f>
        <v>Rizkie Agustiansyah Gaharu</v>
      </c>
      <c r="F80" s="41">
        <f>IF(RAW_699!F83="","",IF(ISNUMBER(RAW_699!F83),IF(MOD(RAW_699!F83,1)=0,RAW_699!F83,ROUND(RAW_699!F83*1000,0)),VALUE(SUBSTITUTE(RAW_699!F83,",",""))))</f>
        <v>1175783</v>
      </c>
      <c r="G80" s="41">
        <f>IF(RAW_699!G83="","",IF(ISNUMBER(RAW_699!G83),IF(MOD(RAW_699!G83,1)=0,RAW_699!G83,ROUND(RAW_699!G83*1000,0)),VALUE(SUBSTITUTE(RAW_699!G83,",",""))))</f>
        <v>1286599</v>
      </c>
    </row>
    <row r="81" ht="15.75" customHeight="1">
      <c r="A81" s="39">
        <f>RAW_699!A84</f>
        <v>21</v>
      </c>
      <c r="B81" s="40" t="str">
        <f>RAW_699!B84</f>
        <v>Nhà máy xi măng Bút Sơn, Công ty Cổ phần Xi măng Vicem Bút Sơn</v>
      </c>
      <c r="C81" s="40" t="str">
        <f>RAW_699!C84</f>
        <v>Xã Thanh Sơn, huyện Kim Bảng, tỉnh Hà Nam</v>
      </c>
      <c r="D81" s="39" t="str">
        <f>IF(RAW_699!D84="","",IF(ISNUMBER(RAW_699!D84),TEXT(RAW_699!D84,"0"),RAW_699!D84))</f>
        <v>700117613</v>
      </c>
      <c r="E81" s="40" t="str">
        <f>RAW_699!E84</f>
        <v>Đỗ Tiến Trình</v>
      </c>
      <c r="F81" s="41">
        <f>IF(RAW_699!F84="","",IF(ISNUMBER(RAW_699!F84),IF(MOD(RAW_699!F84,1)=0,RAW_699!F84,ROUND(RAW_699!F84*1000,0)),VALUE(SUBSTITUTE(RAW_699!F84,",",""))))</f>
        <v>2453235</v>
      </c>
      <c r="G81" s="41">
        <f>IF(RAW_699!G84="","",IF(ISNUMBER(RAW_699!G84),IF(MOD(RAW_699!G84,1)=0,RAW_699!G84,ROUND(RAW_699!G84*1000,0)),VALUE(SUBSTITUTE(RAW_699!G84,",",""))))</f>
        <v>2684448</v>
      </c>
    </row>
    <row r="82" ht="15.75" customHeight="1">
      <c r="A82" s="39">
        <f>RAW_699!A85</f>
        <v>22</v>
      </c>
      <c r="B82" s="40" t="str">
        <f>RAW_699!B85</f>
        <v>Nhà máy xi măng Hoàng Long, Công ty Cổ phần Xi măng Hoàng Long</v>
      </c>
      <c r="C82" s="40" t="str">
        <f>RAW_699!C85</f>
        <v>Thôn Bồng Lạng, xã Thanh Nghị, huyện Thanh Liêm, tỉnh Hà Nam</v>
      </c>
      <c r="D82" s="39" t="str">
        <f>IF(RAW_699!D85="","",IF(ISNUMBER(RAW_699!D85),TEXT(RAW_699!D85,"0"),RAW_699!D85))</f>
        <v>700222569</v>
      </c>
      <c r="E82" s="40" t="str">
        <f>RAW_699!E85</f>
        <v>Nguyễn Sỹ Tiệp</v>
      </c>
      <c r="F82" s="41">
        <f>IF(RAW_699!F85="","",IF(ISNUMBER(RAW_699!F85),IF(MOD(RAW_699!F85,1)=0,RAW_699!F85,ROUND(RAW_699!F85*1000,0)),VALUE(SUBSTITUTE(RAW_699!F85,",",""))))</f>
        <v>133575</v>
      </c>
      <c r="G82" s="41">
        <f>IF(RAW_699!G85="","",IF(ISNUMBER(RAW_699!G85),IF(MOD(RAW_699!G85,1)=0,RAW_699!G85,ROUND(RAW_699!G85*1000,0)),VALUE(SUBSTITUTE(RAW_699!G85,",",""))))</f>
        <v>146165</v>
      </c>
    </row>
    <row r="83" ht="15.75" customHeight="1">
      <c r="A83" s="39">
        <f>RAW_699!A86</f>
        <v>23</v>
      </c>
      <c r="B83" s="40" t="str">
        <f>RAW_699!B86</f>
        <v>Nhà máy xi măng Thành Thắng, Công ty Cổ phần Xi măng Thành Thắng</v>
      </c>
      <c r="C83" s="40" t="str">
        <f>RAW_699!C86</f>
        <v>Xã Thanh Nghị, huyện Thanh Liêm, tỉnh Hà Nam</v>
      </c>
      <c r="D83" s="39" t="str">
        <f>IF(RAW_699!D86="","",IF(ISNUMBER(RAW_699!D86),TEXT(RAW_699!D86,"0"),RAW_699!D86))</f>
        <v>700651198</v>
      </c>
      <c r="E83" s="40" t="str">
        <f>RAW_699!E86</f>
        <v>Nguyễn Thị Bích Loan</v>
      </c>
      <c r="F83" s="41">
        <f>IF(RAW_699!F86="","",IF(ISNUMBER(RAW_699!F86),IF(MOD(RAW_699!F86,1)=0,RAW_699!F86,ROUND(RAW_699!F86*1000,0)),VALUE(SUBSTITUTE(RAW_699!F86,",",""))))</f>
        <v>6853859</v>
      </c>
      <c r="G83" s="41">
        <f>IF(RAW_699!G86="","",IF(ISNUMBER(RAW_699!G86),IF(MOD(RAW_699!G86,1)=0,RAW_699!G86,ROUND(RAW_699!G86*1000,0)),VALUE(SUBSTITUTE(RAW_699!G86,",",""))))</f>
        <v>7499822</v>
      </c>
    </row>
    <row r="84" ht="15.75" customHeight="1">
      <c r="A84" s="39">
        <f>RAW_699!A87</f>
        <v>24</v>
      </c>
      <c r="B84" s="40" t="str">
        <f>RAW_699!B87</f>
        <v>Nhà máy Xi măng Vissai Hà Nam - DC2, Tập đoàn The Vissai</v>
      </c>
      <c r="C84" s="40" t="str">
        <f>RAW_699!C87</f>
        <v>Xã Thanh Thủy, huyện Thanh Liêm, tỉnh Hà Nam</v>
      </c>
      <c r="D84" s="39" t="str">
        <f>IF(RAW_699!D87="","",IF(ISNUMBER(RAW_699!D87),TEXT(RAW_699!D87,"0"),RAW_699!D87))</f>
        <v>700507853</v>
      </c>
      <c r="E84" s="40" t="str">
        <f>RAW_699!E87</f>
        <v>Đỗ Anh Tuấn</v>
      </c>
      <c r="F84" s="41">
        <f>IF(RAW_699!F87="","",IF(ISNUMBER(RAW_699!F87),IF(MOD(RAW_699!F87,1)=0,RAW_699!F87,ROUND(RAW_699!F87*1000,0)),VALUE(SUBSTITUTE(RAW_699!F87,",",""))))</f>
        <v>822644</v>
      </c>
      <c r="G84" s="41">
        <f>IF(RAW_699!G87="","",IF(ISNUMBER(RAW_699!G87),IF(MOD(RAW_699!G87,1)=0,RAW_699!G87,ROUND(RAW_699!G87*1000,0)),VALUE(SUBSTITUTE(RAW_699!G87,",",""))))</f>
        <v>900177</v>
      </c>
    </row>
    <row r="85" ht="15.75" customHeight="1">
      <c r="A85" s="39">
        <f>RAW_699!A88</f>
        <v>25</v>
      </c>
      <c r="B85" s="40" t="str">
        <f>RAW_699!B88</f>
        <v>Nhà máy Xi măng Xuân Thành, Công ty Cổ phần Xi măng Xuân Thành</v>
      </c>
      <c r="C85" s="40" t="str">
        <f>RAW_699!C88</f>
        <v>Thôn Bồng Lạng, xã Thanh Nghị, huyện Thanh Liêm, tỉnh Hà Nam</v>
      </c>
      <c r="D85" s="39" t="str">
        <f>IF(RAW_699!D88="","",IF(ISNUMBER(RAW_699!D88),TEXT(RAW_699!D88,"0"),RAW_699!D88))</f>
        <v>700576529</v>
      </c>
      <c r="E85" s="40" t="str">
        <f>RAW_699!E88</f>
        <v>Vũ Quang Bắc</v>
      </c>
      <c r="F85" s="41">
        <f>IF(RAW_699!F88="","",IF(ISNUMBER(RAW_699!F88),IF(MOD(RAW_699!F88,1)=0,RAW_699!F88,ROUND(RAW_699!F88*1000,0)),VALUE(SUBSTITUTE(RAW_699!F88,",",""))))</f>
        <v>5297794</v>
      </c>
      <c r="G85" s="41">
        <f>IF(RAW_699!G88="","",IF(ISNUMBER(RAW_699!G88),IF(MOD(RAW_699!G88,1)=0,RAW_699!G88,ROUND(RAW_699!G88*1000,0)),VALUE(SUBSTITUTE(RAW_699!G88,",",""))))</f>
        <v>5797101</v>
      </c>
    </row>
    <row r="86" ht="15.75" customHeight="1">
      <c r="A86" s="39">
        <f>RAW_699!A89</f>
        <v>26</v>
      </c>
      <c r="B86" s="40" t="str">
        <f>RAW_699!B89</f>
        <v>Dây chuyền 2 Nhà máy clinker, Tập đoàn The Vissai</v>
      </c>
      <c r="C86" s="40" t="str">
        <f>RAW_699!C89</f>
        <v>Xã Thanh Tân, huyện Thanh Liêm, tỉnh Hà Nam</v>
      </c>
      <c r="D86" s="39" t="str">
        <f>IF(RAW_699!D89="","",IF(ISNUMBER(RAW_699!D89),TEXT(RAW_699!D89,"0"),RAW_699!D89))</f>
        <v>700507853</v>
      </c>
      <c r="E86" s="40" t="str">
        <f>RAW_699!E89</f>
        <v>Đỗ Anh Tuấn</v>
      </c>
      <c r="F86" s="41">
        <f>IF(RAW_699!F89="","",IF(ISNUMBER(RAW_699!F89),IF(MOD(RAW_699!F89,1)=0,RAW_699!F89,ROUND(RAW_699!F89*1000,0)),VALUE(SUBSTITUTE(RAW_699!F89,",",""))))</f>
        <v>714977</v>
      </c>
      <c r="G86" s="41">
        <f>IF(RAW_699!G89="","",IF(ISNUMBER(RAW_699!G89),IF(MOD(RAW_699!G89,1)=0,RAW_699!G89,ROUND(RAW_699!G89*1000,0)),VALUE(SUBSTITUTE(RAW_699!G89,",",""))))</f>
        <v>782362</v>
      </c>
    </row>
    <row r="87" ht="15.75" customHeight="1">
      <c r="A87" s="39">
        <f>RAW_699!A90</f>
        <v>27</v>
      </c>
      <c r="B87" s="40" t="str">
        <f>RAW_699!B90</f>
        <v>Công ty TNHH MTV Xi măng Vicem Hoàng Thạch</v>
      </c>
      <c r="C87" s="40" t="str">
        <f>RAW_699!C90</f>
        <v>Phường Minh Tân, thị xã Kinh Môn, tỉnh Hải Dương</v>
      </c>
      <c r="D87" s="39" t="str">
        <f>IF(RAW_699!D90="","",IF(ISNUMBER(RAW_699!D90),TEXT(RAW_699!D90,"0"),RAW_699!D90))</f>
        <v>800004797</v>
      </c>
      <c r="E87" s="40" t="str">
        <f>RAW_699!E90</f>
        <v>Lê Xuân Khôi</v>
      </c>
      <c r="F87" s="41">
        <f>IF(RAW_699!F90="","",IF(ISNUMBER(RAW_699!F90),IF(MOD(RAW_699!F90,1)=0,RAW_699!F90,ROUND(RAW_699!F90*1000,0)),VALUE(SUBSTITUTE(RAW_699!F90,",",""))))</f>
        <v>2701207</v>
      </c>
      <c r="G87" s="41">
        <f>IF(RAW_699!G90="","",IF(ISNUMBER(RAW_699!G90),IF(MOD(RAW_699!G90,1)=0,RAW_699!G90,ROUND(RAW_699!G90*1000,0)),VALUE(SUBSTITUTE(RAW_699!G90,",",""))))</f>
        <v>2955791</v>
      </c>
    </row>
    <row r="88" ht="15.75" customHeight="1">
      <c r="A88" s="39">
        <f>RAW_699!A91</f>
        <v>28</v>
      </c>
      <c r="B88" s="40" t="str">
        <f>RAW_699!B91</f>
        <v>Công ty TNHH sản xuất vật liệu xây dựng Thành Công III</v>
      </c>
      <c r="C88" s="40" t="str">
        <f>RAW_699!C91</f>
        <v>Phường Hiệp Sơn, thị xã Kinh Môn, tỉnh Hài Dương</v>
      </c>
      <c r="D88" s="39" t="str">
        <f>IF(RAW_699!D91="","",IF(ISNUMBER(RAW_699!D91),TEXT(RAW_699!D91,"0"),RAW_699!D91))</f>
        <v>800297991</v>
      </c>
      <c r="E88" s="40" t="str">
        <f>RAW_699!E91</f>
        <v>Lê Khánh Bảo Long</v>
      </c>
      <c r="F88" s="41">
        <f>IF(RAW_699!F91="","",IF(ISNUMBER(RAW_699!F91),IF(MOD(RAW_699!F91,1)=0,RAW_699!F91,ROUND(RAW_699!F91*1000,0)),VALUE(SUBSTITUTE(RAW_699!F91,",",""))))</f>
        <v>357054</v>
      </c>
      <c r="G88" s="41">
        <f>IF(RAW_699!G91="","",IF(ISNUMBER(RAW_699!G91),IF(MOD(RAW_699!G91,1)=0,RAW_699!G91,ROUND(RAW_699!G91*1000,0)),VALUE(SUBSTITUTE(RAW_699!G91,",",""))))</f>
        <v>390705</v>
      </c>
    </row>
    <row r="89" ht="15.75" customHeight="1">
      <c r="A89" s="39">
        <f>RAW_699!A92</f>
        <v>29</v>
      </c>
      <c r="B89" s="40" t="str">
        <f>RAW_699!B92</f>
        <v>Nhà máy Xi măng Chinfon, Công ty Xi măng Chinfon</v>
      </c>
      <c r="C89" s="40" t="str">
        <f>RAW_699!C92</f>
        <v>Thị trấn Minh Đức, huyện Thủy Nguyên, thành phố Hải Phòng</v>
      </c>
      <c r="D89" s="39" t="str">
        <f>IF(RAW_699!D92="","",IF(ISNUMBER(RAW_699!D92),TEXT(RAW_699!D92,"0"),RAW_699!D92))</f>
        <v>200110200</v>
      </c>
      <c r="E89" s="40" t="str">
        <f>RAW_699!E92</f>
        <v>Lo Lung - Too</v>
      </c>
      <c r="F89" s="41">
        <f>IF(RAW_699!F92="","",IF(ISNUMBER(RAW_699!F92),IF(MOD(RAW_699!F92,1)=0,RAW_699!F92,ROUND(RAW_699!F92*1000,0)),VALUE(SUBSTITUTE(RAW_699!F92,",",""))))</f>
        <v>2907941</v>
      </c>
      <c r="G89" s="41">
        <f>IF(RAW_699!G92="","",IF(ISNUMBER(RAW_699!G92),IF(MOD(RAW_699!G92,1)=0,RAW_699!G92,ROUND(RAW_699!G92*1000,0)),VALUE(SUBSTITUTE(RAW_699!G92,",",""))))</f>
        <v>3182009</v>
      </c>
    </row>
    <row r="90" ht="15.75" customHeight="1">
      <c r="A90" s="39">
        <f>RAW_699!A93</f>
        <v>30</v>
      </c>
      <c r="B90" s="40" t="str">
        <f>RAW_699!B93</f>
        <v>Nhà máy xi măng Hải Phòng, Công ty TNHH MTV Vicem Hải Phòng</v>
      </c>
      <c r="C90" s="40" t="str">
        <f>RAW_699!C93</f>
        <v>Thị trần Minh Đức, huyện Thủy Nguyên, thành phố Hải Phòng</v>
      </c>
      <c r="D90" s="39" t="str">
        <f>IF(RAW_699!D93="","",IF(ISNUMBER(RAW_699!D93),TEXT(RAW_699!D93,"0"),RAW_699!D93))</f>
        <v>200155219</v>
      </c>
      <c r="E90" s="40" t="str">
        <f>RAW_699!E93</f>
        <v>Trần Văn Toan</v>
      </c>
      <c r="F90" s="41">
        <f>IF(RAW_699!F93="","",IF(ISNUMBER(RAW_699!F93),IF(MOD(RAW_699!F93,1)=0,RAW_699!F93,ROUND(RAW_699!F93*1000,0)),VALUE(SUBSTITUTE(RAW_699!F93,",",""))))</f>
        <v>1217320</v>
      </c>
      <c r="G90" s="41">
        <f>IF(RAW_699!G93="","",IF(ISNUMBER(RAW_699!G93),IF(MOD(RAW_699!G93,1)=0,RAW_699!G93,ROUND(RAW_699!G93*1000,0)),VALUE(SUBSTITUTE(RAW_699!G93,",",""))))</f>
        <v>1332050</v>
      </c>
    </row>
    <row r="91" ht="15.75" customHeight="1">
      <c r="A91" s="39">
        <f>RAW_699!A94</f>
        <v>31</v>
      </c>
      <c r="B91" s="40" t="str">
        <f>RAW_699!B94</f>
        <v>Nhà máy Xi măng Vissai Ninh Bình, Tập đoàn The Vissai</v>
      </c>
      <c r="C91" s="40" t="str">
        <f>RAW_699!C94</f>
        <v>Lô C7, cụm công nghiệp Gián Khẩu, huyện Gia Viễn, tỉnh Ninh Bình</v>
      </c>
      <c r="D91" s="39" t="str">
        <f>IF(RAW_699!D94="","",IF(ISNUMBER(RAW_699!D94),TEXT(RAW_699!D94,"0"),RAW_699!D94))</f>
        <v>2700280638</v>
      </c>
      <c r="E91" s="40" t="str">
        <f>RAW_699!E94</f>
        <v>Hoàng Mạnh Tùng</v>
      </c>
      <c r="F91" s="41">
        <f>IF(RAW_699!F94="","",IF(ISNUMBER(RAW_699!F94),IF(MOD(RAW_699!F94,1)=0,RAW_699!F94,ROUND(RAW_699!F94*1000,0)),VALUE(SUBSTITUTE(RAW_699!F94,",",""))))</f>
        <v>2072885</v>
      </c>
      <c r="G91" s="41">
        <f>IF(RAW_699!G94="","",IF(ISNUMBER(RAW_699!G94),IF(MOD(RAW_699!G94,1)=0,RAW_699!G94,ROUND(RAW_699!G94*1000,0)),VALUE(SUBSTITUTE(RAW_699!G94,",",""))))</f>
        <v>2268250</v>
      </c>
    </row>
    <row r="92" ht="15.75" customHeight="1">
      <c r="A92" s="39">
        <f>RAW_699!A95</f>
        <v>32</v>
      </c>
      <c r="B92" s="40" t="str">
        <f>RAW_699!B95</f>
        <v>Công ty VICEM xi măng Tam Điệp</v>
      </c>
      <c r="C92" s="40" t="str">
        <f>RAW_699!C95</f>
        <v>Khu công nghiệp Tam Điệp I, tỉnh Ninh Bình</v>
      </c>
      <c r="D92" s="39" t="str">
        <f>IF(RAW_699!D95="","",IF(ISNUMBER(RAW_699!D95),TEXT(RAW_699!D95,"0"),RAW_699!D95))</f>
        <v>2700260173</v>
      </c>
      <c r="E92" s="40" t="str">
        <f>RAW_699!E95</f>
        <v>Trần Anh Tuấn</v>
      </c>
      <c r="F92" s="41">
        <f>IF(RAW_699!F95="","",IF(ISNUMBER(RAW_699!F95),IF(MOD(RAW_699!F95,1)=0,RAW_699!F95,ROUND(RAW_699!F95*1000,0)),VALUE(SUBSTITUTE(RAW_699!F95,",",""))))</f>
        <v>1242230</v>
      </c>
      <c r="G92" s="41">
        <f>IF(RAW_699!G95="","",IF(ISNUMBER(RAW_699!G95),IF(MOD(RAW_699!G95,1)=0,RAW_699!G95,ROUND(RAW_699!G95*1000,0)),VALUE(SUBSTITUTE(RAW_699!G95,",",""))))</f>
        <v>1359308</v>
      </c>
    </row>
    <row r="93" ht="15.75" customHeight="1">
      <c r="A93" s="39">
        <f>RAW_699!A96</f>
        <v>33</v>
      </c>
      <c r="B93" s="40" t="str">
        <f>RAW_699!B96</f>
        <v>Nhà máy Xi măng Bỉm Sơn, Công ty Cổ phần Xi măng Bỉm Sơn</v>
      </c>
      <c r="C93" s="40" t="str">
        <f>RAW_699!C96</f>
        <v>Phường Ba Đình, thị xã Bỉm Sơn, tỉnh Thanh Hóa</v>
      </c>
      <c r="D93" s="39" t="str">
        <f>IF(RAW_699!D96="","",IF(ISNUMBER(RAW_699!D96),TEXT(RAW_699!D96,"0"),RAW_699!D96))</f>
        <v>2800232620</v>
      </c>
      <c r="E93" s="40" t="str">
        <f>RAW_699!E96</f>
        <v>Lê Huy Quân</v>
      </c>
      <c r="F93" s="41">
        <f>IF(RAW_699!F96="","",IF(ISNUMBER(RAW_699!F96),IF(MOD(RAW_699!F96,1)=0,RAW_699!F96,ROUND(RAW_699!F96*1000,0)),VALUE(SUBSTITUTE(RAW_699!F96,",",""))))</f>
        <v>2510131</v>
      </c>
      <c r="G93" s="41">
        <f>IF(RAW_699!G96="","",IF(ISNUMBER(RAW_699!G96),IF(MOD(RAW_699!G96,1)=0,RAW_699!G96,ROUND(RAW_699!G96*1000,0)),VALUE(SUBSTITUTE(RAW_699!G96,",",""))))</f>
        <v>2746706</v>
      </c>
    </row>
    <row r="94" ht="15.75" customHeight="1">
      <c r="A94" s="39">
        <f>RAW_699!A97</f>
        <v>34</v>
      </c>
      <c r="B94" s="40" t="str">
        <f>RAW_699!B97</f>
        <v>Nhà máy Xi măng Long Son, Công ty TNHH Long Sơn</v>
      </c>
      <c r="C94" s="40" t="str">
        <f>RAW_699!C97</f>
        <v>Phường Đông Sơn, thị xã Bỉm Sơn, tỉnh Thanh Hóa</v>
      </c>
      <c r="D94" s="39" t="str">
        <f>IF(RAW_699!D97="","",IF(ISNUMBER(RAW_699!D97),TEXT(RAW_699!D97,"0"),RAW_699!D97))</f>
        <v>2700271520-003</v>
      </c>
      <c r="E94" s="40" t="str">
        <f>RAW_699!E97</f>
        <v>Trịnh Quang Hải</v>
      </c>
      <c r="F94" s="41">
        <f>IF(RAW_699!F97="","",IF(ISNUMBER(RAW_699!F97),IF(MOD(RAW_699!F97,1)=0,RAW_699!F97,ROUND(RAW_699!F97*1000,0)),VALUE(SUBSTITUTE(RAW_699!F97,",",""))))</f>
        <v>8511370</v>
      </c>
      <c r="G94" s="41">
        <f>IF(RAW_699!G97="","",IF(ISNUMBER(RAW_699!G97),IF(MOD(RAW_699!G97,1)=0,RAW_699!G97,ROUND(RAW_699!G97*1000,0)),VALUE(SUBSTITUTE(RAW_699!G97,",",""))))</f>
        <v>9313550</v>
      </c>
    </row>
    <row r="95" ht="15.75" customHeight="1">
      <c r="A95" s="39">
        <f>RAW_699!A98</f>
        <v>35</v>
      </c>
      <c r="B95" s="40" t="str">
        <f>RAW_699!B98</f>
        <v>Nhà máy Xi măng Công Thanh, Tập đoàn Công Thanh</v>
      </c>
      <c r="C95" s="40" t="str">
        <f>RAW_699!C98</f>
        <v>Xã Tân Trường, huyện Tĩnh Gia, tỉnh Thanh Hóa</v>
      </c>
      <c r="D95" s="39" t="str">
        <f>IF(RAW_699!D98="","",IF(ISNUMBER(RAW_699!D98),TEXT(RAW_699!D98,"0"),RAW_699!D98))</f>
        <v>304186356</v>
      </c>
      <c r="E95" s="40" t="str">
        <f>RAW_699!E98</f>
        <v>Nguyễn Thị Hoàng Thi</v>
      </c>
      <c r="F95" s="41">
        <f>IF(RAW_699!F98="","",IF(ISNUMBER(RAW_699!F98),IF(MOD(RAW_699!F98,1)=0,RAW_699!F98,ROUND(RAW_699!F98*1000,0)),VALUE(SUBSTITUTE(RAW_699!F98,",",""))))</f>
        <v>499301</v>
      </c>
      <c r="G95" s="41">
        <f>IF(RAW_699!G98="","",IF(ISNUMBER(RAW_699!G98),IF(MOD(RAW_699!G98,1)=0,RAW_699!G98,ROUND(RAW_699!G98*1000,0)),VALUE(SUBSTITUTE(RAW_699!G98,",",""))))</f>
        <v>546359</v>
      </c>
    </row>
    <row r="96" ht="15.75" customHeight="1">
      <c r="A96" s="39">
        <f>RAW_699!A99</f>
        <v>36</v>
      </c>
      <c r="B96" s="40" t="str">
        <f>RAW_699!B99</f>
        <v>Nhà máy Xi măng Nghi Sơn 2, Công ty Xi măng Nghi Sơn</v>
      </c>
      <c r="C96" s="40" t="str">
        <f>RAW_699!C99</f>
        <v>Xã Hải Thượng, huyện Tĩnh Gia, tỉnh Thanh Hóa</v>
      </c>
      <c r="D96" s="39" t="str">
        <f>IF(RAW_699!D99="","",IF(ISNUMBER(RAW_699!D99),TEXT(RAW_699!D99,"0"),RAW_699!D99))</f>
        <v>2800464741</v>
      </c>
      <c r="E96" s="40" t="str">
        <f>RAW_699!E99</f>
        <v>Ichizawa Kazuhiko</v>
      </c>
      <c r="F96" s="41">
        <f>IF(RAW_699!F99="","",IF(ISNUMBER(RAW_699!F99),IF(MOD(RAW_699!F99,1)=0,RAW_699!F99,ROUND(RAW_699!F99*1000,0)),VALUE(SUBSTITUTE(RAW_699!F99,",",""))))</f>
        <v>3875392</v>
      </c>
      <c r="G96" s="41">
        <f>IF(RAW_699!G99="","",IF(ISNUMBER(RAW_699!G99),IF(MOD(RAW_699!G99,1)=0,RAW_699!G99,ROUND(RAW_699!G99*1000,0)),VALUE(SUBSTITUTE(RAW_699!G99,",",""))))</f>
        <v>4240640</v>
      </c>
    </row>
    <row r="97" ht="15.75" customHeight="1">
      <c r="A97" s="39">
        <f>RAW_699!A100</f>
        <v>37</v>
      </c>
      <c r="B97" s="40" t="str">
        <f>RAW_699!B100</f>
        <v>Nhà máy Xi măng Tân Thắng, Công ty Xi măng Tân Thắng</v>
      </c>
      <c r="C97" s="40" t="str">
        <f>RAW_699!C100</f>
        <v>Xã Tân Thắng, huyện Quỳnh Lưu, tỉnh Nghệ An</v>
      </c>
      <c r="D97" s="39" t="str">
        <f>IF(RAW_699!D100="","",IF(ISNUMBER(RAW_699!D100),TEXT(RAW_699!D100,"0"),RAW_699!D100))</f>
        <v>2901132319</v>
      </c>
      <c r="E97" s="40" t="str">
        <f>RAW_699!E100</f>
        <v>Văn Đình Quý</v>
      </c>
      <c r="F97" s="41">
        <f>IF(RAW_699!F100="","",IF(ISNUMBER(RAW_699!F100),IF(MOD(RAW_699!F100,1)=0,RAW_699!F100,ROUND(RAW_699!F100*1000,0)),VALUE(SUBSTITUTE(RAW_699!F100,",",""))))</f>
        <v>841042</v>
      </c>
      <c r="G97" s="41">
        <f>IF(RAW_699!G100="","",IF(ISNUMBER(RAW_699!G100),IF(MOD(RAW_699!G100,1)=0,RAW_699!G100,ROUND(RAW_699!G100*1000,0)),VALUE(SUBSTITUTE(RAW_699!G100,",",""))))</f>
        <v>920308</v>
      </c>
    </row>
    <row r="98" ht="15.75" customHeight="1">
      <c r="A98" s="39">
        <f>RAW_699!A101</f>
        <v>38</v>
      </c>
      <c r="B98" s="40" t="str">
        <f>RAW_699!B101</f>
        <v>Nhà máy Xi măng Sông Lam 1, Tập đoàn The Vissai</v>
      </c>
      <c r="C98" s="40" t="str">
        <f>RAW_699!C101</f>
        <v>Xã Bài Sơn, huyện Đô Lương, tỉnh Nghệ An</v>
      </c>
      <c r="D98" s="39" t="str">
        <f>IF(RAW_699!D101="","",IF(ISNUMBER(RAW_699!D101),TEXT(RAW_699!D101,"0"),RAW_699!D101))</f>
        <v>2900601487</v>
      </c>
      <c r="E98" s="40" t="str">
        <f>RAW_699!E101</f>
        <v>Hoàng Minh Tuấn</v>
      </c>
      <c r="F98" s="41">
        <f>IF(RAW_699!F101="","",IF(ISNUMBER(RAW_699!F101),IF(MOD(RAW_699!F101,1)=0,RAW_699!F101,ROUND(RAW_699!F101*1000,0)),VALUE(SUBSTITUTE(RAW_699!F101,",",""))))</f>
        <v>4681235</v>
      </c>
      <c r="G98" s="41">
        <f>IF(RAW_699!G101="","",IF(ISNUMBER(RAW_699!G101),IF(MOD(RAW_699!G101,1)=0,RAW_699!G101,ROUND(RAW_699!G101*1000,0)),VALUE(SUBSTITUTE(RAW_699!G101,",",""))))</f>
        <v>5122432</v>
      </c>
    </row>
    <row r="99" ht="15.75" customHeight="1">
      <c r="A99" s="39">
        <f>RAW_699!A102</f>
        <v>39</v>
      </c>
      <c r="B99" s="40" t="str">
        <f>RAW_699!B102</f>
        <v>Nhà máy Xi măng Sông Lam 2, Tập đoàn The Vissai</v>
      </c>
      <c r="C99" s="40" t="str">
        <f>RAW_699!C102</f>
        <v>Huyện Anh Sơn, tỉnh Nghệ An</v>
      </c>
      <c r="D99" s="39" t="str">
        <f>IF(RAW_699!D102="","",IF(ISNUMBER(RAW_699!D102),TEXT(RAW_699!D102,"0"),RAW_699!D102))</f>
        <v>2900325156</v>
      </c>
      <c r="E99" s="40" t="str">
        <f>RAW_699!E102</f>
        <v>Hoàng Mạnh Khởi</v>
      </c>
      <c r="F99" s="41">
        <f>IF(RAW_699!F102="","",IF(ISNUMBER(RAW_699!F102),IF(MOD(RAW_699!F102,1)=0,RAW_699!F102,ROUND(RAW_699!F102*1000,0)),VALUE(SUBSTITUTE(RAW_699!F102,",",""))))</f>
        <v>507149</v>
      </c>
      <c r="G99" s="41">
        <f>IF(RAW_699!G102="","",IF(ISNUMBER(RAW_699!G102),IF(MOD(RAW_699!G102,1)=0,RAW_699!G102,ROUND(RAW_699!G102*1000,0)),VALUE(SUBSTITUTE(RAW_699!G102,",",""))))</f>
        <v>554947</v>
      </c>
    </row>
    <row r="100" ht="15.75" customHeight="1">
      <c r="A100" s="39">
        <f>RAW_699!A103</f>
        <v>40</v>
      </c>
      <c r="B100" s="40" t="str">
        <f>RAW_699!B103</f>
        <v>Nhà máy Xi măng Công ty Cổ phần Xi măng Vicem Hoàng Mai</v>
      </c>
      <c r="C100" s="40" t="str">
        <f>RAW_699!C103</f>
        <v>Phường Quỳnh Thiện, huyện Quỳnh Lưu, tỉnh Nghệ An</v>
      </c>
      <c r="D100" s="39" t="str">
        <f>IF(RAW_699!D103="","",IF(ISNUMBER(RAW_699!D103),TEXT(RAW_699!D103,"0"),RAW_699!D103))</f>
        <v>2900329295</v>
      </c>
      <c r="E100" s="40" t="str">
        <f>RAW_699!E103</f>
        <v>Nguyễn Đình Dũng</v>
      </c>
      <c r="F100" s="41">
        <f>IF(RAW_699!F103="","",IF(ISNUMBER(RAW_699!F103),IF(MOD(RAW_699!F103,1)=0,RAW_699!F103,ROUND(RAW_699!F103*1000,0)),VALUE(SUBSTITUTE(RAW_699!F103,",",""))))</f>
        <v>1290862</v>
      </c>
      <c r="G100" s="41">
        <f>IF(RAW_699!G103="","",IF(ISNUMBER(RAW_699!G103),IF(MOD(RAW_699!G103,1)=0,RAW_699!G103,ROUND(RAW_699!G103*1000,0)),VALUE(SUBSTITUTE(RAW_699!G103,",",""))))</f>
        <v>1412524</v>
      </c>
    </row>
    <row r="101" ht="15.75" customHeight="1">
      <c r="A101" s="39">
        <f>RAW_699!A104</f>
        <v>41</v>
      </c>
      <c r="B101" s="40" t="str">
        <f>RAW_699!B104</f>
        <v>Công ty cổ phần xi măng sông Gianh</v>
      </c>
      <c r="C101" s="40" t="str">
        <f>RAW_699!C104</f>
        <v>Thôn Cương Trung C, xã Tiến Hóa, huyên Tuyên Hóa, tỉnh Quảng Bình</v>
      </c>
      <c r="D101" s="39" t="str">
        <f>IF(RAW_699!D104="","",IF(ISNUMBER(RAW_699!D104),TEXT(RAW_699!D104,"0"),RAW_699!D104))</f>
        <v>3100946237</v>
      </c>
      <c r="E101" s="40" t="str">
        <f>RAW_699!E104</f>
        <v>Supakit Phucharoensilp</v>
      </c>
      <c r="F101" s="41">
        <f>IF(RAW_699!F104="","",IF(ISNUMBER(RAW_699!F104),IF(MOD(RAW_699!F104,1)=0,RAW_699!F104,ROUND(RAW_699!F104*1000,0)),VALUE(SUBSTITUTE(RAW_699!F104,",",""))))</f>
        <v>1137938</v>
      </c>
      <c r="G101" s="41">
        <f>IF(RAW_699!G104="","",IF(ISNUMBER(RAW_699!G104),IF(MOD(RAW_699!G104,1)=0,RAW_699!G104,ROUND(RAW_699!G104*1000,0)),VALUE(SUBSTITUTE(RAW_699!G104,",",""))))</f>
        <v>1245186</v>
      </c>
    </row>
    <row r="102" ht="15.75" customHeight="1">
      <c r="A102" s="39">
        <f>RAW_699!A105</f>
        <v>42</v>
      </c>
      <c r="B102" s="40" t="str">
        <f>RAW_699!B105</f>
        <v>Công ty cổ phần vật liệu xây dựng Việt Nam</v>
      </c>
      <c r="C102" s="40" t="str">
        <f>RAW_699!C105</f>
        <v>Thôn Xuân Hạ, xã Văn Hóa, huyện Tuyên Hóa, tỉnh Quảng Bình</v>
      </c>
      <c r="D102" s="39" t="str">
        <f>IF(RAW_699!D105="","",IF(ISNUMBER(RAW_699!D105),TEXT(RAW_699!D105,"0"),RAW_699!D105))</f>
        <v>3100405421</v>
      </c>
      <c r="E102" s="40" t="str">
        <f>RAW_699!E105</f>
        <v>Supakit Phucharoensilp</v>
      </c>
      <c r="F102" s="41">
        <f>IF(RAW_699!F105="","",IF(ISNUMBER(RAW_699!F105),IF(MOD(RAW_699!F105,1)=0,RAW_699!F105,ROUND(RAW_699!F105*1000,0)),VALUE(SUBSTITUTE(RAW_699!F105,",",""))))</f>
        <v>727399</v>
      </c>
      <c r="G102" s="41">
        <f>IF(RAW_699!G105="","",IF(ISNUMBER(RAW_699!G105),IF(MOD(RAW_699!G105,1)=0,RAW_699!G105,ROUND(RAW_699!G105*1000,0)),VALUE(SUBSTITUTE(RAW_699!G105,",",""))))</f>
        <v>795955</v>
      </c>
    </row>
    <row r="103" ht="15.75" customHeight="1">
      <c r="A103" s="39">
        <f>RAW_699!A106</f>
        <v>43</v>
      </c>
      <c r="B103" s="40" t="str">
        <f>RAW_699!B106</f>
        <v>Nhà máy Xi măng Vạn Ninh, Công ty cổ phần Xi măng Vicem Hải Vân</v>
      </c>
      <c r="C103" s="40" t="str">
        <f>RAW_699!C106</f>
        <v>Thôn Áng Sơn, xã Vạn Ninh, huyện Quảng Ninh, tỉnh Quảng Bình</v>
      </c>
      <c r="D103" s="39" t="str">
        <f>IF(RAW_699!D106="","",IF(ISNUMBER(RAW_699!D106),TEXT(RAW_699!D106,"0"),RAW_699!D106))</f>
        <v>0400101235-003</v>
      </c>
      <c r="E103" s="40" t="str">
        <f>RAW_699!E106</f>
        <v>Hoàng Xuân Thịnh</v>
      </c>
      <c r="F103" s="41">
        <f>IF(RAW_699!F106="","",IF(ISNUMBER(RAW_699!F106),IF(MOD(RAW_699!F106,1)=0,RAW_699!F106,ROUND(RAW_699!F106*1000,0)),VALUE(SUBSTITUTE(RAW_699!F106,",",""))))</f>
        <v>271549</v>
      </c>
      <c r="G103" s="41">
        <f>IF(RAW_699!G106="","",IF(ISNUMBER(RAW_699!G106),IF(MOD(RAW_699!G106,1)=0,RAW_699!G106,ROUND(RAW_699!G106*1000,0)),VALUE(SUBSTITUTE(RAW_699!G106,",",""))))</f>
        <v>297142</v>
      </c>
    </row>
    <row r="104" ht="15.75" customHeight="1">
      <c r="A104" s="39">
        <f>RAW_699!A107</f>
        <v>44</v>
      </c>
      <c r="B104" s="40" t="str">
        <f>RAW_699!B107</f>
        <v>Công ty Hữu Hạn Xi Măng Luks</v>
      </c>
      <c r="C104" s="40" t="str">
        <f>RAW_699!C107</f>
        <v>Phường Tứ Hạ, thị xã Hương Trà, tỉnh Thừa Thiên Huế</v>
      </c>
      <c r="D104" s="39" t="str">
        <f>IF(RAW_699!D107="","",IF(ISNUMBER(RAW_699!D107),TEXT(RAW_699!D107,"0"),RAW_699!D107))</f>
        <v>3300100875</v>
      </c>
      <c r="E104" s="40" t="str">
        <f>RAW_699!E107</f>
        <v>Luk Jack Fung</v>
      </c>
      <c r="F104" s="41">
        <f>IF(RAW_699!F107="","",IF(ISNUMBER(RAW_699!F107),IF(MOD(RAW_699!F107,1)=0,RAW_699!F107,ROUND(RAW_699!F107*1000,0)),VALUE(SUBSTITUTE(RAW_699!F107,",",""))))</f>
        <v>354936</v>
      </c>
      <c r="G104" s="41">
        <f>IF(RAW_699!G107="","",IF(ISNUMBER(RAW_699!G107),IF(MOD(RAW_699!G107,1)=0,RAW_699!G107,ROUND(RAW_699!G107*1000,0)),VALUE(SUBSTITUTE(RAW_699!G107,",",""))))</f>
        <v>388387</v>
      </c>
    </row>
    <row r="105" ht="15.75" customHeight="1">
      <c r="A105" s="39">
        <f>RAW_699!A108</f>
        <v>45</v>
      </c>
      <c r="B105" s="40" t="str">
        <f>RAW_699!B108</f>
        <v>Công ty cổ phần Xi măng Đồng Lâm</v>
      </c>
      <c r="C105" s="40" t="str">
        <f>RAW_699!C108</f>
        <v>Thôn Cổ Xuân, xã Phong Xuân, huyện Phong Điền, tỉnh Thừa Thiên Huế</v>
      </c>
      <c r="D105" s="39" t="str">
        <f>IF(RAW_699!D108="","",IF(ISNUMBER(RAW_699!D108),TEXT(RAW_699!D108,"0"),RAW_699!D108))</f>
        <v>3300384306</v>
      </c>
      <c r="E105" s="40" t="str">
        <f>RAW_699!E108</f>
        <v>Phạm Phước Hiền Hòa</v>
      </c>
      <c r="F105" s="41">
        <f>IF(RAW_699!F108="","",IF(ISNUMBER(RAW_699!F108),IF(MOD(RAW_699!F108,1)=0,RAW_699!F108,ROUND(RAW_699!F108*1000,0)),VALUE(SUBSTITUTE(RAW_699!F108,",",""))))</f>
        <v>1254493</v>
      </c>
      <c r="G105" s="41">
        <f>IF(RAW_699!G108="","",IF(ISNUMBER(RAW_699!G108),IF(MOD(RAW_699!G108,1)=0,RAW_699!G108,ROUND(RAW_699!G108*1000,0)),VALUE(SUBSTITUTE(RAW_699!G108,",",""))))</f>
        <v>1372727</v>
      </c>
    </row>
    <row r="106" ht="15.75" customHeight="1">
      <c r="A106" s="39">
        <f>RAW_699!A109</f>
        <v>46</v>
      </c>
      <c r="B106" s="40" t="str">
        <f>RAW_699!B109</f>
        <v>Công ty TNHH MTV Xi măng Xuân Thành Quảng Nam</v>
      </c>
      <c r="C106" s="40" t="str">
        <f>RAW_699!C109</f>
        <v>Thôn Đồng Râm, thị trấn Thạnh Mỹ, huyện Nam Giang, tỉnh Quảng Nam</v>
      </c>
      <c r="D106" s="39" t="str">
        <f>IF(RAW_699!D109="","",IF(ISNUMBER(RAW_699!D109),TEXT(RAW_699!D109,"0"),RAW_699!D109))</f>
        <v>4001193087</v>
      </c>
      <c r="E106" s="40" t="str">
        <f>RAW_699!E109</f>
        <v>Nguyễn Thị Thu</v>
      </c>
      <c r="F106" s="41">
        <f>IF(RAW_699!F109="","",IF(ISNUMBER(RAW_699!F109),IF(MOD(RAW_699!F109,1)=0,RAW_699!F109,ROUND(RAW_699!F109*1000,0)),VALUE(SUBSTITUTE(RAW_699!F109,",",""))))</f>
        <v>835087</v>
      </c>
      <c r="G106" s="41">
        <f>IF(RAW_699!G109="","",IF(ISNUMBER(RAW_699!G109),IF(MOD(RAW_699!G109,1)=0,RAW_699!G109,ROUND(RAW_699!G109*1000,0)),VALUE(SUBSTITUTE(RAW_699!G109,",",""))))</f>
        <v>913792</v>
      </c>
    </row>
    <row r="107" ht="15.75" customHeight="1">
      <c r="A107" s="39">
        <f>RAW_699!A110</f>
        <v>47</v>
      </c>
      <c r="B107" s="40" t="str">
        <f>RAW_699!B110</f>
        <v>Nhà máy Xi măng Bình Phước, Công ty cổ phần Xi măng Vicem Hà Tiên 1</v>
      </c>
      <c r="C107" s="40" t="str">
        <f>RAW_699!C110</f>
        <v>Xã Thanh Lương, thị xã Bình Long, tỉnh Bình Phước</v>
      </c>
      <c r="D107" s="39" t="str">
        <f>IF(RAW_699!D110="","",IF(ISNUMBER(RAW_699!D110),TEXT(RAW_699!D110,"0"),RAW_699!D110))</f>
        <v>0301446422-012</v>
      </c>
      <c r="E107" s="40" t="str">
        <f>RAW_699!E110</f>
        <v>Lê Ngọc Tuấn</v>
      </c>
      <c r="F107" s="41">
        <f>IF(RAW_699!F110="","",IF(ISNUMBER(RAW_699!F110),IF(MOD(RAW_699!F110,1)=0,RAW_699!F110,ROUND(RAW_699!F110*1000,0)),VALUE(SUBSTITUTE(RAW_699!F110,",",""))))</f>
        <v>1982913</v>
      </c>
      <c r="G107" s="41">
        <f>IF(RAW_699!G110="","",IF(ISNUMBER(RAW_699!G110),IF(MOD(RAW_699!G110,1)=0,RAW_699!G110,ROUND(RAW_699!G110*1000,0)),VALUE(SUBSTITUTE(RAW_699!G110,",",""))))</f>
        <v>2169798</v>
      </c>
    </row>
    <row r="108" ht="15.75" customHeight="1">
      <c r="A108" s="39">
        <f>RAW_699!A111</f>
        <v>48</v>
      </c>
      <c r="B108" s="40" t="str">
        <f>RAW_699!B111</f>
        <v>Nhà máy Xi măng Tây Ninh, Công ty cổ phần xi măng FICO Tây Ninh - Tổng Công ty vật liệu xây dựng số 1</v>
      </c>
      <c r="C108" s="40" t="str">
        <f>RAW_699!C111</f>
        <v>Xã Tân Hòa, huyện Tân Châu, tỉnh Tây Ninh</v>
      </c>
      <c r="D108" s="39" t="str">
        <f>IF(RAW_699!D111="","",IF(ISNUMBER(RAW_699!D111),TEXT(RAW_699!D111,"0"),RAW_699!D111))</f>
        <v>3900365922-003</v>
      </c>
      <c r="E108" s="40" t="str">
        <f>RAW_699!E111</f>
        <v>Châu Ngọc Phúc</v>
      </c>
      <c r="F108" s="41">
        <f>IF(RAW_699!F111="","",IF(ISNUMBER(RAW_699!F111),IF(MOD(RAW_699!F111,1)=0,RAW_699!F111,ROUND(RAW_699!F111*1000,0)),VALUE(SUBSTITUTE(RAW_699!F111,",",""))))</f>
        <v>1072694</v>
      </c>
      <c r="G108" s="41">
        <f>IF(RAW_699!G111="","",IF(ISNUMBER(RAW_699!G111),IF(MOD(RAW_699!G111,1)=0,RAW_699!G111,ROUND(RAW_699!G111*1000,0)),VALUE(SUBSTITUTE(RAW_699!G111,",",""))))</f>
        <v>1173794</v>
      </c>
    </row>
    <row r="109" ht="15.75" customHeight="1">
      <c r="A109" s="39">
        <f>RAW_699!A112</f>
        <v>49</v>
      </c>
      <c r="B109" s="40" t="str">
        <f>RAW_699!B112</f>
        <v>Nhà máy Xi măng Kiên Lương, Công ty cổ phần Xi măng Vicem Hà Tiên 1</v>
      </c>
      <c r="C109" s="40" t="str">
        <f>RAW_699!C112</f>
        <v>Thị trấn Kiên Lương, huyện Kiên Lương, tỉnh Kiên Giang</v>
      </c>
      <c r="D109" s="39" t="str">
        <f>IF(RAW_699!D112="","",IF(ISNUMBER(RAW_699!D112),TEXT(RAW_699!D112,"0"),RAW_699!D112))</f>
        <v>0301446422-013</v>
      </c>
      <c r="E109" s="40" t="str">
        <f>RAW_699!E112</f>
        <v>Lâm Hiện Đạt</v>
      </c>
      <c r="F109" s="41">
        <f>IF(RAW_699!F112="","",IF(ISNUMBER(RAW_699!F112),IF(MOD(RAW_699!F112,1)=0,RAW_699!F112,ROUND(RAW_699!F112*1000,0)),VALUE(SUBSTITUTE(RAW_699!F112,",",""))))</f>
        <v>2045386</v>
      </c>
      <c r="G109" s="41">
        <f>IF(RAW_699!G112="","",IF(ISNUMBER(RAW_699!G112),IF(MOD(RAW_699!G112,1)=0,RAW_699!G112,ROUND(RAW_699!G112*1000,0)),VALUE(SUBSTITUTE(RAW_699!G112,",",""))))</f>
        <v>2238159</v>
      </c>
    </row>
    <row r="110" ht="15.75" customHeight="1">
      <c r="A110" s="39">
        <f>RAW_699!A113</f>
        <v>50</v>
      </c>
      <c r="B110" s="40" t="str">
        <f>RAW_699!B113</f>
        <v>Nhà máy Xi măng INSEE, Công ty TNHH Siam City Cement (Việt Nam)</v>
      </c>
      <c r="C110" s="40" t="str">
        <f>RAW_699!C113</f>
        <v>Xã Bình An, huyện Kiên Lương, tỉnh Kiên Giang</v>
      </c>
      <c r="D110" s="39" t="str">
        <f>IF(RAW_699!D113="","",IF(ISNUMBER(RAW_699!D113),TEXT(RAW_699!D113,"0"),RAW_699!D113))</f>
        <v>0300608568-001</v>
      </c>
      <c r="E110" s="40" t="str">
        <f>RAW_699!E113</f>
        <v>Eamon John Ginley</v>
      </c>
      <c r="F110" s="41">
        <f>IF(RAW_699!F113="","",IF(ISNUMBER(RAW_699!F113),IF(MOD(RAW_699!F113,1)=0,RAW_699!F113,ROUND(RAW_699!F113*1000,0)),VALUE(SUBSTITUTE(RAW_699!F113,",",""))))</f>
        <v>1505630</v>
      </c>
      <c r="G110" s="41">
        <f>IF(RAW_699!G113="","",IF(ISNUMBER(RAW_699!G113),IF(MOD(RAW_699!G113,1)=0,RAW_699!G113,ROUND(RAW_699!G113*1000,0)),VALUE(SUBSTITUTE(RAW_699!G113,",",""))))</f>
        <v>1647533</v>
      </c>
    </row>
    <row r="111" ht="15.75" customHeight="1">
      <c r="A111" s="39">
        <f>RAW_699!A114</f>
        <v>51</v>
      </c>
      <c r="B111" s="40" t="str">
        <f>RAW_699!B114</f>
        <v>Công ty TNHH Duyên Hà, Nhà máy xi măng Duyên Hà</v>
      </c>
      <c r="C111" s="40" t="str">
        <f>RAW_699!C114</f>
        <v>Thôn Hệ, xã Ninh Vân, huyện Hoa Lư, tỉnh Ninh Bình</v>
      </c>
      <c r="D111" s="39" t="str">
        <f>IF(RAW_699!D114="","",IF(ISNUMBER(RAW_699!D114),TEXT(RAW_699!D114,"0"),RAW_699!D114))</f>
        <v>0100520789-002</v>
      </c>
      <c r="E111" s="40" t="str">
        <f>RAW_699!E114</f>
        <v>Phạm Văn Duyên</v>
      </c>
      <c r="F111" s="41">
        <f>IF(RAW_699!F114="","",IF(ISNUMBER(RAW_699!F114),IF(MOD(RAW_699!F114,1)=0,RAW_699!F114,ROUND(RAW_699!F114*1000,0)),VALUE(SUBSTITUTE(RAW_699!F114,",",""))))</f>
        <v>1324157</v>
      </c>
      <c r="G111" s="41">
        <f>IF(RAW_699!G114="","",IF(ISNUMBER(RAW_699!G114),IF(MOD(RAW_699!G114,1)=0,RAW_699!G114,ROUND(RAW_699!G114*1000,0)),VALUE(SUBSTITUTE(RAW_699!G114,",",""))))</f>
        <v>1448956</v>
      </c>
    </row>
    <row r="112" ht="15.75" customHeight="1">
      <c r="A112" s="13"/>
      <c r="B112" s="13"/>
      <c r="C112" s="13"/>
      <c r="D112" s="13"/>
      <c r="E112" s="13"/>
      <c r="F112" s="13"/>
      <c r="G112" s="13"/>
    </row>
    <row r="113" ht="15.75" customHeight="1">
      <c r="A113" s="13"/>
      <c r="B113" s="13"/>
      <c r="C113" s="13"/>
      <c r="D113" s="13"/>
      <c r="E113" s="13"/>
      <c r="F113" s="13"/>
      <c r="G113" s="13"/>
    </row>
    <row r="114" ht="15.75" customHeight="1">
      <c r="A114" s="13"/>
      <c r="B114" s="13"/>
      <c r="C114" s="13"/>
      <c r="D114" s="13"/>
      <c r="E114" s="13"/>
      <c r="F114" s="13"/>
      <c r="G114" s="13"/>
    </row>
    <row r="115" ht="15.75" customHeight="1">
      <c r="A115" s="13"/>
      <c r="B115" s="13"/>
      <c r="C115" s="13"/>
      <c r="D115" s="13"/>
      <c r="E115" s="13"/>
      <c r="F115" s="13"/>
      <c r="G115" s="13"/>
    </row>
    <row r="116" ht="15.75" customHeight="1">
      <c r="A116" s="13"/>
      <c r="B116" s="13"/>
      <c r="C116" s="13"/>
      <c r="D116" s="13"/>
      <c r="E116" s="13"/>
      <c r="F116" s="13"/>
      <c r="G116" s="13"/>
    </row>
    <row r="117" ht="15.75" customHeight="1">
      <c r="A117" s="13"/>
      <c r="B117" s="13"/>
      <c r="C117" s="13"/>
      <c r="D117" s="13"/>
      <c r="E117" s="13"/>
      <c r="F117" s="13"/>
      <c r="G117" s="13"/>
    </row>
    <row r="118" ht="15.75" customHeight="1">
      <c r="A118" s="13"/>
      <c r="B118" s="13"/>
      <c r="C118" s="13"/>
      <c r="D118" s="13"/>
      <c r="E118" s="13"/>
      <c r="F118" s="13"/>
      <c r="G118" s="13"/>
    </row>
    <row r="119" ht="15.75" customHeight="1">
      <c r="A119" s="13"/>
      <c r="B119" s="13"/>
      <c r="C119" s="13"/>
      <c r="D119" s="13"/>
      <c r="E119" s="13"/>
      <c r="F119" s="13"/>
      <c r="G119" s="13"/>
    </row>
    <row r="120" ht="15.75" customHeight="1">
      <c r="A120" s="13"/>
      <c r="B120" s="13"/>
      <c r="C120" s="13"/>
      <c r="D120" s="13"/>
      <c r="E120" s="13"/>
      <c r="F120" s="13"/>
      <c r="G120" s="13"/>
    </row>
    <row r="121" ht="15.75" customHeight="1">
      <c r="A121" s="13"/>
      <c r="B121" s="13"/>
      <c r="C121" s="13"/>
      <c r="D121" s="13"/>
      <c r="E121" s="13"/>
      <c r="F121" s="13"/>
      <c r="G121" s="13"/>
    </row>
    <row r="122" ht="15.75" customHeight="1">
      <c r="A122" s="13"/>
      <c r="B122" s="13"/>
      <c r="C122" s="13"/>
      <c r="D122" s="13"/>
      <c r="E122" s="13"/>
      <c r="F122" s="13"/>
      <c r="G122" s="13"/>
    </row>
    <row r="123" ht="15.75" customHeight="1">
      <c r="A123" s="13"/>
      <c r="B123" s="13"/>
      <c r="C123" s="13"/>
      <c r="D123" s="13"/>
      <c r="E123" s="13"/>
      <c r="F123" s="13"/>
      <c r="G123" s="13"/>
    </row>
    <row r="124" ht="15.75" customHeight="1">
      <c r="A124" s="13"/>
      <c r="B124" s="13"/>
      <c r="C124" s="13"/>
      <c r="D124" s="13"/>
      <c r="E124" s="13"/>
      <c r="F124" s="13"/>
      <c r="G124" s="13"/>
    </row>
    <row r="125" ht="15.75" customHeight="1">
      <c r="A125" s="13"/>
      <c r="B125" s="13"/>
      <c r="C125" s="13"/>
      <c r="D125" s="13"/>
      <c r="E125" s="13"/>
      <c r="F125" s="13"/>
      <c r="G125" s="13"/>
    </row>
    <row r="126" ht="15.75" customHeight="1">
      <c r="A126" s="13"/>
      <c r="B126" s="13"/>
      <c r="C126" s="13"/>
      <c r="D126" s="13"/>
      <c r="E126" s="13"/>
      <c r="F126" s="13"/>
      <c r="G126" s="13"/>
    </row>
    <row r="127" ht="15.75" customHeight="1">
      <c r="A127" s="13"/>
      <c r="B127" s="13"/>
      <c r="C127" s="13"/>
      <c r="D127" s="13"/>
      <c r="E127" s="13"/>
      <c r="F127" s="13"/>
      <c r="G127" s="13"/>
    </row>
    <row r="128" ht="15.75" customHeight="1">
      <c r="A128" s="13"/>
      <c r="B128" s="13"/>
      <c r="C128" s="13"/>
      <c r="D128" s="13"/>
      <c r="E128" s="13"/>
      <c r="F128" s="13"/>
      <c r="G128" s="13"/>
    </row>
    <row r="129" ht="15.75" customHeight="1">
      <c r="A129" s="13"/>
      <c r="B129" s="13"/>
      <c r="C129" s="13"/>
      <c r="D129" s="13"/>
      <c r="E129" s="13"/>
      <c r="F129" s="13"/>
      <c r="G129" s="13"/>
    </row>
    <row r="130" ht="15.75" customHeight="1">
      <c r="A130" s="13"/>
      <c r="B130" s="13"/>
      <c r="C130" s="13"/>
      <c r="D130" s="13"/>
      <c r="E130" s="13"/>
      <c r="F130" s="13"/>
      <c r="G130" s="13"/>
    </row>
    <row r="131" ht="15.75" customHeight="1">
      <c r="A131" s="13"/>
      <c r="B131" s="13"/>
      <c r="C131" s="13"/>
      <c r="D131" s="13"/>
      <c r="E131" s="13"/>
      <c r="F131" s="13"/>
      <c r="G131" s="13"/>
    </row>
    <row r="132" ht="15.75" customHeight="1">
      <c r="A132" s="13"/>
      <c r="B132" s="13"/>
      <c r="C132" s="13"/>
      <c r="D132" s="13"/>
      <c r="E132" s="13"/>
      <c r="F132" s="13"/>
      <c r="G132" s="13"/>
    </row>
    <row r="133" ht="15.75" customHeight="1">
      <c r="A133" s="13"/>
      <c r="B133" s="13"/>
      <c r="C133" s="13"/>
      <c r="D133" s="13"/>
      <c r="E133" s="13"/>
      <c r="F133" s="13"/>
      <c r="G133" s="13"/>
    </row>
    <row r="134" ht="15.75" customHeight="1">
      <c r="A134" s="13"/>
      <c r="B134" s="13"/>
      <c r="C134" s="13"/>
      <c r="D134" s="13"/>
      <c r="E134" s="13"/>
      <c r="F134" s="13"/>
      <c r="G134" s="13"/>
    </row>
    <row r="135" ht="15.75" customHeight="1">
      <c r="A135" s="13"/>
      <c r="B135" s="13"/>
      <c r="C135" s="13"/>
      <c r="D135" s="13"/>
      <c r="E135" s="13"/>
      <c r="F135" s="13"/>
      <c r="G135" s="13"/>
    </row>
    <row r="136" ht="15.75" customHeight="1">
      <c r="A136" s="13"/>
      <c r="B136" s="13"/>
      <c r="C136" s="13"/>
      <c r="D136" s="13"/>
      <c r="E136" s="13"/>
      <c r="F136" s="13"/>
      <c r="G136" s="13"/>
    </row>
    <row r="137" ht="15.75" customHeight="1">
      <c r="A137" s="13"/>
      <c r="B137" s="13"/>
      <c r="C137" s="13"/>
      <c r="D137" s="13"/>
      <c r="E137" s="13"/>
      <c r="F137" s="13"/>
      <c r="G137" s="13"/>
    </row>
    <row r="138" ht="15.75" customHeight="1">
      <c r="A138" s="13"/>
      <c r="B138" s="13"/>
      <c r="C138" s="13"/>
      <c r="D138" s="13"/>
      <c r="E138" s="13"/>
      <c r="F138" s="13"/>
      <c r="G138" s="13"/>
    </row>
    <row r="139" ht="15.75" customHeight="1">
      <c r="A139" s="13"/>
      <c r="B139" s="13"/>
      <c r="C139" s="13"/>
      <c r="D139" s="13"/>
      <c r="E139" s="13"/>
      <c r="F139" s="13"/>
      <c r="G139" s="13"/>
    </row>
    <row r="140" ht="15.75" customHeight="1">
      <c r="A140" s="13"/>
      <c r="B140" s="13"/>
      <c r="C140" s="13"/>
      <c r="D140" s="13"/>
      <c r="E140" s="13"/>
      <c r="F140" s="13"/>
      <c r="G140" s="13"/>
    </row>
    <row r="141" ht="15.75" customHeight="1">
      <c r="A141" s="13"/>
      <c r="B141" s="13"/>
      <c r="C141" s="13"/>
      <c r="D141" s="13"/>
      <c r="E141" s="13"/>
      <c r="F141" s="13"/>
      <c r="G141" s="13"/>
    </row>
    <row r="142" ht="15.75" customHeight="1">
      <c r="A142" s="13"/>
      <c r="B142" s="13"/>
      <c r="C142" s="13"/>
      <c r="D142" s="13"/>
      <c r="E142" s="13"/>
      <c r="F142" s="13"/>
      <c r="G142" s="13"/>
    </row>
    <row r="143" ht="15.75" customHeight="1">
      <c r="A143" s="13"/>
      <c r="B143" s="13"/>
      <c r="C143" s="13"/>
      <c r="D143" s="13"/>
      <c r="E143" s="13"/>
      <c r="F143" s="13"/>
      <c r="G143" s="13"/>
    </row>
    <row r="144" ht="15.75" customHeight="1">
      <c r="A144" s="13"/>
      <c r="B144" s="13"/>
      <c r="C144" s="13"/>
      <c r="D144" s="13"/>
      <c r="E144" s="13"/>
      <c r="F144" s="13"/>
      <c r="G144" s="13"/>
    </row>
    <row r="145" ht="15.75" customHeight="1">
      <c r="A145" s="13"/>
      <c r="B145" s="13"/>
      <c r="C145" s="13"/>
      <c r="D145" s="13"/>
      <c r="E145" s="13"/>
      <c r="F145" s="13"/>
      <c r="G145" s="13"/>
    </row>
    <row r="146" ht="15.75" customHeight="1">
      <c r="A146" s="13"/>
      <c r="B146" s="13"/>
      <c r="C146" s="13"/>
      <c r="D146" s="13"/>
      <c r="E146" s="13"/>
      <c r="F146" s="13"/>
      <c r="G146" s="13"/>
    </row>
    <row r="147" ht="15.75" customHeight="1">
      <c r="A147" s="13"/>
      <c r="B147" s="13"/>
      <c r="C147" s="13"/>
      <c r="D147" s="13"/>
      <c r="E147" s="13"/>
      <c r="F147" s="13"/>
      <c r="G147" s="13"/>
    </row>
    <row r="148" ht="15.75" customHeight="1">
      <c r="A148" s="13"/>
      <c r="B148" s="13"/>
      <c r="C148" s="13"/>
      <c r="D148" s="13"/>
      <c r="E148" s="13"/>
      <c r="F148" s="13"/>
      <c r="G148" s="13"/>
    </row>
    <row r="149" ht="15.75" customHeight="1">
      <c r="A149" s="13"/>
      <c r="B149" s="13"/>
      <c r="C149" s="13"/>
      <c r="D149" s="13"/>
      <c r="E149" s="13"/>
      <c r="F149" s="13"/>
      <c r="G149" s="13"/>
    </row>
    <row r="150" ht="15.75" customHeight="1">
      <c r="A150" s="13"/>
      <c r="B150" s="13"/>
      <c r="C150" s="13"/>
      <c r="D150" s="13"/>
      <c r="E150" s="13"/>
      <c r="F150" s="13"/>
      <c r="G150" s="13"/>
    </row>
    <row r="151" ht="15.75" customHeight="1">
      <c r="A151" s="13"/>
      <c r="B151" s="13"/>
      <c r="C151" s="13"/>
      <c r="D151" s="13"/>
      <c r="E151" s="13"/>
      <c r="F151" s="13"/>
      <c r="G151" s="13"/>
    </row>
    <row r="152" ht="15.75" customHeight="1">
      <c r="A152" s="13"/>
      <c r="B152" s="13"/>
      <c r="C152" s="13"/>
      <c r="D152" s="13"/>
      <c r="E152" s="13"/>
      <c r="F152" s="13"/>
      <c r="G152" s="13"/>
    </row>
    <row r="153" ht="15.75" customHeight="1">
      <c r="A153" s="13"/>
      <c r="B153" s="13"/>
      <c r="C153" s="13"/>
      <c r="D153" s="13"/>
      <c r="E153" s="13"/>
      <c r="F153" s="13"/>
      <c r="G153" s="13"/>
    </row>
    <row r="154" ht="15.75" customHeight="1">
      <c r="A154" s="13"/>
      <c r="B154" s="13"/>
      <c r="C154" s="13"/>
      <c r="D154" s="13"/>
      <c r="E154" s="13"/>
      <c r="F154" s="13"/>
      <c r="G154" s="13"/>
    </row>
    <row r="155" ht="15.75" customHeight="1">
      <c r="A155" s="13"/>
      <c r="B155" s="13"/>
      <c r="C155" s="13"/>
      <c r="D155" s="13"/>
      <c r="E155" s="13"/>
      <c r="F155" s="13"/>
      <c r="G155" s="13"/>
    </row>
    <row r="156" ht="15.75" customHeight="1">
      <c r="A156" s="13"/>
      <c r="B156" s="13"/>
      <c r="C156" s="13"/>
      <c r="D156" s="13"/>
      <c r="E156" s="13"/>
      <c r="F156" s="13"/>
      <c r="G156" s="13"/>
    </row>
    <row r="157" ht="15.75" customHeight="1">
      <c r="A157" s="13"/>
      <c r="B157" s="13"/>
      <c r="C157" s="13"/>
      <c r="D157" s="13"/>
      <c r="E157" s="13"/>
      <c r="F157" s="13"/>
      <c r="G157" s="13"/>
    </row>
    <row r="158" ht="15.75" customHeight="1">
      <c r="A158" s="13"/>
      <c r="B158" s="13"/>
      <c r="C158" s="13"/>
      <c r="D158" s="13"/>
      <c r="E158" s="13"/>
      <c r="F158" s="13"/>
      <c r="G158" s="13"/>
    </row>
    <row r="159" ht="15.75" customHeight="1">
      <c r="A159" s="13"/>
      <c r="B159" s="13"/>
      <c r="C159" s="13"/>
      <c r="D159" s="13"/>
      <c r="E159" s="13"/>
      <c r="F159" s="13"/>
      <c r="G159" s="13"/>
    </row>
    <row r="160" ht="15.75" customHeight="1">
      <c r="A160" s="13"/>
      <c r="B160" s="13"/>
      <c r="C160" s="13"/>
      <c r="D160" s="13"/>
      <c r="E160" s="13"/>
      <c r="F160" s="13"/>
      <c r="G160" s="13"/>
    </row>
    <row r="161" ht="15.75" customHeight="1">
      <c r="A161" s="13"/>
      <c r="B161" s="13"/>
      <c r="C161" s="13"/>
      <c r="D161" s="13"/>
      <c r="E161" s="13"/>
      <c r="F161" s="13"/>
      <c r="G161" s="13"/>
    </row>
    <row r="162" ht="15.75" customHeight="1">
      <c r="A162" s="13"/>
      <c r="B162" s="13"/>
      <c r="C162" s="13"/>
      <c r="D162" s="13"/>
      <c r="E162" s="13"/>
      <c r="F162" s="13"/>
      <c r="G162" s="13"/>
    </row>
    <row r="163" ht="15.75" customHeight="1">
      <c r="A163" s="13"/>
      <c r="B163" s="13"/>
      <c r="C163" s="13"/>
      <c r="D163" s="13"/>
      <c r="E163" s="13"/>
      <c r="F163" s="13"/>
      <c r="G163" s="13"/>
    </row>
    <row r="164" ht="15.75" customHeight="1">
      <c r="A164" s="13"/>
      <c r="B164" s="13"/>
      <c r="C164" s="13"/>
      <c r="D164" s="13"/>
      <c r="E164" s="13"/>
      <c r="F164" s="13"/>
      <c r="G164" s="13"/>
    </row>
    <row r="165" ht="15.75" customHeight="1">
      <c r="A165" s="13"/>
      <c r="B165" s="13"/>
      <c r="C165" s="13"/>
      <c r="D165" s="13"/>
      <c r="E165" s="13"/>
      <c r="F165" s="13"/>
      <c r="G165" s="13"/>
    </row>
    <row r="166" ht="15.75" customHeight="1">
      <c r="A166" s="13"/>
      <c r="B166" s="13"/>
      <c r="C166" s="13"/>
      <c r="D166" s="13"/>
      <c r="E166" s="13"/>
      <c r="F166" s="13"/>
      <c r="G166" s="13"/>
    </row>
    <row r="167" ht="15.75" customHeight="1">
      <c r="A167" s="13"/>
      <c r="B167" s="13"/>
      <c r="C167" s="13"/>
      <c r="D167" s="13"/>
      <c r="E167" s="13"/>
      <c r="F167" s="13"/>
      <c r="G167" s="13"/>
    </row>
    <row r="168" ht="15.75" customHeight="1">
      <c r="A168" s="13"/>
      <c r="B168" s="13"/>
      <c r="C168" s="13"/>
      <c r="D168" s="13"/>
      <c r="E168" s="13"/>
      <c r="F168" s="13"/>
      <c r="G168" s="13"/>
    </row>
    <row r="169" ht="15.75" customHeight="1">
      <c r="A169" s="13"/>
      <c r="B169" s="13"/>
      <c r="C169" s="13"/>
      <c r="D169" s="13"/>
      <c r="E169" s="13"/>
      <c r="F169" s="13"/>
      <c r="G169" s="13"/>
    </row>
    <row r="170" ht="15.75" customHeight="1">
      <c r="A170" s="13"/>
      <c r="B170" s="13"/>
      <c r="C170" s="13"/>
      <c r="D170" s="13"/>
      <c r="E170" s="13"/>
      <c r="F170" s="13"/>
      <c r="G170" s="13"/>
    </row>
    <row r="171" ht="15.75" customHeight="1">
      <c r="A171" s="13"/>
      <c r="B171" s="13"/>
      <c r="C171" s="13"/>
      <c r="D171" s="13"/>
      <c r="E171" s="13"/>
      <c r="F171" s="13"/>
      <c r="G171" s="13"/>
    </row>
    <row r="172" ht="15.75" customHeight="1">
      <c r="A172" s="13"/>
      <c r="B172" s="13"/>
      <c r="C172" s="13"/>
      <c r="D172" s="13"/>
      <c r="E172" s="13"/>
      <c r="F172" s="13"/>
      <c r="G172" s="13"/>
    </row>
    <row r="173" ht="15.75" customHeight="1">
      <c r="A173" s="13"/>
      <c r="B173" s="13"/>
      <c r="C173" s="13"/>
      <c r="D173" s="13"/>
      <c r="E173" s="13"/>
      <c r="F173" s="13"/>
      <c r="G173" s="13"/>
    </row>
    <row r="174" ht="15.75" customHeight="1">
      <c r="A174" s="13"/>
      <c r="B174" s="13"/>
      <c r="C174" s="13"/>
      <c r="D174" s="13"/>
      <c r="E174" s="13"/>
      <c r="F174" s="13"/>
      <c r="G174" s="13"/>
    </row>
    <row r="175" ht="15.75" customHeight="1">
      <c r="A175" s="13"/>
      <c r="B175" s="13"/>
      <c r="C175" s="13"/>
      <c r="D175" s="13"/>
      <c r="E175" s="13"/>
      <c r="F175" s="13"/>
      <c r="G175" s="13"/>
    </row>
    <row r="176" ht="15.75" customHeight="1">
      <c r="A176" s="13"/>
      <c r="B176" s="13"/>
      <c r="C176" s="13"/>
      <c r="D176" s="13"/>
      <c r="E176" s="13"/>
      <c r="F176" s="13"/>
      <c r="G176" s="13"/>
    </row>
    <row r="177" ht="15.75" customHeight="1">
      <c r="A177" s="13"/>
      <c r="B177" s="13"/>
      <c r="C177" s="13"/>
      <c r="D177" s="13"/>
      <c r="E177" s="13"/>
      <c r="F177" s="13"/>
      <c r="G177" s="13"/>
    </row>
    <row r="178" ht="15.75" customHeight="1">
      <c r="A178" s="13"/>
      <c r="B178" s="13"/>
      <c r="C178" s="13"/>
      <c r="D178" s="13"/>
      <c r="E178" s="13"/>
      <c r="F178" s="13"/>
      <c r="G178" s="13"/>
    </row>
    <row r="179" ht="15.75" customHeight="1">
      <c r="A179" s="13"/>
      <c r="B179" s="13"/>
      <c r="C179" s="13"/>
      <c r="D179" s="13"/>
      <c r="E179" s="13"/>
      <c r="F179" s="13"/>
      <c r="G179" s="13"/>
    </row>
    <row r="180" ht="15.75" customHeight="1">
      <c r="A180" s="13"/>
      <c r="B180" s="13"/>
      <c r="C180" s="13"/>
      <c r="D180" s="13"/>
      <c r="E180" s="13"/>
      <c r="F180" s="13"/>
      <c r="G180" s="13"/>
    </row>
    <row r="181" ht="15.75" customHeight="1">
      <c r="A181" s="13"/>
      <c r="B181" s="13"/>
      <c r="C181" s="13"/>
      <c r="D181" s="13"/>
      <c r="E181" s="13"/>
      <c r="F181" s="13"/>
      <c r="G181" s="13"/>
    </row>
    <row r="182" ht="15.75" customHeight="1">
      <c r="A182" s="13"/>
      <c r="B182" s="13"/>
      <c r="C182" s="13"/>
      <c r="D182" s="13"/>
      <c r="E182" s="13"/>
      <c r="F182" s="13"/>
      <c r="G182" s="13"/>
    </row>
    <row r="183" ht="15.75" customHeight="1">
      <c r="A183" s="13"/>
      <c r="B183" s="13"/>
      <c r="C183" s="13"/>
      <c r="D183" s="13"/>
      <c r="E183" s="13"/>
      <c r="F183" s="13"/>
      <c r="G183" s="13"/>
    </row>
    <row r="184" ht="15.75" customHeight="1">
      <c r="A184" s="13"/>
      <c r="B184" s="13"/>
      <c r="C184" s="13"/>
      <c r="D184" s="13"/>
      <c r="E184" s="13"/>
      <c r="F184" s="13"/>
      <c r="G184" s="13"/>
    </row>
    <row r="185" ht="15.75" customHeight="1">
      <c r="A185" s="13"/>
      <c r="B185" s="13"/>
      <c r="C185" s="13"/>
      <c r="D185" s="13"/>
      <c r="E185" s="13"/>
      <c r="F185" s="13"/>
      <c r="G185" s="13"/>
    </row>
    <row r="186" ht="15.75" customHeight="1">
      <c r="A186" s="13"/>
      <c r="B186" s="13"/>
      <c r="C186" s="13"/>
      <c r="D186" s="13"/>
      <c r="E186" s="13"/>
      <c r="F186" s="13"/>
      <c r="G186" s="13"/>
    </row>
    <row r="187" ht="15.75" customHeight="1">
      <c r="A187" s="13"/>
      <c r="B187" s="13"/>
      <c r="C187" s="13"/>
      <c r="D187" s="13"/>
      <c r="E187" s="13"/>
      <c r="F187" s="13"/>
      <c r="G187" s="13"/>
    </row>
    <row r="188" ht="15.75" customHeight="1">
      <c r="A188" s="13"/>
      <c r="B188" s="13"/>
      <c r="C188" s="13"/>
      <c r="D188" s="13"/>
      <c r="E188" s="13"/>
      <c r="F188" s="13"/>
      <c r="G188" s="13"/>
    </row>
    <row r="189" ht="15.75" customHeight="1">
      <c r="A189" s="13"/>
      <c r="B189" s="13"/>
      <c r="C189" s="13"/>
      <c r="D189" s="13"/>
      <c r="E189" s="13"/>
      <c r="F189" s="13"/>
      <c r="G189" s="13"/>
    </row>
    <row r="190" ht="15.75" customHeight="1">
      <c r="A190" s="13"/>
      <c r="B190" s="13"/>
      <c r="C190" s="13"/>
      <c r="D190" s="13"/>
      <c r="E190" s="13"/>
      <c r="F190" s="13"/>
      <c r="G190" s="13"/>
    </row>
    <row r="191" ht="15.75" customHeight="1">
      <c r="A191" s="13"/>
      <c r="B191" s="13"/>
      <c r="C191" s="13"/>
      <c r="D191" s="13"/>
      <c r="E191" s="13"/>
      <c r="F191" s="13"/>
      <c r="G191" s="13"/>
    </row>
    <row r="192" ht="15.75" customHeight="1">
      <c r="A192" s="13"/>
      <c r="B192" s="13"/>
      <c r="C192" s="13"/>
      <c r="D192" s="13"/>
      <c r="E192" s="13"/>
      <c r="F192" s="13"/>
      <c r="G192" s="13"/>
    </row>
    <row r="193" ht="15.75" customHeight="1">
      <c r="A193" s="13"/>
      <c r="B193" s="13"/>
      <c r="C193" s="13"/>
      <c r="D193" s="13"/>
      <c r="E193" s="13"/>
      <c r="F193" s="13"/>
      <c r="G193" s="13"/>
    </row>
    <row r="194" ht="15.75" customHeight="1">
      <c r="A194" s="13"/>
      <c r="B194" s="13"/>
      <c r="C194" s="13"/>
      <c r="D194" s="13"/>
      <c r="E194" s="13"/>
      <c r="F194" s="13"/>
      <c r="G194" s="13"/>
    </row>
    <row r="195" ht="15.75" customHeight="1">
      <c r="A195" s="13"/>
      <c r="B195" s="13"/>
      <c r="C195" s="13"/>
      <c r="D195" s="13"/>
      <c r="E195" s="13"/>
      <c r="F195" s="13"/>
      <c r="G195" s="13"/>
    </row>
    <row r="196" ht="15.75" customHeight="1">
      <c r="A196" s="13"/>
      <c r="B196" s="13"/>
      <c r="C196" s="13"/>
      <c r="D196" s="13"/>
      <c r="E196" s="13"/>
      <c r="F196" s="13"/>
      <c r="G196" s="13"/>
    </row>
    <row r="197" ht="15.75" customHeight="1">
      <c r="A197" s="13"/>
      <c r="B197" s="13"/>
      <c r="C197" s="13"/>
      <c r="D197" s="13"/>
      <c r="E197" s="13"/>
      <c r="F197" s="13"/>
      <c r="G197" s="13"/>
    </row>
    <row r="198" ht="15.75" customHeight="1">
      <c r="A198" s="13"/>
      <c r="B198" s="13"/>
      <c r="C198" s="13"/>
      <c r="D198" s="13"/>
      <c r="E198" s="13"/>
      <c r="F198" s="13"/>
      <c r="G198" s="13"/>
    </row>
    <row r="199" ht="15.75" customHeight="1">
      <c r="A199" s="13"/>
      <c r="B199" s="13"/>
      <c r="C199" s="13"/>
      <c r="D199" s="13"/>
      <c r="E199" s="13"/>
      <c r="F199" s="13"/>
      <c r="G199" s="13"/>
    </row>
    <row r="200" ht="15.75" customHeight="1">
      <c r="A200" s="13"/>
      <c r="B200" s="13"/>
      <c r="C200" s="13"/>
      <c r="D200" s="13"/>
      <c r="E200" s="13"/>
      <c r="F200" s="13"/>
      <c r="G200" s="13"/>
    </row>
    <row r="201" ht="15.75" customHeight="1">
      <c r="A201" s="13"/>
      <c r="B201" s="13"/>
      <c r="C201" s="13"/>
      <c r="D201" s="13"/>
      <c r="E201" s="13"/>
      <c r="F201" s="13"/>
      <c r="G201" s="13"/>
    </row>
    <row r="202" ht="15.75" customHeight="1">
      <c r="A202" s="13"/>
      <c r="B202" s="13"/>
      <c r="C202" s="13"/>
      <c r="D202" s="13"/>
      <c r="E202" s="13"/>
      <c r="F202" s="13"/>
      <c r="G202" s="13"/>
    </row>
    <row r="203" ht="15.75" customHeight="1">
      <c r="A203" s="13"/>
      <c r="B203" s="13"/>
      <c r="C203" s="13"/>
      <c r="D203" s="13"/>
      <c r="E203" s="13"/>
      <c r="F203" s="13"/>
      <c r="G203" s="13"/>
    </row>
    <row r="204" ht="15.75" customHeight="1">
      <c r="A204" s="13"/>
      <c r="B204" s="13"/>
      <c r="C204" s="13"/>
      <c r="D204" s="13"/>
      <c r="E204" s="13"/>
      <c r="F204" s="13"/>
      <c r="G204" s="13"/>
    </row>
    <row r="205" ht="15.75" customHeight="1">
      <c r="A205" s="13"/>
      <c r="B205" s="13"/>
      <c r="C205" s="13"/>
      <c r="D205" s="13"/>
      <c r="E205" s="13"/>
      <c r="F205" s="13"/>
      <c r="G205" s="13"/>
    </row>
    <row r="206" ht="15.75" customHeight="1">
      <c r="A206" s="13"/>
      <c r="B206" s="13"/>
      <c r="C206" s="13"/>
      <c r="D206" s="13"/>
      <c r="E206" s="13"/>
      <c r="F206" s="13"/>
      <c r="G206" s="13"/>
    </row>
    <row r="207" ht="15.75" customHeight="1">
      <c r="A207" s="13"/>
      <c r="B207" s="13"/>
      <c r="C207" s="13"/>
      <c r="D207" s="13"/>
      <c r="E207" s="13"/>
      <c r="F207" s="13"/>
      <c r="G207" s="13"/>
    </row>
    <row r="208" ht="15.75" customHeight="1">
      <c r="A208" s="13"/>
      <c r="B208" s="13"/>
      <c r="C208" s="13"/>
      <c r="D208" s="13"/>
      <c r="E208" s="13"/>
      <c r="F208" s="13"/>
      <c r="G208" s="13"/>
    </row>
    <row r="209" ht="15.75" customHeight="1">
      <c r="A209" s="13"/>
      <c r="B209" s="13"/>
      <c r="C209" s="13"/>
      <c r="D209" s="13"/>
      <c r="E209" s="13"/>
      <c r="F209" s="13"/>
      <c r="G209" s="13"/>
    </row>
    <row r="210" ht="15.75" customHeight="1">
      <c r="A210" s="13"/>
      <c r="B210" s="13"/>
      <c r="C210" s="13"/>
      <c r="D210" s="13"/>
      <c r="E210" s="13"/>
      <c r="F210" s="13"/>
      <c r="G210" s="13"/>
    </row>
    <row r="211" ht="15.75" customHeight="1">
      <c r="A211" s="13"/>
      <c r="B211" s="13"/>
      <c r="C211" s="13"/>
      <c r="D211" s="13"/>
      <c r="E211" s="13"/>
      <c r="F211" s="13"/>
      <c r="G211" s="13"/>
    </row>
    <row r="212" ht="15.75" customHeight="1">
      <c r="A212" s="13"/>
      <c r="B212" s="13"/>
      <c r="C212" s="13"/>
      <c r="D212" s="13"/>
      <c r="E212" s="13"/>
      <c r="F212" s="13"/>
      <c r="G212" s="13"/>
    </row>
    <row r="213" ht="15.75" customHeight="1">
      <c r="A213" s="13"/>
      <c r="B213" s="13"/>
      <c r="C213" s="13"/>
      <c r="D213" s="13"/>
      <c r="E213" s="13"/>
      <c r="F213" s="13"/>
      <c r="G213" s="13"/>
    </row>
    <row r="214" ht="15.75" customHeight="1">
      <c r="A214" s="13"/>
      <c r="B214" s="13"/>
      <c r="C214" s="13"/>
      <c r="D214" s="13"/>
      <c r="E214" s="13"/>
      <c r="F214" s="13"/>
      <c r="G214" s="13"/>
    </row>
    <row r="215" ht="15.75" customHeight="1">
      <c r="A215" s="13"/>
      <c r="B215" s="13"/>
      <c r="C215" s="13"/>
      <c r="D215" s="13"/>
      <c r="E215" s="13"/>
      <c r="F215" s="13"/>
      <c r="G215" s="13"/>
    </row>
    <row r="216" ht="15.75" customHeight="1">
      <c r="A216" s="13"/>
      <c r="B216" s="13"/>
      <c r="C216" s="13"/>
      <c r="D216" s="13"/>
      <c r="E216" s="13"/>
      <c r="F216" s="13"/>
      <c r="G216" s="13"/>
    </row>
    <row r="217" ht="15.75" customHeight="1">
      <c r="A217" s="13"/>
      <c r="B217" s="13"/>
      <c r="C217" s="13"/>
      <c r="D217" s="13"/>
      <c r="E217" s="13"/>
      <c r="F217" s="13"/>
      <c r="G217" s="13"/>
    </row>
    <row r="218" ht="15.75" customHeight="1">
      <c r="A218" s="13"/>
      <c r="B218" s="13"/>
      <c r="C218" s="13"/>
      <c r="D218" s="13"/>
      <c r="E218" s="13"/>
      <c r="F218" s="13"/>
      <c r="G218" s="13"/>
    </row>
    <row r="219" ht="15.75" customHeight="1">
      <c r="A219" s="13"/>
      <c r="B219" s="13"/>
      <c r="C219" s="13"/>
      <c r="D219" s="13"/>
      <c r="E219" s="13"/>
      <c r="F219" s="13"/>
      <c r="G219" s="13"/>
    </row>
    <row r="220" ht="15.75" customHeight="1">
      <c r="A220" s="13"/>
      <c r="B220" s="13"/>
      <c r="C220" s="13"/>
      <c r="D220" s="13"/>
      <c r="E220" s="13"/>
      <c r="F220" s="13"/>
      <c r="G220" s="13"/>
    </row>
    <row r="221" ht="15.75" customHeight="1">
      <c r="A221" s="13"/>
      <c r="B221" s="13"/>
      <c r="C221" s="13"/>
      <c r="D221" s="13"/>
      <c r="E221" s="13"/>
      <c r="F221" s="13"/>
      <c r="G221" s="13"/>
    </row>
    <row r="222" ht="15.75" customHeight="1">
      <c r="A222" s="13"/>
      <c r="B222" s="13"/>
      <c r="C222" s="13"/>
      <c r="D222" s="13"/>
      <c r="E222" s="13"/>
      <c r="F222" s="13"/>
      <c r="G222" s="13"/>
    </row>
    <row r="223" ht="15.75" customHeight="1">
      <c r="A223" s="13"/>
      <c r="B223" s="13"/>
      <c r="C223" s="13"/>
      <c r="D223" s="13"/>
      <c r="E223" s="13"/>
      <c r="F223" s="13"/>
      <c r="G223" s="13"/>
    </row>
    <row r="224" ht="15.75" customHeight="1">
      <c r="A224" s="13"/>
      <c r="B224" s="13"/>
      <c r="C224" s="13"/>
      <c r="D224" s="13"/>
      <c r="E224" s="13"/>
      <c r="F224" s="13"/>
      <c r="G224" s="13"/>
    </row>
    <row r="225" ht="15.75" customHeight="1">
      <c r="A225" s="13"/>
      <c r="B225" s="13"/>
      <c r="C225" s="13"/>
      <c r="D225" s="13"/>
      <c r="E225" s="13"/>
      <c r="F225" s="13"/>
      <c r="G225" s="13"/>
    </row>
    <row r="226" ht="15.75" customHeight="1">
      <c r="A226" s="13"/>
      <c r="B226" s="13"/>
      <c r="C226" s="13"/>
      <c r="D226" s="13"/>
      <c r="E226" s="13"/>
      <c r="F226" s="13"/>
      <c r="G226" s="13"/>
    </row>
    <row r="227" ht="15.75" customHeight="1">
      <c r="A227" s="13"/>
      <c r="B227" s="13"/>
      <c r="C227" s="13"/>
      <c r="D227" s="13"/>
      <c r="E227" s="13"/>
      <c r="F227" s="13"/>
      <c r="G227" s="13"/>
    </row>
    <row r="228" ht="15.75" customHeight="1">
      <c r="A228" s="13"/>
      <c r="B228" s="13"/>
      <c r="C228" s="13"/>
      <c r="D228" s="13"/>
      <c r="E228" s="13"/>
      <c r="F228" s="13"/>
      <c r="G228" s="13"/>
    </row>
    <row r="229" ht="15.75" customHeight="1">
      <c r="A229" s="13"/>
      <c r="B229" s="13"/>
      <c r="C229" s="13"/>
      <c r="D229" s="13"/>
      <c r="E229" s="13"/>
      <c r="F229" s="13"/>
      <c r="G229" s="13"/>
    </row>
    <row r="230" ht="15.75" customHeight="1">
      <c r="A230" s="13"/>
      <c r="B230" s="13"/>
      <c r="C230" s="13"/>
      <c r="D230" s="13"/>
      <c r="E230" s="13"/>
      <c r="F230" s="13"/>
      <c r="G230" s="13"/>
    </row>
    <row r="231" ht="15.75" customHeight="1">
      <c r="A231" s="13"/>
      <c r="B231" s="13"/>
      <c r="C231" s="13"/>
      <c r="D231" s="13"/>
      <c r="E231" s="13"/>
      <c r="F231" s="13"/>
      <c r="G231" s="13"/>
    </row>
    <row r="232" ht="15.75" customHeight="1">
      <c r="A232" s="13"/>
      <c r="B232" s="13"/>
      <c r="C232" s="13"/>
      <c r="D232" s="13"/>
      <c r="E232" s="13"/>
      <c r="F232" s="13"/>
      <c r="G232" s="13"/>
    </row>
    <row r="233" ht="15.75" customHeight="1">
      <c r="A233" s="13"/>
      <c r="B233" s="13"/>
      <c r="C233" s="13"/>
      <c r="D233" s="13"/>
      <c r="E233" s="13"/>
      <c r="F233" s="13"/>
      <c r="G233" s="13"/>
    </row>
    <row r="234" ht="15.75" customHeight="1">
      <c r="A234" s="13"/>
      <c r="B234" s="13"/>
      <c r="C234" s="13"/>
      <c r="D234" s="13"/>
      <c r="E234" s="13"/>
      <c r="F234" s="13"/>
      <c r="G234" s="13"/>
    </row>
    <row r="235" ht="15.75" customHeight="1">
      <c r="A235" s="13"/>
      <c r="B235" s="13"/>
      <c r="C235" s="13"/>
      <c r="D235" s="13"/>
      <c r="E235" s="13"/>
      <c r="F235" s="13"/>
      <c r="G235" s="13"/>
    </row>
    <row r="236" ht="15.75" customHeight="1">
      <c r="A236" s="13"/>
      <c r="B236" s="13"/>
      <c r="C236" s="13"/>
      <c r="D236" s="13"/>
      <c r="E236" s="13"/>
      <c r="F236" s="13"/>
      <c r="G236" s="13"/>
    </row>
    <row r="237" ht="15.75" customHeight="1">
      <c r="A237" s="13"/>
      <c r="B237" s="13"/>
      <c r="C237" s="13"/>
      <c r="D237" s="13"/>
      <c r="E237" s="13"/>
      <c r="F237" s="13"/>
      <c r="G237" s="13"/>
    </row>
    <row r="238" ht="15.75" customHeight="1">
      <c r="A238" s="13"/>
      <c r="B238" s="13"/>
      <c r="C238" s="13"/>
      <c r="D238" s="13"/>
      <c r="E238" s="13"/>
      <c r="F238" s="13"/>
      <c r="G238" s="13"/>
    </row>
    <row r="239" ht="15.75" customHeight="1">
      <c r="A239" s="13"/>
      <c r="B239" s="13"/>
      <c r="C239" s="13"/>
      <c r="D239" s="13"/>
      <c r="E239" s="13"/>
      <c r="F239" s="13"/>
      <c r="G239" s="13"/>
    </row>
    <row r="240" ht="15.75" customHeight="1">
      <c r="A240" s="13"/>
      <c r="B240" s="13"/>
      <c r="C240" s="13"/>
      <c r="D240" s="13"/>
      <c r="E240" s="13"/>
      <c r="F240" s="13"/>
      <c r="G240" s="13"/>
    </row>
    <row r="241" ht="15.75" customHeight="1">
      <c r="A241" s="13"/>
      <c r="B241" s="13"/>
      <c r="C241" s="13"/>
      <c r="D241" s="13"/>
      <c r="E241" s="13"/>
      <c r="F241" s="13"/>
      <c r="G241" s="13"/>
    </row>
    <row r="242" ht="15.75" customHeight="1">
      <c r="A242" s="13"/>
      <c r="B242" s="13"/>
      <c r="C242" s="13"/>
      <c r="D242" s="13"/>
      <c r="E242" s="13"/>
      <c r="F242" s="13"/>
      <c r="G242" s="13"/>
    </row>
    <row r="243" ht="15.75" customHeight="1">
      <c r="A243" s="13"/>
      <c r="B243" s="13"/>
      <c r="C243" s="13"/>
      <c r="D243" s="13"/>
      <c r="E243" s="13"/>
      <c r="F243" s="13"/>
      <c r="G243" s="13"/>
    </row>
    <row r="244" ht="15.75" customHeight="1">
      <c r="A244" s="13"/>
      <c r="B244" s="13"/>
      <c r="C244" s="13"/>
      <c r="D244" s="13"/>
      <c r="E244" s="13"/>
      <c r="F244" s="13"/>
      <c r="G244" s="13"/>
    </row>
    <row r="245" ht="15.75" customHeight="1">
      <c r="A245" s="13"/>
      <c r="B245" s="13"/>
      <c r="C245" s="13"/>
      <c r="D245" s="13"/>
      <c r="E245" s="13"/>
      <c r="F245" s="13"/>
      <c r="G245" s="13"/>
    </row>
    <row r="246" ht="15.75" customHeight="1">
      <c r="A246" s="13"/>
      <c r="B246" s="13"/>
      <c r="C246" s="13"/>
      <c r="D246" s="13"/>
      <c r="E246" s="13"/>
      <c r="F246" s="13"/>
      <c r="G246" s="13"/>
    </row>
    <row r="247" ht="15.75" customHeight="1">
      <c r="A247" s="13"/>
      <c r="B247" s="13"/>
      <c r="C247" s="13"/>
      <c r="D247" s="13"/>
      <c r="E247" s="13"/>
      <c r="F247" s="13"/>
      <c r="G247" s="13"/>
    </row>
    <row r="248" ht="15.75" customHeight="1">
      <c r="A248" s="13"/>
      <c r="B248" s="13"/>
      <c r="C248" s="13"/>
      <c r="D248" s="13"/>
      <c r="E248" s="13"/>
      <c r="F248" s="13"/>
      <c r="G248" s="13"/>
    </row>
    <row r="249" ht="15.75" customHeight="1">
      <c r="A249" s="13"/>
      <c r="B249" s="13"/>
      <c r="C249" s="13"/>
      <c r="D249" s="13"/>
      <c r="E249" s="13"/>
      <c r="F249" s="13"/>
      <c r="G249" s="13"/>
    </row>
    <row r="250" ht="15.75" customHeight="1">
      <c r="A250" s="13"/>
      <c r="B250" s="13"/>
      <c r="C250" s="13"/>
      <c r="D250" s="13"/>
      <c r="E250" s="13"/>
      <c r="F250" s="13"/>
      <c r="G250" s="13"/>
    </row>
    <row r="251" ht="15.75" customHeight="1">
      <c r="A251" s="13"/>
      <c r="B251" s="13"/>
      <c r="C251" s="13"/>
      <c r="D251" s="13"/>
      <c r="E251" s="13"/>
      <c r="F251" s="13"/>
      <c r="G251" s="13"/>
    </row>
    <row r="252" ht="15.75" customHeight="1">
      <c r="A252" s="13"/>
      <c r="B252" s="13"/>
      <c r="C252" s="13"/>
      <c r="D252" s="13"/>
      <c r="E252" s="13"/>
      <c r="F252" s="13"/>
      <c r="G252" s="13"/>
    </row>
    <row r="253" ht="15.75" customHeight="1">
      <c r="A253" s="13"/>
      <c r="B253" s="13"/>
      <c r="C253" s="13"/>
      <c r="D253" s="13"/>
      <c r="E253" s="13"/>
      <c r="F253" s="13"/>
      <c r="G253" s="13"/>
    </row>
    <row r="254" ht="15.75" customHeight="1">
      <c r="A254" s="13"/>
      <c r="B254" s="13"/>
      <c r="C254" s="13"/>
      <c r="D254" s="13"/>
      <c r="E254" s="13"/>
      <c r="F254" s="13"/>
      <c r="G254" s="13"/>
    </row>
    <row r="255" ht="15.75" customHeight="1">
      <c r="A255" s="13"/>
      <c r="B255" s="13"/>
      <c r="C255" s="13"/>
      <c r="D255" s="13"/>
      <c r="E255" s="13"/>
      <c r="F255" s="13"/>
      <c r="G255" s="13"/>
    </row>
    <row r="256" ht="15.75" customHeight="1">
      <c r="A256" s="13"/>
      <c r="B256" s="13"/>
      <c r="C256" s="13"/>
      <c r="D256" s="13"/>
      <c r="E256" s="13"/>
      <c r="F256" s="13"/>
      <c r="G256" s="13"/>
    </row>
    <row r="257" ht="15.75" customHeight="1">
      <c r="A257" s="13"/>
      <c r="B257" s="13"/>
      <c r="C257" s="13"/>
      <c r="D257" s="13"/>
      <c r="E257" s="13"/>
      <c r="F257" s="13"/>
      <c r="G257" s="13"/>
    </row>
    <row r="258" ht="15.75" customHeight="1">
      <c r="A258" s="13"/>
      <c r="B258" s="13"/>
      <c r="C258" s="13"/>
      <c r="D258" s="13"/>
      <c r="E258" s="13"/>
      <c r="F258" s="13"/>
      <c r="G258" s="13"/>
    </row>
    <row r="259" ht="15.75" customHeight="1">
      <c r="A259" s="13"/>
      <c r="B259" s="13"/>
      <c r="C259" s="13"/>
      <c r="D259" s="13"/>
      <c r="E259" s="13"/>
      <c r="F259" s="13"/>
      <c r="G259" s="13"/>
    </row>
    <row r="260" ht="15.75" customHeight="1">
      <c r="A260" s="13"/>
      <c r="B260" s="13"/>
      <c r="C260" s="13"/>
      <c r="D260" s="13"/>
      <c r="E260" s="13"/>
      <c r="F260" s="13"/>
      <c r="G260" s="13"/>
    </row>
    <row r="261" ht="15.75" customHeight="1">
      <c r="A261" s="13"/>
      <c r="B261" s="13"/>
      <c r="C261" s="13"/>
      <c r="D261" s="13"/>
      <c r="E261" s="13"/>
      <c r="F261" s="13"/>
      <c r="G261" s="13"/>
    </row>
    <row r="262" ht="15.75" customHeight="1">
      <c r="A262" s="13"/>
      <c r="B262" s="13"/>
      <c r="C262" s="13"/>
      <c r="D262" s="13"/>
      <c r="E262" s="13"/>
      <c r="F262" s="13"/>
      <c r="G262" s="13"/>
    </row>
    <row r="263" ht="15.75" customHeight="1">
      <c r="A263" s="13"/>
      <c r="B263" s="13"/>
      <c r="C263" s="13"/>
      <c r="D263" s="13"/>
      <c r="E263" s="13"/>
      <c r="F263" s="13"/>
      <c r="G263" s="13"/>
    </row>
    <row r="264" ht="15.75" customHeight="1">
      <c r="A264" s="13"/>
      <c r="B264" s="13"/>
      <c r="C264" s="13"/>
      <c r="D264" s="13"/>
      <c r="E264" s="13"/>
      <c r="F264" s="13"/>
      <c r="G264" s="13"/>
    </row>
    <row r="265" ht="15.75" customHeight="1">
      <c r="A265" s="13"/>
      <c r="B265" s="13"/>
      <c r="C265" s="13"/>
      <c r="D265" s="13"/>
      <c r="E265" s="13"/>
      <c r="F265" s="13"/>
      <c r="G265" s="13"/>
    </row>
    <row r="266" ht="15.75" customHeight="1">
      <c r="A266" s="13"/>
      <c r="B266" s="13"/>
      <c r="C266" s="13"/>
      <c r="D266" s="13"/>
      <c r="E266" s="13"/>
      <c r="F266" s="13"/>
      <c r="G266" s="13"/>
    </row>
    <row r="267" ht="15.75" customHeight="1">
      <c r="A267" s="13"/>
      <c r="B267" s="13"/>
      <c r="C267" s="13"/>
      <c r="D267" s="13"/>
      <c r="E267" s="13"/>
      <c r="F267" s="13"/>
      <c r="G267" s="13"/>
    </row>
    <row r="268" ht="15.75" customHeight="1">
      <c r="A268" s="13"/>
      <c r="B268" s="13"/>
      <c r="C268" s="13"/>
      <c r="D268" s="13"/>
      <c r="E268" s="13"/>
      <c r="F268" s="13"/>
      <c r="G268" s="13"/>
    </row>
    <row r="269" ht="15.75" customHeight="1">
      <c r="A269" s="13"/>
      <c r="B269" s="13"/>
      <c r="C269" s="13"/>
      <c r="D269" s="13"/>
      <c r="E269" s="13"/>
      <c r="F269" s="13"/>
      <c r="G269" s="13"/>
    </row>
    <row r="270" ht="15.75" customHeight="1">
      <c r="A270" s="13"/>
      <c r="B270" s="13"/>
      <c r="C270" s="13"/>
      <c r="D270" s="13"/>
      <c r="E270" s="13"/>
      <c r="F270" s="13"/>
      <c r="G270" s="13"/>
    </row>
    <row r="271" ht="15.75" customHeight="1">
      <c r="A271" s="13"/>
      <c r="B271" s="13"/>
      <c r="C271" s="13"/>
      <c r="D271" s="13"/>
      <c r="E271" s="13"/>
      <c r="F271" s="13"/>
      <c r="G271" s="13"/>
    </row>
    <row r="272" ht="15.75" customHeight="1">
      <c r="A272" s="13"/>
      <c r="B272" s="13"/>
      <c r="C272" s="13"/>
      <c r="D272" s="13"/>
      <c r="E272" s="13"/>
      <c r="F272" s="13"/>
      <c r="G272" s="13"/>
    </row>
    <row r="273" ht="15.75" customHeight="1">
      <c r="A273" s="13"/>
      <c r="B273" s="13"/>
      <c r="C273" s="13"/>
      <c r="D273" s="13"/>
      <c r="E273" s="13"/>
      <c r="F273" s="13"/>
      <c r="G273" s="13"/>
    </row>
    <row r="274" ht="15.75" customHeight="1">
      <c r="A274" s="13"/>
      <c r="B274" s="13"/>
      <c r="C274" s="13"/>
      <c r="D274" s="13"/>
      <c r="E274" s="13"/>
      <c r="F274" s="13"/>
      <c r="G274" s="13"/>
    </row>
    <row r="275" ht="15.75" customHeight="1">
      <c r="A275" s="13"/>
      <c r="B275" s="13"/>
      <c r="C275" s="13"/>
      <c r="D275" s="13"/>
      <c r="E275" s="13"/>
      <c r="F275" s="13"/>
      <c r="G275" s="13"/>
    </row>
    <row r="276" ht="15.75" customHeight="1">
      <c r="A276" s="13"/>
      <c r="B276" s="13"/>
      <c r="C276" s="13"/>
      <c r="D276" s="13"/>
      <c r="E276" s="13"/>
      <c r="F276" s="13"/>
      <c r="G276" s="13"/>
    </row>
    <row r="277" ht="15.75" customHeight="1">
      <c r="A277" s="13"/>
      <c r="B277" s="13"/>
      <c r="C277" s="13"/>
      <c r="D277" s="13"/>
      <c r="E277" s="13"/>
      <c r="F277" s="13"/>
      <c r="G277" s="13"/>
    </row>
    <row r="278" ht="15.75" customHeight="1">
      <c r="A278" s="13"/>
      <c r="B278" s="13"/>
      <c r="C278" s="13"/>
      <c r="D278" s="13"/>
      <c r="E278" s="13"/>
      <c r="F278" s="13"/>
      <c r="G278" s="13"/>
    </row>
    <row r="279" ht="15.75" customHeight="1">
      <c r="A279" s="13"/>
      <c r="B279" s="13"/>
      <c r="C279" s="13"/>
      <c r="D279" s="13"/>
      <c r="E279" s="13"/>
      <c r="F279" s="13"/>
      <c r="G279" s="13"/>
    </row>
    <row r="280" ht="15.75" customHeight="1">
      <c r="A280" s="13"/>
      <c r="B280" s="13"/>
      <c r="C280" s="13"/>
      <c r="D280" s="13"/>
      <c r="E280" s="13"/>
      <c r="F280" s="13"/>
      <c r="G280" s="13"/>
    </row>
    <row r="281" ht="15.75" customHeight="1">
      <c r="A281" s="13"/>
      <c r="B281" s="13"/>
      <c r="C281" s="13"/>
      <c r="D281" s="13"/>
      <c r="E281" s="13"/>
      <c r="F281" s="13"/>
      <c r="G281" s="13"/>
    </row>
    <row r="282" ht="15.75" customHeight="1">
      <c r="A282" s="13"/>
      <c r="B282" s="13"/>
      <c r="C282" s="13"/>
      <c r="D282" s="13"/>
      <c r="E282" s="13"/>
      <c r="F282" s="13"/>
      <c r="G282" s="13"/>
    </row>
    <row r="283" ht="15.75" customHeight="1">
      <c r="A283" s="13"/>
      <c r="B283" s="13"/>
      <c r="C283" s="13"/>
      <c r="D283" s="13"/>
      <c r="E283" s="13"/>
      <c r="F283" s="13"/>
      <c r="G283" s="13"/>
    </row>
    <row r="284" ht="15.75" customHeight="1">
      <c r="A284" s="13"/>
      <c r="B284" s="13"/>
      <c r="C284" s="13"/>
      <c r="D284" s="13"/>
      <c r="E284" s="13"/>
      <c r="F284" s="13"/>
      <c r="G284" s="13"/>
    </row>
    <row r="285" ht="15.75" customHeight="1">
      <c r="A285" s="13"/>
      <c r="B285" s="13"/>
      <c r="C285" s="13"/>
      <c r="D285" s="13"/>
      <c r="E285" s="13"/>
      <c r="F285" s="13"/>
      <c r="G285" s="13"/>
    </row>
    <row r="286" ht="15.75" customHeight="1">
      <c r="A286" s="13"/>
      <c r="B286" s="13"/>
      <c r="C286" s="13"/>
      <c r="D286" s="13"/>
      <c r="E286" s="13"/>
      <c r="F286" s="13"/>
      <c r="G286" s="13"/>
    </row>
    <row r="287" ht="15.75" customHeight="1">
      <c r="A287" s="13"/>
      <c r="B287" s="13"/>
      <c r="C287" s="13"/>
      <c r="D287" s="13"/>
      <c r="E287" s="13"/>
      <c r="F287" s="13"/>
      <c r="G287" s="13"/>
    </row>
    <row r="288" ht="15.75" customHeight="1">
      <c r="A288" s="13"/>
      <c r="B288" s="13"/>
      <c r="C288" s="13"/>
      <c r="D288" s="13"/>
      <c r="E288" s="13"/>
      <c r="F288" s="13"/>
      <c r="G288" s="13"/>
    </row>
    <row r="289" ht="15.75" customHeight="1">
      <c r="A289" s="13"/>
      <c r="B289" s="13"/>
      <c r="C289" s="13"/>
      <c r="D289" s="13"/>
      <c r="E289" s="13"/>
      <c r="F289" s="13"/>
      <c r="G289" s="13"/>
    </row>
    <row r="290" ht="15.75" customHeight="1">
      <c r="A290" s="13"/>
      <c r="B290" s="13"/>
      <c r="C290" s="13"/>
      <c r="D290" s="13"/>
      <c r="E290" s="13"/>
      <c r="F290" s="13"/>
      <c r="G290" s="13"/>
    </row>
    <row r="291" ht="15.75" customHeight="1">
      <c r="A291" s="13"/>
      <c r="B291" s="13"/>
      <c r="C291" s="13"/>
      <c r="D291" s="13"/>
      <c r="E291" s="13"/>
      <c r="F291" s="13"/>
      <c r="G291" s="13"/>
    </row>
    <row r="292" ht="15.75" customHeight="1">
      <c r="A292" s="13"/>
      <c r="B292" s="13"/>
      <c r="C292" s="13"/>
      <c r="D292" s="13"/>
      <c r="E292" s="13"/>
      <c r="F292" s="13"/>
      <c r="G292" s="13"/>
    </row>
    <row r="293" ht="15.75" customHeight="1">
      <c r="A293" s="13"/>
      <c r="B293" s="13"/>
      <c r="C293" s="13"/>
      <c r="D293" s="13"/>
      <c r="E293" s="13"/>
      <c r="F293" s="13"/>
      <c r="G293" s="13"/>
    </row>
    <row r="294" ht="15.75" customHeight="1">
      <c r="A294" s="13"/>
      <c r="B294" s="13"/>
      <c r="C294" s="13"/>
      <c r="D294" s="13"/>
      <c r="E294" s="13"/>
      <c r="F294" s="13"/>
      <c r="G294" s="13"/>
    </row>
    <row r="295" ht="15.75" customHeight="1">
      <c r="A295" s="13"/>
      <c r="B295" s="13"/>
      <c r="C295" s="13"/>
      <c r="D295" s="13"/>
      <c r="E295" s="13"/>
      <c r="F295" s="13"/>
      <c r="G295" s="13"/>
    </row>
    <row r="296" ht="15.75" customHeight="1">
      <c r="A296" s="13"/>
      <c r="B296" s="13"/>
      <c r="C296" s="13"/>
      <c r="D296" s="13"/>
      <c r="E296" s="13"/>
      <c r="F296" s="13"/>
      <c r="G296" s="13"/>
    </row>
    <row r="297" ht="15.75" customHeight="1">
      <c r="A297" s="13"/>
      <c r="B297" s="13"/>
      <c r="C297" s="13"/>
      <c r="D297" s="13"/>
      <c r="E297" s="13"/>
      <c r="F297" s="13"/>
      <c r="G297" s="13"/>
    </row>
    <row r="298" ht="15.75" customHeight="1">
      <c r="A298" s="13"/>
      <c r="B298" s="13"/>
      <c r="C298" s="13"/>
      <c r="D298" s="13"/>
      <c r="E298" s="13"/>
      <c r="F298" s="13"/>
      <c r="G298" s="13"/>
    </row>
    <row r="299" ht="15.75" customHeight="1">
      <c r="A299" s="13"/>
      <c r="B299" s="13"/>
      <c r="C299" s="13"/>
      <c r="D299" s="13"/>
      <c r="E299" s="13"/>
      <c r="F299" s="13"/>
      <c r="G299" s="13"/>
    </row>
    <row r="300" ht="15.75" customHeight="1">
      <c r="A300" s="13"/>
      <c r="B300" s="13"/>
      <c r="C300" s="13"/>
      <c r="D300" s="13"/>
      <c r="E300" s="13"/>
      <c r="F300" s="13"/>
      <c r="G300" s="13"/>
    </row>
    <row r="301" ht="15.75" customHeight="1">
      <c r="A301" s="13"/>
      <c r="B301" s="13"/>
      <c r="C301" s="13"/>
      <c r="D301" s="13"/>
      <c r="E301" s="13"/>
      <c r="F301" s="13"/>
      <c r="G301" s="13"/>
    </row>
    <row r="302" ht="15.75" customHeight="1">
      <c r="A302" s="13"/>
      <c r="B302" s="13"/>
      <c r="C302" s="13"/>
      <c r="D302" s="13"/>
      <c r="E302" s="13"/>
      <c r="F302" s="13"/>
      <c r="G302" s="13"/>
    </row>
    <row r="303" ht="15.75" customHeight="1">
      <c r="A303" s="13"/>
      <c r="B303" s="13"/>
      <c r="C303" s="13"/>
      <c r="D303" s="13"/>
      <c r="E303" s="13"/>
      <c r="F303" s="13"/>
      <c r="G303" s="13"/>
    </row>
    <row r="304" ht="15.75" customHeight="1">
      <c r="A304" s="13"/>
      <c r="B304" s="13"/>
      <c r="C304" s="13"/>
      <c r="D304" s="13"/>
      <c r="E304" s="13"/>
      <c r="F304" s="13"/>
      <c r="G304" s="13"/>
    </row>
    <row r="305" ht="15.75" customHeight="1">
      <c r="A305" s="13"/>
      <c r="B305" s="13"/>
      <c r="C305" s="13"/>
      <c r="D305" s="13"/>
      <c r="E305" s="13"/>
      <c r="F305" s="13"/>
      <c r="G305" s="13"/>
    </row>
    <row r="306" ht="15.75" customHeight="1">
      <c r="A306" s="13"/>
      <c r="B306" s="13"/>
      <c r="C306" s="13"/>
      <c r="D306" s="13"/>
      <c r="E306" s="13"/>
      <c r="F306" s="13"/>
      <c r="G306" s="13"/>
    </row>
    <row r="307" ht="15.75" customHeight="1">
      <c r="A307" s="13"/>
      <c r="B307" s="13"/>
      <c r="C307" s="13"/>
      <c r="D307" s="13"/>
      <c r="E307" s="13"/>
      <c r="F307" s="13"/>
      <c r="G307" s="13"/>
    </row>
    <row r="308" ht="15.75" customHeight="1">
      <c r="A308" s="13"/>
      <c r="B308" s="13"/>
      <c r="C308" s="13"/>
      <c r="D308" s="13"/>
      <c r="E308" s="13"/>
      <c r="F308" s="13"/>
      <c r="G308" s="13"/>
    </row>
    <row r="309" ht="15.75" customHeight="1">
      <c r="A309" s="13"/>
      <c r="B309" s="13"/>
      <c r="C309" s="13"/>
      <c r="D309" s="13"/>
      <c r="E309" s="13"/>
      <c r="F309" s="13"/>
      <c r="G309" s="13"/>
    </row>
    <row r="310" ht="15.75" customHeight="1">
      <c r="A310" s="13"/>
      <c r="B310" s="13"/>
      <c r="C310" s="13"/>
      <c r="D310" s="13"/>
      <c r="E310" s="13"/>
      <c r="F310" s="13"/>
      <c r="G310" s="13"/>
    </row>
    <row r="311" ht="15.75" customHeight="1">
      <c r="A311" s="13"/>
      <c r="B311" s="13"/>
      <c r="C311" s="13"/>
      <c r="D311" s="13"/>
      <c r="E311" s="13"/>
      <c r="F311" s="13"/>
      <c r="G311" s="13"/>
    </row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44.0"/>
    <col customWidth="1" min="3" max="3" width="24.0"/>
    <col customWidth="1" min="4" max="4" width="38.0"/>
    <col customWidth="1" min="5" max="5" width="48.0"/>
    <col customWidth="1" min="6" max="6" width="14.0"/>
    <col customWidth="1" min="7" max="7" width="38.0"/>
    <col customWidth="1" min="8" max="8" width="48.0"/>
    <col customWidth="1" min="9" max="26" width="8.63"/>
  </cols>
  <sheetData>
    <row r="1" ht="33.75" customHeight="1">
      <c r="A1" s="2" t="s">
        <v>761</v>
      </c>
      <c r="B1" s="2" t="s">
        <v>762</v>
      </c>
      <c r="C1" s="2" t="s">
        <v>763</v>
      </c>
      <c r="D1" s="2" t="s">
        <v>764</v>
      </c>
      <c r="E1" s="2" t="s">
        <v>71</v>
      </c>
      <c r="F1" s="2" t="s">
        <v>765</v>
      </c>
      <c r="G1" s="2" t="s">
        <v>766</v>
      </c>
      <c r="H1" s="2" t="s">
        <v>24</v>
      </c>
    </row>
    <row r="2">
      <c r="A2" s="5" t="s">
        <v>767</v>
      </c>
      <c r="B2" s="5" t="s">
        <v>768</v>
      </c>
      <c r="C2" s="5" t="s">
        <v>769</v>
      </c>
      <c r="D2" s="5" t="s">
        <v>770</v>
      </c>
      <c r="E2" s="5" t="s">
        <v>241</v>
      </c>
      <c r="F2" s="5" t="s">
        <v>771</v>
      </c>
      <c r="G2" s="5" t="s">
        <v>772</v>
      </c>
      <c r="H2" s="5" t="s">
        <v>773</v>
      </c>
    </row>
    <row r="3">
      <c r="A3" s="5" t="s">
        <v>774</v>
      </c>
      <c r="B3" s="5" t="s">
        <v>272</v>
      </c>
      <c r="C3" s="5" t="s">
        <v>775</v>
      </c>
      <c r="D3" s="5" t="s">
        <v>272</v>
      </c>
      <c r="E3" s="5" t="s">
        <v>275</v>
      </c>
      <c r="F3" s="5" t="s">
        <v>771</v>
      </c>
      <c r="G3" s="5" t="s">
        <v>776</v>
      </c>
      <c r="H3" s="5" t="s">
        <v>777</v>
      </c>
    </row>
    <row r="4">
      <c r="A4" s="5" t="s">
        <v>778</v>
      </c>
      <c r="B4" s="5" t="s">
        <v>779</v>
      </c>
      <c r="C4" s="5" t="s">
        <v>780</v>
      </c>
      <c r="D4" s="5" t="s">
        <v>281</v>
      </c>
      <c r="E4" s="5" t="s">
        <v>283</v>
      </c>
      <c r="F4" s="5" t="s">
        <v>771</v>
      </c>
      <c r="G4" s="5" t="s">
        <v>772</v>
      </c>
      <c r="H4" s="5" t="s">
        <v>781</v>
      </c>
    </row>
    <row r="5">
      <c r="A5" s="5" t="s">
        <v>782</v>
      </c>
      <c r="B5" s="5" t="s">
        <v>287</v>
      </c>
      <c r="C5" s="5" t="s">
        <v>769</v>
      </c>
      <c r="D5" s="5" t="s">
        <v>783</v>
      </c>
      <c r="E5" s="5" t="s">
        <v>241</v>
      </c>
      <c r="F5" s="5" t="s">
        <v>771</v>
      </c>
      <c r="G5" s="5" t="s">
        <v>772</v>
      </c>
      <c r="H5" s="5" t="s">
        <v>784</v>
      </c>
    </row>
    <row r="6">
      <c r="A6" s="5" t="s">
        <v>785</v>
      </c>
      <c r="B6" s="5" t="s">
        <v>786</v>
      </c>
      <c r="C6" s="5" t="s">
        <v>787</v>
      </c>
      <c r="D6" s="5" t="s">
        <v>117</v>
      </c>
      <c r="E6" s="5" t="s">
        <v>293</v>
      </c>
      <c r="F6" s="5" t="s">
        <v>771</v>
      </c>
      <c r="G6" s="5" t="s">
        <v>772</v>
      </c>
      <c r="H6" s="5" t="s">
        <v>788</v>
      </c>
    </row>
    <row r="7">
      <c r="A7" s="5" t="s">
        <v>789</v>
      </c>
      <c r="B7" s="5" t="s">
        <v>790</v>
      </c>
      <c r="C7" s="5" t="s">
        <v>791</v>
      </c>
      <c r="D7" s="5" t="s">
        <v>179</v>
      </c>
      <c r="E7" s="5" t="s">
        <v>59</v>
      </c>
      <c r="F7" s="5" t="s">
        <v>771</v>
      </c>
      <c r="G7" s="5" t="s">
        <v>772</v>
      </c>
      <c r="H7" s="5" t="s">
        <v>792</v>
      </c>
    </row>
    <row r="8">
      <c r="A8" s="5" t="s">
        <v>35</v>
      </c>
      <c r="B8" s="5" t="s">
        <v>793</v>
      </c>
      <c r="C8" s="5" t="s">
        <v>791</v>
      </c>
      <c r="D8" s="5" t="s">
        <v>179</v>
      </c>
      <c r="E8" s="5" t="s">
        <v>59</v>
      </c>
      <c r="F8" s="5" t="s">
        <v>771</v>
      </c>
      <c r="G8" s="5" t="s">
        <v>794</v>
      </c>
      <c r="H8" s="5" t="s">
        <v>795</v>
      </c>
    </row>
    <row r="9">
      <c r="A9" s="5" t="s">
        <v>39</v>
      </c>
      <c r="B9" s="5" t="s">
        <v>796</v>
      </c>
      <c r="C9" s="5" t="s">
        <v>791</v>
      </c>
      <c r="D9" s="5" t="s">
        <v>179</v>
      </c>
      <c r="E9" s="5" t="s">
        <v>59</v>
      </c>
      <c r="F9" s="5" t="s">
        <v>797</v>
      </c>
      <c r="G9" s="5" t="s">
        <v>798</v>
      </c>
      <c r="H9" s="5" t="s">
        <v>799</v>
      </c>
    </row>
    <row r="10">
      <c r="A10" s="5" t="s">
        <v>95</v>
      </c>
      <c r="B10" s="5" t="s">
        <v>800</v>
      </c>
      <c r="C10" s="5" t="s">
        <v>791</v>
      </c>
      <c r="D10" s="5" t="s">
        <v>179</v>
      </c>
      <c r="E10" s="5" t="s">
        <v>59</v>
      </c>
      <c r="F10" s="5" t="s">
        <v>771</v>
      </c>
      <c r="G10" s="5" t="s">
        <v>801</v>
      </c>
      <c r="H10" s="5" t="s">
        <v>802</v>
      </c>
    </row>
    <row r="11">
      <c r="A11" s="5" t="s">
        <v>34</v>
      </c>
      <c r="B11" s="5" t="s">
        <v>37</v>
      </c>
      <c r="C11" s="5" t="s">
        <v>803</v>
      </c>
      <c r="D11" s="5" t="s">
        <v>179</v>
      </c>
      <c r="E11" s="5" t="s">
        <v>59</v>
      </c>
      <c r="F11" s="5" t="s">
        <v>804</v>
      </c>
      <c r="G11" s="5" t="s">
        <v>805</v>
      </c>
      <c r="H11" s="5" t="s">
        <v>806</v>
      </c>
    </row>
    <row r="12">
      <c r="A12" s="5" t="s">
        <v>46</v>
      </c>
      <c r="B12" s="5" t="s">
        <v>63</v>
      </c>
      <c r="C12" s="5" t="s">
        <v>803</v>
      </c>
      <c r="D12" s="5" t="s">
        <v>179</v>
      </c>
      <c r="E12" s="5" t="s">
        <v>59</v>
      </c>
      <c r="F12" s="5" t="s">
        <v>804</v>
      </c>
      <c r="G12" s="5" t="s">
        <v>805</v>
      </c>
      <c r="H12" s="5" t="s">
        <v>806</v>
      </c>
    </row>
    <row r="13">
      <c r="A13" s="5" t="s">
        <v>49</v>
      </c>
      <c r="B13" s="5" t="s">
        <v>807</v>
      </c>
      <c r="C13" s="5" t="s">
        <v>791</v>
      </c>
      <c r="D13" s="5" t="s">
        <v>179</v>
      </c>
      <c r="E13" s="5" t="s">
        <v>59</v>
      </c>
      <c r="F13" s="5" t="s">
        <v>771</v>
      </c>
      <c r="G13" s="5" t="s">
        <v>808</v>
      </c>
      <c r="H13" s="5" t="s">
        <v>809</v>
      </c>
    </row>
    <row r="14">
      <c r="A14" s="5" t="s">
        <v>109</v>
      </c>
      <c r="B14" s="5" t="s">
        <v>112</v>
      </c>
      <c r="C14" s="5" t="s">
        <v>791</v>
      </c>
      <c r="D14" s="5" t="s">
        <v>179</v>
      </c>
      <c r="E14" s="5" t="s">
        <v>59</v>
      </c>
      <c r="F14" s="5" t="s">
        <v>771</v>
      </c>
      <c r="G14" s="5" t="s">
        <v>810</v>
      </c>
      <c r="H14" s="5" t="s">
        <v>811</v>
      </c>
    </row>
    <row r="15">
      <c r="A15" s="5" t="s">
        <v>812</v>
      </c>
      <c r="B15" s="5" t="s">
        <v>813</v>
      </c>
      <c r="C15" s="5" t="s">
        <v>769</v>
      </c>
      <c r="D15" s="5" t="s">
        <v>316</v>
      </c>
      <c r="E15" s="5" t="s">
        <v>241</v>
      </c>
      <c r="F15" s="5" t="s">
        <v>771</v>
      </c>
      <c r="G15" s="5" t="s">
        <v>814</v>
      </c>
      <c r="H15" s="5" t="s">
        <v>815</v>
      </c>
    </row>
    <row r="16">
      <c r="A16" s="5" t="s">
        <v>816</v>
      </c>
      <c r="B16" s="5" t="s">
        <v>817</v>
      </c>
      <c r="C16" s="5" t="s">
        <v>769</v>
      </c>
      <c r="D16" s="5" t="s">
        <v>323</v>
      </c>
      <c r="E16" s="5" t="s">
        <v>241</v>
      </c>
      <c r="F16" s="5" t="s">
        <v>771</v>
      </c>
      <c r="G16" s="5" t="s">
        <v>772</v>
      </c>
      <c r="H16" s="5" t="s">
        <v>818</v>
      </c>
    </row>
    <row r="17">
      <c r="A17" s="5" t="s">
        <v>819</v>
      </c>
      <c r="B17" s="5" t="s">
        <v>820</v>
      </c>
      <c r="C17" s="5" t="s">
        <v>769</v>
      </c>
      <c r="D17" s="5" t="s">
        <v>331</v>
      </c>
      <c r="E17" s="5" t="s">
        <v>241</v>
      </c>
      <c r="F17" s="5" t="s">
        <v>771</v>
      </c>
      <c r="G17" s="5" t="s">
        <v>772</v>
      </c>
      <c r="H17" s="5" t="s">
        <v>821</v>
      </c>
    </row>
    <row r="18">
      <c r="A18" s="5"/>
      <c r="B18" s="5"/>
      <c r="C18" s="5"/>
      <c r="D18" s="5"/>
      <c r="E18" s="5"/>
      <c r="F18" s="5"/>
      <c r="G18" s="5"/>
      <c r="H18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18">
    <cfRule type="expression" dxfId="1" priority="1">
      <formula>F2="YES"</formula>
    </cfRule>
  </conditionalFormatting>
  <conditionalFormatting sqref="F2:F18">
    <cfRule type="expression" dxfId="2" priority="2">
      <formula>LEFT(F2,3)="YES"</formula>
    </cfRule>
  </conditionalFormatting>
  <conditionalFormatting sqref="F2:F18">
    <cfRule type="expression" dxfId="3" priority="3">
      <formula>F2="PARTIAL"</formula>
    </cfRule>
  </conditionalFormatting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42.0"/>
    <col customWidth="1" min="3" max="3" width="18.0"/>
    <col customWidth="1" min="4" max="4" width="14.0"/>
    <col customWidth="1" min="5" max="7" width="18.0"/>
    <col customWidth="1" min="8" max="8" width="16.0"/>
    <col customWidth="1" min="9" max="10" width="34.0"/>
    <col customWidth="1" min="11" max="11" width="24.0"/>
    <col customWidth="1" min="12" max="12" width="8.63"/>
    <col customWidth="1" min="13" max="13" width="28.0"/>
    <col customWidth="1" min="14" max="14" width="24.0"/>
    <col customWidth="1" min="15" max="26" width="8.63"/>
  </cols>
  <sheetData>
    <row r="1" ht="33.75" customHeight="1">
      <c r="A1" s="47" t="s">
        <v>1</v>
      </c>
      <c r="B1" s="47" t="s">
        <v>6</v>
      </c>
      <c r="C1" s="47" t="s">
        <v>7</v>
      </c>
      <c r="D1" s="47" t="s">
        <v>823</v>
      </c>
      <c r="E1" s="47" t="s">
        <v>824</v>
      </c>
      <c r="F1" s="47" t="s">
        <v>825</v>
      </c>
      <c r="G1" s="47" t="s">
        <v>826</v>
      </c>
      <c r="H1" s="47" t="s">
        <v>827</v>
      </c>
      <c r="I1" s="47" t="s">
        <v>828</v>
      </c>
      <c r="J1" s="47" t="s">
        <v>829</v>
      </c>
      <c r="K1" s="47" t="s">
        <v>31</v>
      </c>
      <c r="M1" s="2" t="s">
        <v>830</v>
      </c>
      <c r="N1" s="2" t="s">
        <v>831</v>
      </c>
    </row>
    <row r="2">
      <c r="A2" s="48" t="str">
        <f>FACILITIES!A2</f>
        <v>F001</v>
      </c>
      <c r="B2" s="48" t="str">
        <f>FACILITIES!B2</f>
        <v>Công ty nhiệt điện Na Dương</v>
      </c>
      <c r="C2" s="48" t="str">
        <f>FACILITIES!C2</f>
        <v/>
      </c>
      <c r="D2" s="49">
        <v>2022.0</v>
      </c>
      <c r="E2" s="50"/>
      <c r="F2" s="51" t="str">
        <f t="shared" ref="F2:F441" si="1">IF(C2="Thermal power","kWh",IF(C2="Iron &amp; steel","t crude steel",IF(C2="Cement","t clinker","")))</f>
        <v/>
      </c>
      <c r="G2" s="52"/>
      <c r="H2" s="51" t="s">
        <v>78</v>
      </c>
      <c r="I2" s="53"/>
      <c r="J2" s="53"/>
      <c r="K2" s="51" t="str">
        <f t="shared" ref="K2:K441" si="2">IF(AND(E2="",G2=""),"Pending",IF(OR(E2="",G2=""),"Partial",IF(OR(I2="",J2=""),"Entered - source needed","Ready")))</f>
        <v>Pending</v>
      </c>
      <c r="M2" s="54" t="s">
        <v>833</v>
      </c>
      <c r="N2" s="55">
        <f>110*4</f>
        <v>440</v>
      </c>
    </row>
    <row r="3">
      <c r="A3" s="48" t="str">
        <f>FACILITIES!A2</f>
        <v>F001</v>
      </c>
      <c r="B3" s="48" t="str">
        <f>FACILITIES!B2</f>
        <v>Công ty nhiệt điện Na Dương</v>
      </c>
      <c r="C3" s="48" t="str">
        <f>FACILITIES!C2</f>
        <v/>
      </c>
      <c r="D3" s="49">
        <v>2023.0</v>
      </c>
      <c r="E3" s="50"/>
      <c r="F3" s="51" t="str">
        <f t="shared" si="1"/>
        <v/>
      </c>
      <c r="G3" s="52"/>
      <c r="H3" s="51" t="s">
        <v>78</v>
      </c>
      <c r="I3" s="53"/>
      <c r="J3" s="53"/>
      <c r="K3" s="51" t="str">
        <f t="shared" si="2"/>
        <v>Pending</v>
      </c>
      <c r="M3" s="54" t="s">
        <v>834</v>
      </c>
      <c r="N3" s="55">
        <f>COUNTA(D2:D441)</f>
        <v>440</v>
      </c>
    </row>
    <row r="4">
      <c r="A4" s="48" t="str">
        <f>FACILITIES!A2</f>
        <v>F001</v>
      </c>
      <c r="B4" s="48" t="str">
        <f>FACILITIES!B2</f>
        <v>Công ty nhiệt điện Na Dương</v>
      </c>
      <c r="C4" s="48" t="str">
        <f>FACILITIES!C2</f>
        <v/>
      </c>
      <c r="D4" s="49">
        <v>2024.0</v>
      </c>
      <c r="E4" s="50"/>
      <c r="F4" s="51" t="str">
        <f t="shared" si="1"/>
        <v/>
      </c>
      <c r="G4" s="52"/>
      <c r="H4" s="51" t="s">
        <v>78</v>
      </c>
      <c r="I4" s="53"/>
      <c r="J4" s="53"/>
      <c r="K4" s="51" t="str">
        <f t="shared" si="2"/>
        <v>Pending</v>
      </c>
      <c r="M4" s="54" t="s">
        <v>835</v>
      </c>
      <c r="N4" s="55">
        <f>COUNT(E2:E441)</f>
        <v>0</v>
      </c>
    </row>
    <row r="5">
      <c r="A5" s="48" t="str">
        <f>FACILITIES!A2</f>
        <v>F001</v>
      </c>
      <c r="B5" s="48" t="str">
        <f>FACILITIES!B2</f>
        <v>Công ty nhiệt điện Na Dương</v>
      </c>
      <c r="C5" s="48" t="str">
        <f>FACILITIES!C2</f>
        <v/>
      </c>
      <c r="D5" s="49">
        <v>2025.0</v>
      </c>
      <c r="E5" s="50"/>
      <c r="F5" s="51" t="str">
        <f t="shared" si="1"/>
        <v/>
      </c>
      <c r="G5" s="52"/>
      <c r="H5" s="51" t="s">
        <v>78</v>
      </c>
      <c r="I5" s="53"/>
      <c r="J5" s="53"/>
      <c r="K5" s="51" t="str">
        <f t="shared" si="2"/>
        <v>Pending</v>
      </c>
      <c r="M5" s="54" t="s">
        <v>836</v>
      </c>
      <c r="N5" s="55">
        <f>COUNT(G2:G441)</f>
        <v>0</v>
      </c>
    </row>
    <row r="6">
      <c r="A6" s="48" t="str">
        <f>FACILITIES!A3</f>
        <v>F002</v>
      </c>
      <c r="B6" s="48" t="str">
        <f>FACILITIES!B3</f>
        <v>Công ty nhiệt điện Sơn động Việt Nam</v>
      </c>
      <c r="C6" s="48" t="str">
        <f>FACILITIES!C3</f>
        <v/>
      </c>
      <c r="D6" s="49">
        <v>2022.0</v>
      </c>
      <c r="E6" s="50"/>
      <c r="F6" s="51" t="str">
        <f t="shared" si="1"/>
        <v/>
      </c>
      <c r="G6" s="52"/>
      <c r="H6" s="51" t="s">
        <v>78</v>
      </c>
      <c r="I6" s="53"/>
      <c r="J6" s="53"/>
      <c r="K6" s="51" t="str">
        <f t="shared" si="2"/>
        <v>Pending</v>
      </c>
      <c r="M6" s="54" t="s">
        <v>840</v>
      </c>
      <c r="N6" s="55">
        <f>COUNTIFS(I2:I441,"&lt;&gt;",J2:J441,"&lt;&gt;")</f>
        <v>0</v>
      </c>
    </row>
    <row r="7">
      <c r="A7" s="48" t="str">
        <f>FACILITIES!A3</f>
        <v>F002</v>
      </c>
      <c r="B7" s="48" t="str">
        <f>FACILITIES!B3</f>
        <v>Công ty nhiệt điện Sơn động Việt Nam</v>
      </c>
      <c r="C7" s="48" t="str">
        <f>FACILITIES!C3</f>
        <v/>
      </c>
      <c r="D7" s="49">
        <v>2023.0</v>
      </c>
      <c r="E7" s="50"/>
      <c r="F7" s="51" t="str">
        <f t="shared" si="1"/>
        <v/>
      </c>
      <c r="G7" s="52"/>
      <c r="H7" s="51" t="s">
        <v>78</v>
      </c>
      <c r="I7" s="53"/>
      <c r="J7" s="53"/>
      <c r="K7" s="51" t="str">
        <f t="shared" si="2"/>
        <v>Pending</v>
      </c>
      <c r="M7" s="54" t="s">
        <v>902</v>
      </c>
      <c r="N7" s="55">
        <f>COUNTIF(K2:K441,"Ready")</f>
        <v>0</v>
      </c>
    </row>
    <row r="8">
      <c r="A8" s="48" t="str">
        <f>FACILITIES!A3</f>
        <v>F002</v>
      </c>
      <c r="B8" s="48" t="str">
        <f>FACILITIES!B3</f>
        <v>Công ty nhiệt điện Sơn động Việt Nam</v>
      </c>
      <c r="C8" s="48" t="str">
        <f>FACILITIES!C3</f>
        <v/>
      </c>
      <c r="D8" s="49">
        <v>2024.0</v>
      </c>
      <c r="E8" s="50"/>
      <c r="F8" s="51" t="str">
        <f t="shared" si="1"/>
        <v/>
      </c>
      <c r="G8" s="52"/>
      <c r="H8" s="51" t="s">
        <v>78</v>
      </c>
      <c r="I8" s="53"/>
      <c r="J8" s="53"/>
      <c r="K8" s="51" t="str">
        <f t="shared" si="2"/>
        <v>Pending</v>
      </c>
      <c r="M8" s="5"/>
      <c r="N8" s="5"/>
    </row>
    <row r="9">
      <c r="A9" s="48" t="str">
        <f>FACILITIES!A3</f>
        <v>F002</v>
      </c>
      <c r="B9" s="48" t="str">
        <f>FACILITIES!B3</f>
        <v>Công ty nhiệt điện Sơn động Việt Nam</v>
      </c>
      <c r="C9" s="48" t="str">
        <f>FACILITIES!C3</f>
        <v/>
      </c>
      <c r="D9" s="49">
        <v>2025.0</v>
      </c>
      <c r="E9" s="50"/>
      <c r="F9" s="51" t="str">
        <f t="shared" si="1"/>
        <v/>
      </c>
      <c r="G9" s="52"/>
      <c r="H9" s="51" t="s">
        <v>78</v>
      </c>
      <c r="I9" s="53"/>
      <c r="J9" s="53"/>
      <c r="K9" s="51" t="str">
        <f t="shared" si="2"/>
        <v>Pending</v>
      </c>
      <c r="M9" s="2" t="s">
        <v>957</v>
      </c>
      <c r="N9" s="2" t="s">
        <v>958</v>
      </c>
    </row>
    <row r="10">
      <c r="A10" s="48" t="str">
        <f>FACILITIES!A4</f>
        <v>F003</v>
      </c>
      <c r="B10" s="48" t="str">
        <f>FACILITIES!B4</f>
        <v>Công ty Nhiệt điện Uông Bí</v>
      </c>
      <c r="C10" s="48" t="str">
        <f>FACILITIES!C4</f>
        <v/>
      </c>
      <c r="D10" s="49">
        <v>2022.0</v>
      </c>
      <c r="E10" s="50"/>
      <c r="F10" s="51" t="str">
        <f t="shared" si="1"/>
        <v/>
      </c>
      <c r="G10" s="52"/>
      <c r="H10" s="51" t="s">
        <v>78</v>
      </c>
      <c r="I10" s="53"/>
      <c r="J10" s="53"/>
      <c r="K10" s="51" t="str">
        <f t="shared" si="2"/>
        <v>Pending</v>
      </c>
      <c r="M10" s="54" t="s">
        <v>959</v>
      </c>
      <c r="N10" s="21" t="s">
        <v>960</v>
      </c>
    </row>
    <row r="11">
      <c r="A11" s="48" t="str">
        <f>FACILITIES!A4</f>
        <v>F003</v>
      </c>
      <c r="B11" s="48" t="str">
        <f>FACILITIES!B4</f>
        <v>Công ty Nhiệt điện Uông Bí</v>
      </c>
      <c r="C11" s="48" t="str">
        <f>FACILITIES!C4</f>
        <v/>
      </c>
      <c r="D11" s="49">
        <v>2023.0</v>
      </c>
      <c r="E11" s="50"/>
      <c r="F11" s="51" t="str">
        <f t="shared" si="1"/>
        <v/>
      </c>
      <c r="G11" s="52"/>
      <c r="H11" s="51" t="s">
        <v>78</v>
      </c>
      <c r="I11" s="53"/>
      <c r="J11" s="53"/>
      <c r="K11" s="51" t="str">
        <f t="shared" si="2"/>
        <v>Pending</v>
      </c>
      <c r="M11" s="54" t="s">
        <v>961</v>
      </c>
      <c r="N11" s="21" t="s">
        <v>962</v>
      </c>
    </row>
    <row r="12">
      <c r="A12" s="48" t="str">
        <f>FACILITIES!A4</f>
        <v>F003</v>
      </c>
      <c r="B12" s="48" t="str">
        <f>FACILITIES!B4</f>
        <v>Công ty Nhiệt điện Uông Bí</v>
      </c>
      <c r="C12" s="48" t="str">
        <f>FACILITIES!C4</f>
        <v/>
      </c>
      <c r="D12" s="49">
        <v>2024.0</v>
      </c>
      <c r="E12" s="50"/>
      <c r="F12" s="51" t="str">
        <f t="shared" si="1"/>
        <v/>
      </c>
      <c r="G12" s="52"/>
      <c r="H12" s="51" t="s">
        <v>78</v>
      </c>
      <c r="I12" s="53"/>
      <c r="J12" s="53"/>
      <c r="K12" s="51" t="str">
        <f t="shared" si="2"/>
        <v>Pending</v>
      </c>
      <c r="M12" s="54" t="s">
        <v>964</v>
      </c>
      <c r="N12" s="21" t="s">
        <v>965</v>
      </c>
    </row>
    <row r="13">
      <c r="A13" s="48" t="str">
        <f>FACILITIES!A4</f>
        <v>F003</v>
      </c>
      <c r="B13" s="48" t="str">
        <f>FACILITIES!B4</f>
        <v>Công ty Nhiệt điện Uông Bí</v>
      </c>
      <c r="C13" s="48" t="str">
        <f>FACILITIES!C4</f>
        <v/>
      </c>
      <c r="D13" s="49">
        <v>2025.0</v>
      </c>
      <c r="E13" s="50"/>
      <c r="F13" s="51" t="str">
        <f t="shared" si="1"/>
        <v/>
      </c>
      <c r="G13" s="52"/>
      <c r="H13" s="51" t="s">
        <v>78</v>
      </c>
      <c r="I13" s="53"/>
      <c r="J13" s="53"/>
      <c r="K13" s="51" t="str">
        <f t="shared" si="2"/>
        <v>Pending</v>
      </c>
      <c r="M13" s="54" t="s">
        <v>968</v>
      </c>
      <c r="N13" s="21" t="s">
        <v>970</v>
      </c>
    </row>
    <row r="14">
      <c r="A14" s="48" t="str">
        <f>FACILITIES!A5</f>
        <v>F004</v>
      </c>
      <c r="B14" s="48" t="str">
        <f>FACILITIES!B5</f>
        <v>Công ty Cổ phần Nhiệt điện Quảng Ninh</v>
      </c>
      <c r="C14" s="48" t="str">
        <f>FACILITIES!C5</f>
        <v/>
      </c>
      <c r="D14" s="49">
        <v>2022.0</v>
      </c>
      <c r="E14" s="50"/>
      <c r="F14" s="51" t="str">
        <f t="shared" si="1"/>
        <v/>
      </c>
      <c r="G14" s="52"/>
      <c r="H14" s="51" t="s">
        <v>78</v>
      </c>
      <c r="I14" s="53"/>
      <c r="J14" s="53"/>
      <c r="K14" s="51" t="str">
        <f t="shared" si="2"/>
        <v>Pending</v>
      </c>
    </row>
    <row r="15">
      <c r="A15" s="48" t="str">
        <f>FACILITIES!A5</f>
        <v>F004</v>
      </c>
      <c r="B15" s="48" t="str">
        <f>FACILITIES!B5</f>
        <v>Công ty Cổ phần Nhiệt điện Quảng Ninh</v>
      </c>
      <c r="C15" s="48" t="str">
        <f>FACILITIES!C5</f>
        <v/>
      </c>
      <c r="D15" s="49">
        <v>2023.0</v>
      </c>
      <c r="E15" s="50"/>
      <c r="F15" s="51" t="str">
        <f t="shared" si="1"/>
        <v/>
      </c>
      <c r="G15" s="52"/>
      <c r="H15" s="51" t="s">
        <v>78</v>
      </c>
      <c r="I15" s="53"/>
      <c r="J15" s="53"/>
      <c r="K15" s="51" t="str">
        <f t="shared" si="2"/>
        <v>Pending</v>
      </c>
    </row>
    <row r="16">
      <c r="A16" s="48" t="str">
        <f>FACILITIES!A5</f>
        <v>F004</v>
      </c>
      <c r="B16" s="48" t="str">
        <f>FACILITIES!B5</f>
        <v>Công ty Cổ phần Nhiệt điện Quảng Ninh</v>
      </c>
      <c r="C16" s="48" t="str">
        <f>FACILITIES!C5</f>
        <v/>
      </c>
      <c r="D16" s="49">
        <v>2024.0</v>
      </c>
      <c r="E16" s="50"/>
      <c r="F16" s="51" t="str">
        <f t="shared" si="1"/>
        <v/>
      </c>
      <c r="G16" s="52"/>
      <c r="H16" s="51" t="s">
        <v>78</v>
      </c>
      <c r="I16" s="53"/>
      <c r="J16" s="53"/>
      <c r="K16" s="51" t="str">
        <f t="shared" si="2"/>
        <v>Pending</v>
      </c>
    </row>
    <row r="17">
      <c r="A17" s="48" t="str">
        <f>FACILITIES!A5</f>
        <v>F004</v>
      </c>
      <c r="B17" s="48" t="str">
        <f>FACILITIES!B5</f>
        <v>Công ty Cổ phần Nhiệt điện Quảng Ninh</v>
      </c>
      <c r="C17" s="48" t="str">
        <f>FACILITIES!C5</f>
        <v/>
      </c>
      <c r="D17" s="49">
        <v>2025.0</v>
      </c>
      <c r="E17" s="50"/>
      <c r="F17" s="51" t="str">
        <f t="shared" si="1"/>
        <v/>
      </c>
      <c r="G17" s="52"/>
      <c r="H17" s="51" t="s">
        <v>78</v>
      </c>
      <c r="I17" s="53"/>
      <c r="J17" s="53"/>
      <c r="K17" s="51" t="str">
        <f t="shared" si="2"/>
        <v>Pending</v>
      </c>
    </row>
    <row r="18">
      <c r="A18" s="48" t="str">
        <f>FACILITIES!A6</f>
        <v>F005</v>
      </c>
      <c r="B18" s="48" t="str">
        <f>FACILITIES!B6</f>
        <v>Công ty Nhiệt điện Cẩm Phả - TKV</v>
      </c>
      <c r="C18" s="48" t="str">
        <f>FACILITIES!C6</f>
        <v/>
      </c>
      <c r="D18" s="49">
        <v>2022.0</v>
      </c>
      <c r="E18" s="50"/>
      <c r="F18" s="51" t="str">
        <f t="shared" si="1"/>
        <v/>
      </c>
      <c r="G18" s="52"/>
      <c r="H18" s="51" t="s">
        <v>78</v>
      </c>
      <c r="I18" s="53"/>
      <c r="J18" s="53"/>
      <c r="K18" s="51" t="str">
        <f t="shared" si="2"/>
        <v>Pending</v>
      </c>
    </row>
    <row r="19">
      <c r="A19" s="48" t="str">
        <f>FACILITIES!A6</f>
        <v>F005</v>
      </c>
      <c r="B19" s="48" t="str">
        <f>FACILITIES!B6</f>
        <v>Công ty Nhiệt điện Cẩm Phả - TKV</v>
      </c>
      <c r="C19" s="48" t="str">
        <f>FACILITIES!C6</f>
        <v/>
      </c>
      <c r="D19" s="49">
        <v>2023.0</v>
      </c>
      <c r="E19" s="50"/>
      <c r="F19" s="51" t="str">
        <f t="shared" si="1"/>
        <v/>
      </c>
      <c r="G19" s="52"/>
      <c r="H19" s="51" t="s">
        <v>78</v>
      </c>
      <c r="I19" s="53"/>
      <c r="J19" s="53"/>
      <c r="K19" s="51" t="str">
        <f t="shared" si="2"/>
        <v>Pending</v>
      </c>
    </row>
    <row r="20">
      <c r="A20" s="48" t="str">
        <f>FACILITIES!A6</f>
        <v>F005</v>
      </c>
      <c r="B20" s="48" t="str">
        <f>FACILITIES!B6</f>
        <v>Công ty Nhiệt điện Cẩm Phả - TKV</v>
      </c>
      <c r="C20" s="48" t="str">
        <f>FACILITIES!C6</f>
        <v/>
      </c>
      <c r="D20" s="49">
        <v>2024.0</v>
      </c>
      <c r="E20" s="50"/>
      <c r="F20" s="51" t="str">
        <f t="shared" si="1"/>
        <v/>
      </c>
      <c r="G20" s="52"/>
      <c r="H20" s="51" t="s">
        <v>78</v>
      </c>
      <c r="I20" s="53"/>
      <c r="J20" s="53"/>
      <c r="K20" s="51" t="str">
        <f t="shared" si="2"/>
        <v>Pending</v>
      </c>
    </row>
    <row r="21" ht="15.75" customHeight="1">
      <c r="A21" s="48" t="str">
        <f>FACILITIES!A6</f>
        <v>F005</v>
      </c>
      <c r="B21" s="48" t="str">
        <f>FACILITIES!B6</f>
        <v>Công ty Nhiệt điện Cẩm Phả - TKV</v>
      </c>
      <c r="C21" s="48" t="str">
        <f>FACILITIES!C6</f>
        <v/>
      </c>
      <c r="D21" s="49">
        <v>2025.0</v>
      </c>
      <c r="E21" s="50"/>
      <c r="F21" s="51" t="str">
        <f t="shared" si="1"/>
        <v/>
      </c>
      <c r="G21" s="52"/>
      <c r="H21" s="51" t="s">
        <v>78</v>
      </c>
      <c r="I21" s="53"/>
      <c r="J21" s="53"/>
      <c r="K21" s="51" t="str">
        <f t="shared" si="2"/>
        <v>Pending</v>
      </c>
    </row>
    <row r="22" ht="15.75" customHeight="1">
      <c r="A22" s="48" t="str">
        <f>FACILITIES!A7</f>
        <v>F006</v>
      </c>
      <c r="B22" s="48" t="str">
        <f>FACILITIES!B7</f>
        <v>Công ty TNHH Điện Lực AES Mông Dương - Nhà máy nhiệt điện Mông Dương II</v>
      </c>
      <c r="C22" s="48" t="str">
        <f>FACILITIES!C7</f>
        <v/>
      </c>
      <c r="D22" s="49">
        <v>2022.0</v>
      </c>
      <c r="E22" s="50"/>
      <c r="F22" s="51" t="str">
        <f t="shared" si="1"/>
        <v/>
      </c>
      <c r="G22" s="52"/>
      <c r="H22" s="51" t="s">
        <v>78</v>
      </c>
      <c r="I22" s="53"/>
      <c r="J22" s="53"/>
      <c r="K22" s="51" t="str">
        <f t="shared" si="2"/>
        <v>Pending</v>
      </c>
    </row>
    <row r="23" ht="15.75" customHeight="1">
      <c r="A23" s="48" t="str">
        <f>FACILITIES!A7</f>
        <v>F006</v>
      </c>
      <c r="B23" s="48" t="str">
        <f>FACILITIES!B7</f>
        <v>Công ty TNHH Điện Lực AES Mông Dương - Nhà máy nhiệt điện Mông Dương II</v>
      </c>
      <c r="C23" s="48" t="str">
        <f>FACILITIES!C7</f>
        <v/>
      </c>
      <c r="D23" s="49">
        <v>2023.0</v>
      </c>
      <c r="E23" s="50"/>
      <c r="F23" s="51" t="str">
        <f t="shared" si="1"/>
        <v/>
      </c>
      <c r="G23" s="52"/>
      <c r="H23" s="51" t="s">
        <v>78</v>
      </c>
      <c r="I23" s="53"/>
      <c r="J23" s="53"/>
      <c r="K23" s="51" t="str">
        <f t="shared" si="2"/>
        <v>Pending</v>
      </c>
    </row>
    <row r="24" ht="15.75" customHeight="1">
      <c r="A24" s="48" t="str">
        <f>FACILITIES!A7</f>
        <v>F006</v>
      </c>
      <c r="B24" s="48" t="str">
        <f>FACILITIES!B7</f>
        <v>Công ty TNHH Điện Lực AES Mông Dương - Nhà máy nhiệt điện Mông Dương II</v>
      </c>
      <c r="C24" s="48" t="str">
        <f>FACILITIES!C7</f>
        <v/>
      </c>
      <c r="D24" s="49">
        <v>2024.0</v>
      </c>
      <c r="E24" s="50"/>
      <c r="F24" s="51" t="str">
        <f t="shared" si="1"/>
        <v/>
      </c>
      <c r="G24" s="52"/>
      <c r="H24" s="51" t="s">
        <v>78</v>
      </c>
      <c r="I24" s="53"/>
      <c r="J24" s="53"/>
      <c r="K24" s="51" t="str">
        <f t="shared" si="2"/>
        <v>Pending</v>
      </c>
    </row>
    <row r="25" ht="15.75" customHeight="1">
      <c r="A25" s="48" t="str">
        <f>FACILITIES!A7</f>
        <v>F006</v>
      </c>
      <c r="B25" s="48" t="str">
        <f>FACILITIES!B7</f>
        <v>Công ty TNHH Điện Lực AES Mông Dương - Nhà máy nhiệt điện Mông Dương II</v>
      </c>
      <c r="C25" s="48" t="str">
        <f>FACILITIES!C7</f>
        <v/>
      </c>
      <c r="D25" s="49">
        <v>2025.0</v>
      </c>
      <c r="E25" s="50"/>
      <c r="F25" s="51" t="str">
        <f t="shared" si="1"/>
        <v/>
      </c>
      <c r="G25" s="52"/>
      <c r="H25" s="51" t="s">
        <v>78</v>
      </c>
      <c r="I25" s="53"/>
      <c r="J25" s="53"/>
      <c r="K25" s="51" t="str">
        <f t="shared" si="2"/>
        <v>Pending</v>
      </c>
    </row>
    <row r="26" ht="15.75" customHeight="1">
      <c r="A26" s="48" t="str">
        <f>FACILITIES!A8</f>
        <v>F007</v>
      </c>
      <c r="B26" s="48" t="str">
        <f>FACILITIES!B8</f>
        <v>Công ty Nhiệt điện Đông Triều - TKV - Nhà máy nhiệt điện Mạo Khê</v>
      </c>
      <c r="C26" s="48" t="str">
        <f>FACILITIES!C8</f>
        <v/>
      </c>
      <c r="D26" s="49">
        <v>2022.0</v>
      </c>
      <c r="E26" s="50"/>
      <c r="F26" s="51" t="str">
        <f t="shared" si="1"/>
        <v/>
      </c>
      <c r="G26" s="52"/>
      <c r="H26" s="51" t="s">
        <v>78</v>
      </c>
      <c r="I26" s="53"/>
      <c r="J26" s="53"/>
      <c r="K26" s="51" t="str">
        <f t="shared" si="2"/>
        <v>Pending</v>
      </c>
    </row>
    <row r="27" ht="15.75" customHeight="1">
      <c r="A27" s="48" t="str">
        <f>FACILITIES!A8</f>
        <v>F007</v>
      </c>
      <c r="B27" s="48" t="str">
        <f>FACILITIES!B8</f>
        <v>Công ty Nhiệt điện Đông Triều - TKV - Nhà máy nhiệt điện Mạo Khê</v>
      </c>
      <c r="C27" s="48" t="str">
        <f>FACILITIES!C8</f>
        <v/>
      </c>
      <c r="D27" s="49">
        <v>2023.0</v>
      </c>
      <c r="E27" s="50"/>
      <c r="F27" s="51" t="str">
        <f t="shared" si="1"/>
        <v/>
      </c>
      <c r="G27" s="52"/>
      <c r="H27" s="51" t="s">
        <v>78</v>
      </c>
      <c r="I27" s="53"/>
      <c r="J27" s="53"/>
      <c r="K27" s="51" t="str">
        <f t="shared" si="2"/>
        <v>Pending</v>
      </c>
    </row>
    <row r="28" ht="15.75" customHeight="1">
      <c r="A28" s="48" t="str">
        <f>FACILITIES!A8</f>
        <v>F007</v>
      </c>
      <c r="B28" s="48" t="str">
        <f>FACILITIES!B8</f>
        <v>Công ty Nhiệt điện Đông Triều - TKV - Nhà máy nhiệt điện Mạo Khê</v>
      </c>
      <c r="C28" s="48" t="str">
        <f>FACILITIES!C8</f>
        <v/>
      </c>
      <c r="D28" s="49">
        <v>2024.0</v>
      </c>
      <c r="E28" s="50"/>
      <c r="F28" s="51" t="str">
        <f t="shared" si="1"/>
        <v/>
      </c>
      <c r="G28" s="52"/>
      <c r="H28" s="51" t="s">
        <v>78</v>
      </c>
      <c r="I28" s="53"/>
      <c r="J28" s="53"/>
      <c r="K28" s="51" t="str">
        <f t="shared" si="2"/>
        <v>Pending</v>
      </c>
    </row>
    <row r="29" ht="15.75" customHeight="1">
      <c r="A29" s="48" t="str">
        <f>FACILITIES!A8</f>
        <v>F007</v>
      </c>
      <c r="B29" s="48" t="str">
        <f>FACILITIES!B8</f>
        <v>Công ty Nhiệt điện Đông Triều - TKV - Nhà máy nhiệt điện Mạo Khê</v>
      </c>
      <c r="C29" s="48" t="str">
        <f>FACILITIES!C8</f>
        <v/>
      </c>
      <c r="D29" s="49">
        <v>2025.0</v>
      </c>
      <c r="E29" s="50"/>
      <c r="F29" s="51" t="str">
        <f t="shared" si="1"/>
        <v/>
      </c>
      <c r="G29" s="52"/>
      <c r="H29" s="51" t="s">
        <v>78</v>
      </c>
      <c r="I29" s="53"/>
      <c r="J29" s="53"/>
      <c r="K29" s="51" t="str">
        <f t="shared" si="2"/>
        <v>Pending</v>
      </c>
    </row>
    <row r="30" ht="15.75" customHeight="1">
      <c r="A30" s="48" t="str">
        <f>FACILITIES!A9</f>
        <v>F008</v>
      </c>
      <c r="B30" s="48" t="str">
        <f>FACILITIES!B9</f>
        <v>Nhà máy nhiệt điện Mông Dương I - Công ty Nhiệt điện Mông Dương</v>
      </c>
      <c r="C30" s="48" t="str">
        <f>FACILITIES!C9</f>
        <v/>
      </c>
      <c r="D30" s="49">
        <v>2022.0</v>
      </c>
      <c r="E30" s="50"/>
      <c r="F30" s="51" t="str">
        <f t="shared" si="1"/>
        <v/>
      </c>
      <c r="G30" s="52"/>
      <c r="H30" s="51" t="s">
        <v>78</v>
      </c>
      <c r="I30" s="53"/>
      <c r="J30" s="53"/>
      <c r="K30" s="51" t="str">
        <f t="shared" si="2"/>
        <v>Pending</v>
      </c>
    </row>
    <row r="31" ht="15.75" customHeight="1">
      <c r="A31" s="48" t="str">
        <f>FACILITIES!A9</f>
        <v>F008</v>
      </c>
      <c r="B31" s="48" t="str">
        <f>FACILITIES!B9</f>
        <v>Nhà máy nhiệt điện Mông Dương I - Công ty Nhiệt điện Mông Dương</v>
      </c>
      <c r="C31" s="48" t="str">
        <f>FACILITIES!C9</f>
        <v/>
      </c>
      <c r="D31" s="49">
        <v>2023.0</v>
      </c>
      <c r="E31" s="50"/>
      <c r="F31" s="51" t="str">
        <f t="shared" si="1"/>
        <v/>
      </c>
      <c r="G31" s="52"/>
      <c r="H31" s="51" t="s">
        <v>78</v>
      </c>
      <c r="I31" s="53"/>
      <c r="J31" s="53"/>
      <c r="K31" s="51" t="str">
        <f t="shared" si="2"/>
        <v>Pending</v>
      </c>
    </row>
    <row r="32" ht="15.75" customHeight="1">
      <c r="A32" s="48" t="str">
        <f>FACILITIES!A9</f>
        <v>F008</v>
      </c>
      <c r="B32" s="48" t="str">
        <f>FACILITIES!B9</f>
        <v>Nhà máy nhiệt điện Mông Dương I - Công ty Nhiệt điện Mông Dương</v>
      </c>
      <c r="C32" s="48" t="str">
        <f>FACILITIES!C9</f>
        <v/>
      </c>
      <c r="D32" s="49">
        <v>2024.0</v>
      </c>
      <c r="E32" s="50"/>
      <c r="F32" s="51" t="str">
        <f t="shared" si="1"/>
        <v/>
      </c>
      <c r="G32" s="52"/>
      <c r="H32" s="51" t="s">
        <v>78</v>
      </c>
      <c r="I32" s="53"/>
      <c r="J32" s="53"/>
      <c r="K32" s="51" t="str">
        <f t="shared" si="2"/>
        <v>Pending</v>
      </c>
    </row>
    <row r="33" ht="15.75" customHeight="1">
      <c r="A33" s="48" t="str">
        <f>FACILITIES!A9</f>
        <v>F008</v>
      </c>
      <c r="B33" s="48" t="str">
        <f>FACILITIES!B9</f>
        <v>Nhà máy nhiệt điện Mông Dương I - Công ty Nhiệt điện Mông Dương</v>
      </c>
      <c r="C33" s="48" t="str">
        <f>FACILITIES!C9</f>
        <v/>
      </c>
      <c r="D33" s="49">
        <v>2025.0</v>
      </c>
      <c r="E33" s="50"/>
      <c r="F33" s="51" t="str">
        <f t="shared" si="1"/>
        <v/>
      </c>
      <c r="G33" s="52"/>
      <c r="H33" s="51" t="s">
        <v>78</v>
      </c>
      <c r="I33" s="53"/>
      <c r="J33" s="53"/>
      <c r="K33" s="51" t="str">
        <f t="shared" si="2"/>
        <v>Pending</v>
      </c>
    </row>
    <row r="34" ht="15.75" customHeight="1">
      <c r="A34" s="48" t="str">
        <f>FACILITIES!A10</f>
        <v>F009</v>
      </c>
      <c r="B34" s="48" t="str">
        <f>FACILITIES!B10</f>
        <v>Công ty Cổ phần Nhiệt điện Hải Phòng</v>
      </c>
      <c r="C34" s="48" t="str">
        <f>FACILITIES!C10</f>
        <v/>
      </c>
      <c r="D34" s="49">
        <v>2022.0</v>
      </c>
      <c r="E34" s="50"/>
      <c r="F34" s="51" t="str">
        <f t="shared" si="1"/>
        <v/>
      </c>
      <c r="G34" s="52"/>
      <c r="H34" s="51" t="s">
        <v>78</v>
      </c>
      <c r="I34" s="53"/>
      <c r="J34" s="53"/>
      <c r="K34" s="51" t="str">
        <f t="shared" si="2"/>
        <v>Pending</v>
      </c>
    </row>
    <row r="35" ht="15.75" customHeight="1">
      <c r="A35" s="48" t="str">
        <f>FACILITIES!A10</f>
        <v>F009</v>
      </c>
      <c r="B35" s="48" t="str">
        <f>FACILITIES!B10</f>
        <v>Công ty Cổ phần Nhiệt điện Hải Phòng</v>
      </c>
      <c r="C35" s="48" t="str">
        <f>FACILITIES!C10</f>
        <v/>
      </c>
      <c r="D35" s="49">
        <v>2023.0</v>
      </c>
      <c r="E35" s="50"/>
      <c r="F35" s="51" t="str">
        <f t="shared" si="1"/>
        <v/>
      </c>
      <c r="G35" s="52"/>
      <c r="H35" s="51" t="s">
        <v>78</v>
      </c>
      <c r="I35" s="53"/>
      <c r="J35" s="53"/>
      <c r="K35" s="51" t="str">
        <f t="shared" si="2"/>
        <v>Pending</v>
      </c>
    </row>
    <row r="36" ht="15.75" customHeight="1">
      <c r="A36" s="48" t="str">
        <f>FACILITIES!A10</f>
        <v>F009</v>
      </c>
      <c r="B36" s="48" t="str">
        <f>FACILITIES!B10</f>
        <v>Công ty Cổ phần Nhiệt điện Hải Phòng</v>
      </c>
      <c r="C36" s="48" t="str">
        <f>FACILITIES!C10</f>
        <v/>
      </c>
      <c r="D36" s="49">
        <v>2024.0</v>
      </c>
      <c r="E36" s="50"/>
      <c r="F36" s="51" t="str">
        <f t="shared" si="1"/>
        <v/>
      </c>
      <c r="G36" s="52"/>
      <c r="H36" s="51" t="s">
        <v>78</v>
      </c>
      <c r="I36" s="53"/>
      <c r="J36" s="53"/>
      <c r="K36" s="51" t="str">
        <f t="shared" si="2"/>
        <v>Pending</v>
      </c>
    </row>
    <row r="37" ht="15.75" customHeight="1">
      <c r="A37" s="48" t="str">
        <f>FACILITIES!A10</f>
        <v>F009</v>
      </c>
      <c r="B37" s="48" t="str">
        <f>FACILITIES!B10</f>
        <v>Công ty Cổ phần Nhiệt điện Hải Phòng</v>
      </c>
      <c r="C37" s="48" t="str">
        <f>FACILITIES!C10</f>
        <v/>
      </c>
      <c r="D37" s="49">
        <v>2025.0</v>
      </c>
      <c r="E37" s="50"/>
      <c r="F37" s="51" t="str">
        <f t="shared" si="1"/>
        <v/>
      </c>
      <c r="G37" s="52"/>
      <c r="H37" s="51" t="s">
        <v>78</v>
      </c>
      <c r="I37" s="53"/>
      <c r="J37" s="53"/>
      <c r="K37" s="51" t="str">
        <f t="shared" si="2"/>
        <v>Pending</v>
      </c>
    </row>
    <row r="38" ht="15.75" customHeight="1">
      <c r="A38" s="48" t="str">
        <f>FACILITIES!A11</f>
        <v>F010</v>
      </c>
      <c r="B38" s="48" t="str">
        <f>FACILITIES!B11</f>
        <v>Nhà máy điện Nghi Sơn 1</v>
      </c>
      <c r="C38" s="48" t="str">
        <f>FACILITIES!C11</f>
        <v/>
      </c>
      <c r="D38" s="49">
        <v>2022.0</v>
      </c>
      <c r="E38" s="50"/>
      <c r="F38" s="51" t="str">
        <f t="shared" si="1"/>
        <v/>
      </c>
      <c r="G38" s="52"/>
      <c r="H38" s="51" t="s">
        <v>78</v>
      </c>
      <c r="I38" s="53"/>
      <c r="J38" s="53"/>
      <c r="K38" s="51" t="str">
        <f t="shared" si="2"/>
        <v>Pending</v>
      </c>
    </row>
    <row r="39" ht="15.75" customHeight="1">
      <c r="A39" s="48" t="str">
        <f>FACILITIES!A11</f>
        <v>F010</v>
      </c>
      <c r="B39" s="48" t="str">
        <f>FACILITIES!B11</f>
        <v>Nhà máy điện Nghi Sơn 1</v>
      </c>
      <c r="C39" s="48" t="str">
        <f>FACILITIES!C11</f>
        <v/>
      </c>
      <c r="D39" s="49">
        <v>2023.0</v>
      </c>
      <c r="E39" s="50"/>
      <c r="F39" s="51" t="str">
        <f t="shared" si="1"/>
        <v/>
      </c>
      <c r="G39" s="52"/>
      <c r="H39" s="51" t="s">
        <v>78</v>
      </c>
      <c r="I39" s="53"/>
      <c r="J39" s="53"/>
      <c r="K39" s="51" t="str">
        <f t="shared" si="2"/>
        <v>Pending</v>
      </c>
    </row>
    <row r="40" ht="15.75" customHeight="1">
      <c r="A40" s="48" t="str">
        <f>FACILITIES!A11</f>
        <v>F010</v>
      </c>
      <c r="B40" s="48" t="str">
        <f>FACILITIES!B11</f>
        <v>Nhà máy điện Nghi Sơn 1</v>
      </c>
      <c r="C40" s="48" t="str">
        <f>FACILITIES!C11</f>
        <v/>
      </c>
      <c r="D40" s="49">
        <v>2024.0</v>
      </c>
      <c r="E40" s="50"/>
      <c r="F40" s="51" t="str">
        <f t="shared" si="1"/>
        <v/>
      </c>
      <c r="G40" s="52"/>
      <c r="H40" s="51" t="s">
        <v>78</v>
      </c>
      <c r="I40" s="53"/>
      <c r="J40" s="53"/>
      <c r="K40" s="51" t="str">
        <f t="shared" si="2"/>
        <v>Pending</v>
      </c>
    </row>
    <row r="41" ht="15.75" customHeight="1">
      <c r="A41" s="48" t="str">
        <f>FACILITIES!A11</f>
        <v>F010</v>
      </c>
      <c r="B41" s="48" t="str">
        <f>FACILITIES!B11</f>
        <v>Nhà máy điện Nghi Sơn 1</v>
      </c>
      <c r="C41" s="48" t="str">
        <f>FACILITIES!C11</f>
        <v/>
      </c>
      <c r="D41" s="49">
        <v>2025.0</v>
      </c>
      <c r="E41" s="50"/>
      <c r="F41" s="51" t="str">
        <f t="shared" si="1"/>
        <v/>
      </c>
      <c r="G41" s="52"/>
      <c r="H41" s="51" t="s">
        <v>78</v>
      </c>
      <c r="I41" s="53"/>
      <c r="J41" s="53"/>
      <c r="K41" s="51" t="str">
        <f t="shared" si="2"/>
        <v>Pending</v>
      </c>
    </row>
    <row r="42" ht="15.75" customHeight="1">
      <c r="A42" s="48" t="str">
        <f>FACILITIES!A12</f>
        <v>F011</v>
      </c>
      <c r="B42" s="48" t="str">
        <f>FACILITIES!B12</f>
        <v>Công ty Điện lực Dầu khí Hà Tĩnh</v>
      </c>
      <c r="C42" s="48" t="str">
        <f>FACILITIES!C12</f>
        <v/>
      </c>
      <c r="D42" s="49">
        <v>2022.0</v>
      </c>
      <c r="E42" s="50"/>
      <c r="F42" s="51" t="str">
        <f t="shared" si="1"/>
        <v/>
      </c>
      <c r="G42" s="52"/>
      <c r="H42" s="51" t="s">
        <v>78</v>
      </c>
      <c r="I42" s="53"/>
      <c r="J42" s="53"/>
      <c r="K42" s="51" t="str">
        <f t="shared" si="2"/>
        <v>Pending</v>
      </c>
    </row>
    <row r="43" ht="15.75" customHeight="1">
      <c r="A43" s="48" t="str">
        <f>FACILITIES!A12</f>
        <v>F011</v>
      </c>
      <c r="B43" s="48" t="str">
        <f>FACILITIES!B12</f>
        <v>Công ty Điện lực Dầu khí Hà Tĩnh</v>
      </c>
      <c r="C43" s="48" t="str">
        <f>FACILITIES!C12</f>
        <v/>
      </c>
      <c r="D43" s="49">
        <v>2023.0</v>
      </c>
      <c r="E43" s="50"/>
      <c r="F43" s="51" t="str">
        <f t="shared" si="1"/>
        <v/>
      </c>
      <c r="G43" s="52"/>
      <c r="H43" s="51" t="s">
        <v>78</v>
      </c>
      <c r="I43" s="53"/>
      <c r="J43" s="53"/>
      <c r="K43" s="51" t="str">
        <f t="shared" si="2"/>
        <v>Pending</v>
      </c>
    </row>
    <row r="44" ht="15.75" customHeight="1">
      <c r="A44" s="48" t="str">
        <f>FACILITIES!A12</f>
        <v>F011</v>
      </c>
      <c r="B44" s="48" t="str">
        <f>FACILITIES!B12</f>
        <v>Công ty Điện lực Dầu khí Hà Tĩnh</v>
      </c>
      <c r="C44" s="48" t="str">
        <f>FACILITIES!C12</f>
        <v/>
      </c>
      <c r="D44" s="49">
        <v>2024.0</v>
      </c>
      <c r="E44" s="50"/>
      <c r="F44" s="51" t="str">
        <f t="shared" si="1"/>
        <v/>
      </c>
      <c r="G44" s="52"/>
      <c r="H44" s="51" t="s">
        <v>78</v>
      </c>
      <c r="I44" s="53"/>
      <c r="J44" s="53"/>
      <c r="K44" s="51" t="str">
        <f t="shared" si="2"/>
        <v>Pending</v>
      </c>
    </row>
    <row r="45" ht="15.75" customHeight="1">
      <c r="A45" s="48" t="str">
        <f>FACILITIES!A12</f>
        <v>F011</v>
      </c>
      <c r="B45" s="48" t="str">
        <f>FACILITIES!B12</f>
        <v>Công ty Điện lực Dầu khí Hà Tĩnh</v>
      </c>
      <c r="C45" s="48" t="str">
        <f>FACILITIES!C12</f>
        <v/>
      </c>
      <c r="D45" s="49">
        <v>2025.0</v>
      </c>
      <c r="E45" s="50"/>
      <c r="F45" s="51" t="str">
        <f t="shared" si="1"/>
        <v/>
      </c>
      <c r="G45" s="52"/>
      <c r="H45" s="51" t="s">
        <v>78</v>
      </c>
      <c r="I45" s="53"/>
      <c r="J45" s="53"/>
      <c r="K45" s="51" t="str">
        <f t="shared" si="2"/>
        <v>Pending</v>
      </c>
    </row>
    <row r="46" ht="15.75" customHeight="1">
      <c r="A46" s="48" t="str">
        <f>FACILITIES!A13</f>
        <v>F012</v>
      </c>
      <c r="B46" s="48" t="str">
        <f>FACILITIES!B13</f>
        <v>Công ty TNHH Hưng Nghiệp Formosa</v>
      </c>
      <c r="C46" s="48" t="str">
        <f>FACILITIES!C13</f>
        <v/>
      </c>
      <c r="D46" s="49">
        <v>2022.0</v>
      </c>
      <c r="E46" s="50"/>
      <c r="F46" s="51" t="str">
        <f t="shared" si="1"/>
        <v/>
      </c>
      <c r="G46" s="52"/>
      <c r="H46" s="51" t="s">
        <v>78</v>
      </c>
      <c r="I46" s="53"/>
      <c r="J46" s="53"/>
      <c r="K46" s="51" t="str">
        <f t="shared" si="2"/>
        <v>Pending</v>
      </c>
    </row>
    <row r="47" ht="15.75" customHeight="1">
      <c r="A47" s="48" t="str">
        <f>FACILITIES!A13</f>
        <v>F012</v>
      </c>
      <c r="B47" s="48" t="str">
        <f>FACILITIES!B13</f>
        <v>Công ty TNHH Hưng Nghiệp Formosa</v>
      </c>
      <c r="C47" s="48" t="str">
        <f>FACILITIES!C13</f>
        <v/>
      </c>
      <c r="D47" s="49">
        <v>2023.0</v>
      </c>
      <c r="E47" s="50"/>
      <c r="F47" s="51" t="str">
        <f t="shared" si="1"/>
        <v/>
      </c>
      <c r="G47" s="52"/>
      <c r="H47" s="51" t="s">
        <v>78</v>
      </c>
      <c r="I47" s="53"/>
      <c r="J47" s="53"/>
      <c r="K47" s="51" t="str">
        <f t="shared" si="2"/>
        <v>Pending</v>
      </c>
    </row>
    <row r="48" ht="15.75" customHeight="1">
      <c r="A48" s="48" t="str">
        <f>FACILITIES!A13</f>
        <v>F012</v>
      </c>
      <c r="B48" s="48" t="str">
        <f>FACILITIES!B13</f>
        <v>Công ty TNHH Hưng Nghiệp Formosa</v>
      </c>
      <c r="C48" s="48" t="str">
        <f>FACILITIES!C13</f>
        <v/>
      </c>
      <c r="D48" s="49">
        <v>2024.0</v>
      </c>
      <c r="E48" s="50"/>
      <c r="F48" s="51" t="str">
        <f t="shared" si="1"/>
        <v/>
      </c>
      <c r="G48" s="52"/>
      <c r="H48" s="51" t="s">
        <v>78</v>
      </c>
      <c r="I48" s="53"/>
      <c r="J48" s="53"/>
      <c r="K48" s="51" t="str">
        <f t="shared" si="2"/>
        <v>Pending</v>
      </c>
    </row>
    <row r="49" ht="15.75" customHeight="1">
      <c r="A49" s="48" t="str">
        <f>FACILITIES!A13</f>
        <v>F012</v>
      </c>
      <c r="B49" s="48" t="str">
        <f>FACILITIES!B13</f>
        <v>Công ty TNHH Hưng Nghiệp Formosa</v>
      </c>
      <c r="C49" s="48" t="str">
        <f>FACILITIES!C13</f>
        <v/>
      </c>
      <c r="D49" s="49">
        <v>2025.0</v>
      </c>
      <c r="E49" s="50"/>
      <c r="F49" s="51" t="str">
        <f t="shared" si="1"/>
        <v/>
      </c>
      <c r="G49" s="52"/>
      <c r="H49" s="51" t="s">
        <v>78</v>
      </c>
      <c r="I49" s="53"/>
      <c r="J49" s="53"/>
      <c r="K49" s="51" t="str">
        <f t="shared" si="2"/>
        <v>Pending</v>
      </c>
    </row>
    <row r="50" ht="15.75" customHeight="1">
      <c r="A50" s="48" t="str">
        <f>FACILITIES!A14</f>
        <v>F013</v>
      </c>
      <c r="B50" s="48" t="str">
        <f>FACILITIES!B14</f>
        <v>Công ty TNHH Điện lực Vĩnh Tân 1 (Nhà máy nhiệt điện BOT Vĩnh Tân 1)</v>
      </c>
      <c r="C50" s="48" t="str">
        <f>FACILITIES!C14</f>
        <v/>
      </c>
      <c r="D50" s="49">
        <v>2022.0</v>
      </c>
      <c r="E50" s="50"/>
      <c r="F50" s="51" t="str">
        <f t="shared" si="1"/>
        <v/>
      </c>
      <c r="G50" s="52"/>
      <c r="H50" s="51" t="s">
        <v>78</v>
      </c>
      <c r="I50" s="53"/>
      <c r="J50" s="53"/>
      <c r="K50" s="51" t="str">
        <f t="shared" si="2"/>
        <v>Pending</v>
      </c>
    </row>
    <row r="51" ht="15.75" customHeight="1">
      <c r="A51" s="48" t="str">
        <f>FACILITIES!A14</f>
        <v>F013</v>
      </c>
      <c r="B51" s="48" t="str">
        <f>FACILITIES!B14</f>
        <v>Công ty TNHH Điện lực Vĩnh Tân 1 (Nhà máy nhiệt điện BOT Vĩnh Tân 1)</v>
      </c>
      <c r="C51" s="48" t="str">
        <f>FACILITIES!C14</f>
        <v/>
      </c>
      <c r="D51" s="49">
        <v>2023.0</v>
      </c>
      <c r="E51" s="50"/>
      <c r="F51" s="51" t="str">
        <f t="shared" si="1"/>
        <v/>
      </c>
      <c r="G51" s="52"/>
      <c r="H51" s="51" t="s">
        <v>78</v>
      </c>
      <c r="I51" s="53"/>
      <c r="J51" s="53"/>
      <c r="K51" s="51" t="str">
        <f t="shared" si="2"/>
        <v>Pending</v>
      </c>
    </row>
    <row r="52" ht="15.75" customHeight="1">
      <c r="A52" s="48" t="str">
        <f>FACILITIES!A14</f>
        <v>F013</v>
      </c>
      <c r="B52" s="48" t="str">
        <f>FACILITIES!B14</f>
        <v>Công ty TNHH Điện lực Vĩnh Tân 1 (Nhà máy nhiệt điện BOT Vĩnh Tân 1)</v>
      </c>
      <c r="C52" s="48" t="str">
        <f>FACILITIES!C14</f>
        <v/>
      </c>
      <c r="D52" s="49">
        <v>2024.0</v>
      </c>
      <c r="E52" s="50"/>
      <c r="F52" s="51" t="str">
        <f t="shared" si="1"/>
        <v/>
      </c>
      <c r="G52" s="52"/>
      <c r="H52" s="51" t="s">
        <v>78</v>
      </c>
      <c r="I52" s="53"/>
      <c r="J52" s="53"/>
      <c r="K52" s="51" t="str">
        <f t="shared" si="2"/>
        <v>Pending</v>
      </c>
    </row>
    <row r="53" ht="15.75" customHeight="1">
      <c r="A53" s="48" t="str">
        <f>FACILITIES!A14</f>
        <v>F013</v>
      </c>
      <c r="B53" s="48" t="str">
        <f>FACILITIES!B14</f>
        <v>Công ty TNHH Điện lực Vĩnh Tân 1 (Nhà máy nhiệt điện BOT Vĩnh Tân 1)</v>
      </c>
      <c r="C53" s="48" t="str">
        <f>FACILITIES!C14</f>
        <v/>
      </c>
      <c r="D53" s="49">
        <v>2025.0</v>
      </c>
      <c r="E53" s="50"/>
      <c r="F53" s="51" t="str">
        <f t="shared" si="1"/>
        <v/>
      </c>
      <c r="G53" s="52"/>
      <c r="H53" s="51" t="s">
        <v>78</v>
      </c>
      <c r="I53" s="53"/>
      <c r="J53" s="53"/>
      <c r="K53" s="51" t="str">
        <f t="shared" si="2"/>
        <v>Pending</v>
      </c>
    </row>
    <row r="54" ht="15.75" customHeight="1">
      <c r="A54" s="48" t="str">
        <f>FACILITIES!A15</f>
        <v>F014</v>
      </c>
      <c r="B54" s="48" t="str">
        <f>FACILITIES!B15</f>
        <v>Công ty Nhiệt điện Vĩnh Tân -CW nhánh TNHH MTV Tổng công ty Phát điện 3 (Nhà máy nhiệt điện Vĩnh Tân 2)</v>
      </c>
      <c r="C54" s="48" t="str">
        <f>FACILITIES!C15</f>
        <v/>
      </c>
      <c r="D54" s="49">
        <v>2022.0</v>
      </c>
      <c r="E54" s="50"/>
      <c r="F54" s="51" t="str">
        <f t="shared" si="1"/>
        <v/>
      </c>
      <c r="G54" s="52"/>
      <c r="H54" s="51" t="s">
        <v>78</v>
      </c>
      <c r="I54" s="53"/>
      <c r="J54" s="53"/>
      <c r="K54" s="51" t="str">
        <f t="shared" si="2"/>
        <v>Pending</v>
      </c>
    </row>
    <row r="55" ht="15.75" customHeight="1">
      <c r="A55" s="48" t="str">
        <f>FACILITIES!A15</f>
        <v>F014</v>
      </c>
      <c r="B55" s="48" t="str">
        <f>FACILITIES!B15</f>
        <v>Công ty Nhiệt điện Vĩnh Tân -CW nhánh TNHH MTV Tổng công ty Phát điện 3 (Nhà máy nhiệt điện Vĩnh Tân 2)</v>
      </c>
      <c r="C55" s="48" t="str">
        <f>FACILITIES!C15</f>
        <v/>
      </c>
      <c r="D55" s="49">
        <v>2023.0</v>
      </c>
      <c r="E55" s="50"/>
      <c r="F55" s="51" t="str">
        <f t="shared" si="1"/>
        <v/>
      </c>
      <c r="G55" s="52"/>
      <c r="H55" s="51" t="s">
        <v>78</v>
      </c>
      <c r="I55" s="53"/>
      <c r="J55" s="53"/>
      <c r="K55" s="51" t="str">
        <f t="shared" si="2"/>
        <v>Pending</v>
      </c>
    </row>
    <row r="56" ht="15.75" customHeight="1">
      <c r="A56" s="48" t="str">
        <f>FACILITIES!A15</f>
        <v>F014</v>
      </c>
      <c r="B56" s="48" t="str">
        <f>FACILITIES!B15</f>
        <v>Công ty Nhiệt điện Vĩnh Tân -CW nhánh TNHH MTV Tổng công ty Phát điện 3 (Nhà máy nhiệt điện Vĩnh Tân 2)</v>
      </c>
      <c r="C56" s="48" t="str">
        <f>FACILITIES!C15</f>
        <v/>
      </c>
      <c r="D56" s="49">
        <v>2024.0</v>
      </c>
      <c r="E56" s="50"/>
      <c r="F56" s="51" t="str">
        <f t="shared" si="1"/>
        <v/>
      </c>
      <c r="G56" s="52"/>
      <c r="H56" s="51" t="s">
        <v>78</v>
      </c>
      <c r="I56" s="53"/>
      <c r="J56" s="53"/>
      <c r="K56" s="51" t="str">
        <f t="shared" si="2"/>
        <v>Pending</v>
      </c>
    </row>
    <row r="57" ht="15.75" customHeight="1">
      <c r="A57" s="48" t="str">
        <f>FACILITIES!A15</f>
        <v>F014</v>
      </c>
      <c r="B57" s="48" t="str">
        <f>FACILITIES!B15</f>
        <v>Công ty Nhiệt điện Vĩnh Tân -CW nhánh TNHH MTV Tổng công ty Phát điện 3 (Nhà máy nhiệt điện Vĩnh Tân 2)</v>
      </c>
      <c r="C57" s="48" t="str">
        <f>FACILITIES!C15</f>
        <v/>
      </c>
      <c r="D57" s="49">
        <v>2025.0</v>
      </c>
      <c r="E57" s="50"/>
      <c r="F57" s="51" t="str">
        <f t="shared" si="1"/>
        <v/>
      </c>
      <c r="G57" s="52"/>
      <c r="H57" s="51" t="s">
        <v>78</v>
      </c>
      <c r="I57" s="53"/>
      <c r="J57" s="53"/>
      <c r="K57" s="51" t="str">
        <f t="shared" si="2"/>
        <v>Pending</v>
      </c>
    </row>
    <row r="58" ht="15.75" customHeight="1">
      <c r="A58" s="48" t="str">
        <f>FACILITIES!A16</f>
        <v>F015</v>
      </c>
      <c r="B58" s="48" t="str">
        <f>FACILITIES!B16</f>
        <v>Nhà máy nhiệt điện Vĩnh Tân 4 - 4 Mở rộng - Chi nhánh Tập đoàn Điện lực Việt Nam</v>
      </c>
      <c r="C58" s="48" t="str">
        <f>FACILITIES!C16</f>
        <v/>
      </c>
      <c r="D58" s="49">
        <v>2022.0</v>
      </c>
      <c r="E58" s="50"/>
      <c r="F58" s="51" t="str">
        <f t="shared" si="1"/>
        <v/>
      </c>
      <c r="G58" s="52"/>
      <c r="H58" s="51" t="s">
        <v>78</v>
      </c>
      <c r="I58" s="53"/>
      <c r="J58" s="53"/>
      <c r="K58" s="51" t="str">
        <f t="shared" si="2"/>
        <v>Pending</v>
      </c>
    </row>
    <row r="59" ht="15.75" customHeight="1">
      <c r="A59" s="48" t="str">
        <f>FACILITIES!A16</f>
        <v>F015</v>
      </c>
      <c r="B59" s="48" t="str">
        <f>FACILITIES!B16</f>
        <v>Nhà máy nhiệt điện Vĩnh Tân 4 - 4 Mở rộng - Chi nhánh Tập đoàn Điện lực Việt Nam</v>
      </c>
      <c r="C59" s="48" t="str">
        <f>FACILITIES!C16</f>
        <v/>
      </c>
      <c r="D59" s="49">
        <v>2023.0</v>
      </c>
      <c r="E59" s="50"/>
      <c r="F59" s="51" t="str">
        <f t="shared" si="1"/>
        <v/>
      </c>
      <c r="G59" s="52"/>
      <c r="H59" s="51" t="s">
        <v>78</v>
      </c>
      <c r="I59" s="53"/>
      <c r="J59" s="53"/>
      <c r="K59" s="51" t="str">
        <f t="shared" si="2"/>
        <v>Pending</v>
      </c>
    </row>
    <row r="60" ht="15.75" customHeight="1">
      <c r="A60" s="48" t="str">
        <f>FACILITIES!A16</f>
        <v>F015</v>
      </c>
      <c r="B60" s="48" t="str">
        <f>FACILITIES!B16</f>
        <v>Nhà máy nhiệt điện Vĩnh Tân 4 - 4 Mở rộng - Chi nhánh Tập đoàn Điện lực Việt Nam</v>
      </c>
      <c r="C60" s="48" t="str">
        <f>FACILITIES!C16</f>
        <v/>
      </c>
      <c r="D60" s="49">
        <v>2024.0</v>
      </c>
      <c r="E60" s="50"/>
      <c r="F60" s="51" t="str">
        <f t="shared" si="1"/>
        <v/>
      </c>
      <c r="G60" s="52"/>
      <c r="H60" s="51" t="s">
        <v>78</v>
      </c>
      <c r="I60" s="53"/>
      <c r="J60" s="53"/>
      <c r="K60" s="51" t="str">
        <f t="shared" si="2"/>
        <v>Pending</v>
      </c>
    </row>
    <row r="61" ht="15.75" customHeight="1">
      <c r="A61" s="48" t="str">
        <f>FACILITIES!A16</f>
        <v>F015</v>
      </c>
      <c r="B61" s="48" t="str">
        <f>FACILITIES!B16</f>
        <v>Nhà máy nhiệt điện Vĩnh Tân 4 - 4 Mở rộng - Chi nhánh Tập đoàn Điện lực Việt Nam</v>
      </c>
      <c r="C61" s="48" t="str">
        <f>FACILITIES!C16</f>
        <v/>
      </c>
      <c r="D61" s="49">
        <v>2025.0</v>
      </c>
      <c r="E61" s="50"/>
      <c r="F61" s="51" t="str">
        <f t="shared" si="1"/>
        <v/>
      </c>
      <c r="G61" s="52"/>
      <c r="H61" s="51" t="s">
        <v>78</v>
      </c>
      <c r="I61" s="53"/>
      <c r="J61" s="53"/>
      <c r="K61" s="51" t="str">
        <f t="shared" si="2"/>
        <v>Pending</v>
      </c>
    </row>
    <row r="62" ht="15.75" customHeight="1">
      <c r="A62" s="48" t="str">
        <f>FACILITIES!A17</f>
        <v>F016</v>
      </c>
      <c r="B62" s="48" t="str">
        <f>FACILITIES!B17</f>
        <v>Nhà máy điện Diesel Phú Quý</v>
      </c>
      <c r="C62" s="48" t="str">
        <f>FACILITIES!C17</f>
        <v/>
      </c>
      <c r="D62" s="49">
        <v>2022.0</v>
      </c>
      <c r="E62" s="50"/>
      <c r="F62" s="51" t="str">
        <f t="shared" si="1"/>
        <v/>
      </c>
      <c r="G62" s="52"/>
      <c r="H62" s="51" t="s">
        <v>78</v>
      </c>
      <c r="I62" s="53"/>
      <c r="J62" s="53"/>
      <c r="K62" s="51" t="str">
        <f t="shared" si="2"/>
        <v>Pending</v>
      </c>
    </row>
    <row r="63" ht="15.75" customHeight="1">
      <c r="A63" s="48" t="str">
        <f>FACILITIES!A17</f>
        <v>F016</v>
      </c>
      <c r="B63" s="48" t="str">
        <f>FACILITIES!B17</f>
        <v>Nhà máy điện Diesel Phú Quý</v>
      </c>
      <c r="C63" s="48" t="str">
        <f>FACILITIES!C17</f>
        <v/>
      </c>
      <c r="D63" s="49">
        <v>2023.0</v>
      </c>
      <c r="E63" s="50"/>
      <c r="F63" s="51" t="str">
        <f t="shared" si="1"/>
        <v/>
      </c>
      <c r="G63" s="52"/>
      <c r="H63" s="51" t="s">
        <v>78</v>
      </c>
      <c r="I63" s="53"/>
      <c r="J63" s="53"/>
      <c r="K63" s="51" t="str">
        <f t="shared" si="2"/>
        <v>Pending</v>
      </c>
    </row>
    <row r="64" ht="15.75" customHeight="1">
      <c r="A64" s="48" t="str">
        <f>FACILITIES!A17</f>
        <v>F016</v>
      </c>
      <c r="B64" s="48" t="str">
        <f>FACILITIES!B17</f>
        <v>Nhà máy điện Diesel Phú Quý</v>
      </c>
      <c r="C64" s="48" t="str">
        <f>FACILITIES!C17</f>
        <v/>
      </c>
      <c r="D64" s="49">
        <v>2024.0</v>
      </c>
      <c r="E64" s="50"/>
      <c r="F64" s="51" t="str">
        <f t="shared" si="1"/>
        <v/>
      </c>
      <c r="G64" s="52"/>
      <c r="H64" s="51" t="s">
        <v>78</v>
      </c>
      <c r="I64" s="53"/>
      <c r="J64" s="53"/>
      <c r="K64" s="51" t="str">
        <f t="shared" si="2"/>
        <v>Pending</v>
      </c>
    </row>
    <row r="65" ht="15.75" customHeight="1">
      <c r="A65" s="48" t="str">
        <f>FACILITIES!A17</f>
        <v>F016</v>
      </c>
      <c r="B65" s="48" t="str">
        <f>FACILITIES!B17</f>
        <v>Nhà máy điện Diesel Phú Quý</v>
      </c>
      <c r="C65" s="48" t="str">
        <f>FACILITIES!C17</f>
        <v/>
      </c>
      <c r="D65" s="49">
        <v>2025.0</v>
      </c>
      <c r="E65" s="50"/>
      <c r="F65" s="51" t="str">
        <f t="shared" si="1"/>
        <v/>
      </c>
      <c r="G65" s="52"/>
      <c r="H65" s="51" t="s">
        <v>78</v>
      </c>
      <c r="I65" s="53"/>
      <c r="J65" s="53"/>
      <c r="K65" s="51" t="str">
        <f t="shared" si="2"/>
        <v>Pending</v>
      </c>
    </row>
    <row r="66" ht="15.75" customHeight="1">
      <c r="A66" s="48" t="str">
        <f>FACILITIES!A18</f>
        <v>F017</v>
      </c>
      <c r="B66" s="48" t="str">
        <f>FACILITIES!B18</f>
        <v>Nhà máy nhiệt điện Phú Mỹ 1 - Công ty Nhiệt điện Phú Mỹ</v>
      </c>
      <c r="C66" s="48" t="str">
        <f>FACILITIES!C18</f>
        <v/>
      </c>
      <c r="D66" s="49">
        <v>2022.0</v>
      </c>
      <c r="E66" s="50"/>
      <c r="F66" s="51" t="str">
        <f t="shared" si="1"/>
        <v/>
      </c>
      <c r="G66" s="52"/>
      <c r="H66" s="51" t="s">
        <v>78</v>
      </c>
      <c r="I66" s="53"/>
      <c r="J66" s="53"/>
      <c r="K66" s="51" t="str">
        <f t="shared" si="2"/>
        <v>Pending</v>
      </c>
    </row>
    <row r="67" ht="15.75" customHeight="1">
      <c r="A67" s="48" t="str">
        <f>FACILITIES!A18</f>
        <v>F017</v>
      </c>
      <c r="B67" s="48" t="str">
        <f>FACILITIES!B18</f>
        <v>Nhà máy nhiệt điện Phú Mỹ 1 - Công ty Nhiệt điện Phú Mỹ</v>
      </c>
      <c r="C67" s="48" t="str">
        <f>FACILITIES!C18</f>
        <v/>
      </c>
      <c r="D67" s="49">
        <v>2023.0</v>
      </c>
      <c r="E67" s="50"/>
      <c r="F67" s="51" t="str">
        <f t="shared" si="1"/>
        <v/>
      </c>
      <c r="G67" s="52"/>
      <c r="H67" s="51" t="s">
        <v>78</v>
      </c>
      <c r="I67" s="53"/>
      <c r="J67" s="53"/>
      <c r="K67" s="51" t="str">
        <f t="shared" si="2"/>
        <v>Pending</v>
      </c>
    </row>
    <row r="68" ht="15.75" customHeight="1">
      <c r="A68" s="48" t="str">
        <f>FACILITIES!A18</f>
        <v>F017</v>
      </c>
      <c r="B68" s="48" t="str">
        <f>FACILITIES!B18</f>
        <v>Nhà máy nhiệt điện Phú Mỹ 1 - Công ty Nhiệt điện Phú Mỹ</v>
      </c>
      <c r="C68" s="48" t="str">
        <f>FACILITIES!C18</f>
        <v/>
      </c>
      <c r="D68" s="49">
        <v>2024.0</v>
      </c>
      <c r="E68" s="50"/>
      <c r="F68" s="51" t="str">
        <f t="shared" si="1"/>
        <v/>
      </c>
      <c r="G68" s="52"/>
      <c r="H68" s="51" t="s">
        <v>78</v>
      </c>
      <c r="I68" s="53"/>
      <c r="J68" s="53"/>
      <c r="K68" s="51" t="str">
        <f t="shared" si="2"/>
        <v>Pending</v>
      </c>
    </row>
    <row r="69" ht="15.75" customHeight="1">
      <c r="A69" s="48" t="str">
        <f>FACILITIES!A18</f>
        <v>F017</v>
      </c>
      <c r="B69" s="48" t="str">
        <f>FACILITIES!B18</f>
        <v>Nhà máy nhiệt điện Phú Mỹ 1 - Công ty Nhiệt điện Phú Mỹ</v>
      </c>
      <c r="C69" s="48" t="str">
        <f>FACILITIES!C18</f>
        <v/>
      </c>
      <c r="D69" s="49">
        <v>2025.0</v>
      </c>
      <c r="E69" s="50"/>
      <c r="F69" s="51" t="str">
        <f t="shared" si="1"/>
        <v/>
      </c>
      <c r="G69" s="52"/>
      <c r="H69" s="51" t="s">
        <v>78</v>
      </c>
      <c r="I69" s="53"/>
      <c r="J69" s="53"/>
      <c r="K69" s="51" t="str">
        <f t="shared" si="2"/>
        <v>Pending</v>
      </c>
    </row>
    <row r="70" ht="15.75" customHeight="1">
      <c r="A70" s="48" t="str">
        <f>FACILITIES!A19</f>
        <v>F018</v>
      </c>
      <c r="B70" s="48" t="str">
        <f>FACILITIES!B19</f>
        <v>Nhà máy nhiệt điện Phú Mỹ 2,1 và Phú Mỹ 2,1 mở rộng - Công ty Nhiệt điện Phú Mỹ</v>
      </c>
      <c r="C70" s="48" t="str">
        <f>FACILITIES!C19</f>
        <v/>
      </c>
      <c r="D70" s="49">
        <v>2022.0</v>
      </c>
      <c r="E70" s="50"/>
      <c r="F70" s="51" t="str">
        <f t="shared" si="1"/>
        <v/>
      </c>
      <c r="G70" s="52"/>
      <c r="H70" s="51" t="s">
        <v>78</v>
      </c>
      <c r="I70" s="53"/>
      <c r="J70" s="53"/>
      <c r="K70" s="51" t="str">
        <f t="shared" si="2"/>
        <v>Pending</v>
      </c>
    </row>
    <row r="71" ht="15.75" customHeight="1">
      <c r="A71" s="48" t="str">
        <f>FACILITIES!A19</f>
        <v>F018</v>
      </c>
      <c r="B71" s="48" t="str">
        <f>FACILITIES!B19</f>
        <v>Nhà máy nhiệt điện Phú Mỹ 2,1 và Phú Mỹ 2,1 mở rộng - Công ty Nhiệt điện Phú Mỹ</v>
      </c>
      <c r="C71" s="48" t="str">
        <f>FACILITIES!C19</f>
        <v/>
      </c>
      <c r="D71" s="49">
        <v>2023.0</v>
      </c>
      <c r="E71" s="50"/>
      <c r="F71" s="51" t="str">
        <f t="shared" si="1"/>
        <v/>
      </c>
      <c r="G71" s="52"/>
      <c r="H71" s="51" t="s">
        <v>78</v>
      </c>
      <c r="I71" s="53"/>
      <c r="J71" s="53"/>
      <c r="K71" s="51" t="str">
        <f t="shared" si="2"/>
        <v>Pending</v>
      </c>
    </row>
    <row r="72" ht="15.75" customHeight="1">
      <c r="A72" s="48" t="str">
        <f>FACILITIES!A19</f>
        <v>F018</v>
      </c>
      <c r="B72" s="48" t="str">
        <f>FACILITIES!B19</f>
        <v>Nhà máy nhiệt điện Phú Mỹ 2,1 và Phú Mỹ 2,1 mở rộng - Công ty Nhiệt điện Phú Mỹ</v>
      </c>
      <c r="C72" s="48" t="str">
        <f>FACILITIES!C19</f>
        <v/>
      </c>
      <c r="D72" s="49">
        <v>2024.0</v>
      </c>
      <c r="E72" s="50"/>
      <c r="F72" s="51" t="str">
        <f t="shared" si="1"/>
        <v/>
      </c>
      <c r="G72" s="52"/>
      <c r="H72" s="51" t="s">
        <v>78</v>
      </c>
      <c r="I72" s="53"/>
      <c r="J72" s="53"/>
      <c r="K72" s="51" t="str">
        <f t="shared" si="2"/>
        <v>Pending</v>
      </c>
    </row>
    <row r="73" ht="15.75" customHeight="1">
      <c r="A73" s="48" t="str">
        <f>FACILITIES!A19</f>
        <v>F018</v>
      </c>
      <c r="B73" s="48" t="str">
        <f>FACILITIES!B19</f>
        <v>Nhà máy nhiệt điện Phú Mỹ 2,1 và Phú Mỹ 2,1 mở rộng - Công ty Nhiệt điện Phú Mỹ</v>
      </c>
      <c r="C73" s="48" t="str">
        <f>FACILITIES!C19</f>
        <v/>
      </c>
      <c r="D73" s="49">
        <v>2025.0</v>
      </c>
      <c r="E73" s="50"/>
      <c r="F73" s="51" t="str">
        <f t="shared" si="1"/>
        <v/>
      </c>
      <c r="G73" s="52"/>
      <c r="H73" s="51" t="s">
        <v>78</v>
      </c>
      <c r="I73" s="53"/>
      <c r="J73" s="53"/>
      <c r="K73" s="51" t="str">
        <f t="shared" si="2"/>
        <v>Pending</v>
      </c>
    </row>
    <row r="74" ht="15.75" customHeight="1">
      <c r="A74" s="48" t="str">
        <f>FACILITIES!A20</f>
        <v>F019</v>
      </c>
      <c r="B74" s="48" t="str">
        <f>FACILITIES!B20</f>
        <v>Nhà máy nhiệt điện Phú Mỹ 4 - Công ty Nhiệt điện Phú Mỹ</v>
      </c>
      <c r="C74" s="48" t="str">
        <f>FACILITIES!C20</f>
        <v/>
      </c>
      <c r="D74" s="49">
        <v>2022.0</v>
      </c>
      <c r="E74" s="50"/>
      <c r="F74" s="51" t="str">
        <f t="shared" si="1"/>
        <v/>
      </c>
      <c r="G74" s="52"/>
      <c r="H74" s="51" t="s">
        <v>78</v>
      </c>
      <c r="I74" s="53"/>
      <c r="J74" s="53"/>
      <c r="K74" s="51" t="str">
        <f t="shared" si="2"/>
        <v>Pending</v>
      </c>
    </row>
    <row r="75" ht="15.75" customHeight="1">
      <c r="A75" s="48" t="str">
        <f>FACILITIES!A20</f>
        <v>F019</v>
      </c>
      <c r="B75" s="48" t="str">
        <f>FACILITIES!B20</f>
        <v>Nhà máy nhiệt điện Phú Mỹ 4 - Công ty Nhiệt điện Phú Mỹ</v>
      </c>
      <c r="C75" s="48" t="str">
        <f>FACILITIES!C20</f>
        <v/>
      </c>
      <c r="D75" s="49">
        <v>2023.0</v>
      </c>
      <c r="E75" s="50"/>
      <c r="F75" s="51" t="str">
        <f t="shared" si="1"/>
        <v/>
      </c>
      <c r="G75" s="52"/>
      <c r="H75" s="51" t="s">
        <v>78</v>
      </c>
      <c r="I75" s="53"/>
      <c r="J75" s="53"/>
      <c r="K75" s="51" t="str">
        <f t="shared" si="2"/>
        <v>Pending</v>
      </c>
    </row>
    <row r="76" ht="15.75" customHeight="1">
      <c r="A76" s="48" t="str">
        <f>FACILITIES!A20</f>
        <v>F019</v>
      </c>
      <c r="B76" s="48" t="str">
        <f>FACILITIES!B20</f>
        <v>Nhà máy nhiệt điện Phú Mỹ 4 - Công ty Nhiệt điện Phú Mỹ</v>
      </c>
      <c r="C76" s="48" t="str">
        <f>FACILITIES!C20</f>
        <v/>
      </c>
      <c r="D76" s="49">
        <v>2024.0</v>
      </c>
      <c r="E76" s="50"/>
      <c r="F76" s="51" t="str">
        <f t="shared" si="1"/>
        <v/>
      </c>
      <c r="G76" s="52"/>
      <c r="H76" s="51" t="s">
        <v>78</v>
      </c>
      <c r="I76" s="53"/>
      <c r="J76" s="53"/>
      <c r="K76" s="51" t="str">
        <f t="shared" si="2"/>
        <v>Pending</v>
      </c>
    </row>
    <row r="77" ht="15.75" customHeight="1">
      <c r="A77" s="48" t="str">
        <f>FACILITIES!A20</f>
        <v>F019</v>
      </c>
      <c r="B77" s="48" t="str">
        <f>FACILITIES!B20</f>
        <v>Nhà máy nhiệt điện Phú Mỹ 4 - Công ty Nhiệt điện Phú Mỹ</v>
      </c>
      <c r="C77" s="48" t="str">
        <f>FACILITIES!C20</f>
        <v/>
      </c>
      <c r="D77" s="49">
        <v>2025.0</v>
      </c>
      <c r="E77" s="50"/>
      <c r="F77" s="51" t="str">
        <f t="shared" si="1"/>
        <v/>
      </c>
      <c r="G77" s="52"/>
      <c r="H77" s="51" t="s">
        <v>78</v>
      </c>
      <c r="I77" s="53"/>
      <c r="J77" s="53"/>
      <c r="K77" s="51" t="str">
        <f t="shared" si="2"/>
        <v>Pending</v>
      </c>
    </row>
    <row r="78" ht="15.75" customHeight="1">
      <c r="A78" s="48" t="str">
        <f>FACILITIES!A21</f>
        <v>F020</v>
      </c>
      <c r="B78" s="48" t="str">
        <f>FACILITIES!B21</f>
        <v>Công ty Cổ phần Nhiệt điện Bà Rịa</v>
      </c>
      <c r="C78" s="48" t="str">
        <f>FACILITIES!C21</f>
        <v/>
      </c>
      <c r="D78" s="49">
        <v>2022.0</v>
      </c>
      <c r="E78" s="50"/>
      <c r="F78" s="51" t="str">
        <f t="shared" si="1"/>
        <v/>
      </c>
      <c r="G78" s="52"/>
      <c r="H78" s="51" t="s">
        <v>78</v>
      </c>
      <c r="I78" s="53"/>
      <c r="J78" s="53"/>
      <c r="K78" s="51" t="str">
        <f t="shared" si="2"/>
        <v>Pending</v>
      </c>
    </row>
    <row r="79" ht="15.75" customHeight="1">
      <c r="A79" s="48" t="str">
        <f>FACILITIES!A21</f>
        <v>F020</v>
      </c>
      <c r="B79" s="48" t="str">
        <f>FACILITIES!B21</f>
        <v>Công ty Cổ phần Nhiệt điện Bà Rịa</v>
      </c>
      <c r="C79" s="48" t="str">
        <f>FACILITIES!C21</f>
        <v/>
      </c>
      <c r="D79" s="49">
        <v>2023.0</v>
      </c>
      <c r="E79" s="50"/>
      <c r="F79" s="51" t="str">
        <f t="shared" si="1"/>
        <v/>
      </c>
      <c r="G79" s="52"/>
      <c r="H79" s="51" t="s">
        <v>78</v>
      </c>
      <c r="I79" s="53"/>
      <c r="J79" s="53"/>
      <c r="K79" s="51" t="str">
        <f t="shared" si="2"/>
        <v>Pending</v>
      </c>
    </row>
    <row r="80" ht="15.75" customHeight="1">
      <c r="A80" s="48" t="str">
        <f>FACILITIES!A21</f>
        <v>F020</v>
      </c>
      <c r="B80" s="48" t="str">
        <f>FACILITIES!B21</f>
        <v>Công ty Cổ phần Nhiệt điện Bà Rịa</v>
      </c>
      <c r="C80" s="48" t="str">
        <f>FACILITIES!C21</f>
        <v/>
      </c>
      <c r="D80" s="49">
        <v>2024.0</v>
      </c>
      <c r="E80" s="50"/>
      <c r="F80" s="51" t="str">
        <f t="shared" si="1"/>
        <v/>
      </c>
      <c r="G80" s="52"/>
      <c r="H80" s="51" t="s">
        <v>78</v>
      </c>
      <c r="I80" s="53"/>
      <c r="J80" s="53"/>
      <c r="K80" s="51" t="str">
        <f t="shared" si="2"/>
        <v>Pending</v>
      </c>
    </row>
    <row r="81" ht="15.75" customHeight="1">
      <c r="A81" s="48" t="str">
        <f>FACILITIES!A21</f>
        <v>F020</v>
      </c>
      <c r="B81" s="48" t="str">
        <f>FACILITIES!B21</f>
        <v>Công ty Cổ phần Nhiệt điện Bà Rịa</v>
      </c>
      <c r="C81" s="48" t="str">
        <f>FACILITIES!C21</f>
        <v/>
      </c>
      <c r="D81" s="49">
        <v>2025.0</v>
      </c>
      <c r="E81" s="50"/>
      <c r="F81" s="51" t="str">
        <f t="shared" si="1"/>
        <v/>
      </c>
      <c r="G81" s="52"/>
      <c r="H81" s="51" t="s">
        <v>78</v>
      </c>
      <c r="I81" s="53"/>
      <c r="J81" s="53"/>
      <c r="K81" s="51" t="str">
        <f t="shared" si="2"/>
        <v>Pending</v>
      </c>
    </row>
    <row r="82" ht="15.75" customHeight="1">
      <c r="A82" s="48" t="str">
        <f>FACILITIES!A22</f>
        <v>F021</v>
      </c>
      <c r="B82" s="48" t="str">
        <f>FACILITIES!B22</f>
        <v>Nhà máy Điện An Hội</v>
      </c>
      <c r="C82" s="48" t="str">
        <f>FACILITIES!C22</f>
        <v/>
      </c>
      <c r="D82" s="49">
        <v>2022.0</v>
      </c>
      <c r="E82" s="50"/>
      <c r="F82" s="51" t="str">
        <f t="shared" si="1"/>
        <v/>
      </c>
      <c r="G82" s="52"/>
      <c r="H82" s="51" t="s">
        <v>78</v>
      </c>
      <c r="I82" s="53"/>
      <c r="J82" s="53"/>
      <c r="K82" s="51" t="str">
        <f t="shared" si="2"/>
        <v>Pending</v>
      </c>
    </row>
    <row r="83" ht="15.75" customHeight="1">
      <c r="A83" s="48" t="str">
        <f>FACILITIES!A22</f>
        <v>F021</v>
      </c>
      <c r="B83" s="48" t="str">
        <f>FACILITIES!B22</f>
        <v>Nhà máy Điện An Hội</v>
      </c>
      <c r="C83" s="48" t="str">
        <f>FACILITIES!C22</f>
        <v/>
      </c>
      <c r="D83" s="49">
        <v>2023.0</v>
      </c>
      <c r="E83" s="50"/>
      <c r="F83" s="51" t="str">
        <f t="shared" si="1"/>
        <v/>
      </c>
      <c r="G83" s="52"/>
      <c r="H83" s="51" t="s">
        <v>78</v>
      </c>
      <c r="I83" s="53"/>
      <c r="J83" s="53"/>
      <c r="K83" s="51" t="str">
        <f t="shared" si="2"/>
        <v>Pending</v>
      </c>
    </row>
    <row r="84" ht="15.75" customHeight="1">
      <c r="A84" s="48" t="str">
        <f>FACILITIES!A22</f>
        <v>F021</v>
      </c>
      <c r="B84" s="48" t="str">
        <f>FACILITIES!B22</f>
        <v>Nhà máy Điện An Hội</v>
      </c>
      <c r="C84" s="48" t="str">
        <f>FACILITIES!C22</f>
        <v/>
      </c>
      <c r="D84" s="49">
        <v>2024.0</v>
      </c>
      <c r="E84" s="50"/>
      <c r="F84" s="51" t="str">
        <f t="shared" si="1"/>
        <v/>
      </c>
      <c r="G84" s="52"/>
      <c r="H84" s="51" t="s">
        <v>78</v>
      </c>
      <c r="I84" s="53"/>
      <c r="J84" s="53"/>
      <c r="K84" s="51" t="str">
        <f t="shared" si="2"/>
        <v>Pending</v>
      </c>
    </row>
    <row r="85" ht="15.75" customHeight="1">
      <c r="A85" s="48" t="str">
        <f>FACILITIES!A22</f>
        <v>F021</v>
      </c>
      <c r="B85" s="48" t="str">
        <f>FACILITIES!B22</f>
        <v>Nhà máy Điện An Hội</v>
      </c>
      <c r="C85" s="48" t="str">
        <f>FACILITIES!C22</f>
        <v/>
      </c>
      <c r="D85" s="49">
        <v>2025.0</v>
      </c>
      <c r="E85" s="50"/>
      <c r="F85" s="51" t="str">
        <f t="shared" si="1"/>
        <v/>
      </c>
      <c r="G85" s="52"/>
      <c r="H85" s="51" t="s">
        <v>78</v>
      </c>
      <c r="I85" s="53"/>
      <c r="J85" s="53"/>
      <c r="K85" s="51" t="str">
        <f t="shared" si="2"/>
        <v>Pending</v>
      </c>
    </row>
    <row r="86" ht="15.75" customHeight="1">
      <c r="A86" s="48" t="str">
        <f>FACILITIES!A23</f>
        <v>F022</v>
      </c>
      <c r="B86" s="48" t="str">
        <f>FACILITIES!B23</f>
        <v>Chi nhánh Tổng Công ty Điện lực Dầu khí Việt Nam - Công ty Cổ phần - Công ty Điện lục Dầu khí Nhơn Trạch</v>
      </c>
      <c r="C86" s="48" t="str">
        <f>FACILITIES!C23</f>
        <v/>
      </c>
      <c r="D86" s="49">
        <v>2022.0</v>
      </c>
      <c r="E86" s="50"/>
      <c r="F86" s="51" t="str">
        <f t="shared" si="1"/>
        <v/>
      </c>
      <c r="G86" s="52"/>
      <c r="H86" s="51" t="s">
        <v>78</v>
      </c>
      <c r="I86" s="53"/>
      <c r="J86" s="53"/>
      <c r="K86" s="51" t="str">
        <f t="shared" si="2"/>
        <v>Pending</v>
      </c>
    </row>
    <row r="87" ht="15.75" customHeight="1">
      <c r="A87" s="48" t="str">
        <f>FACILITIES!A23</f>
        <v>F022</v>
      </c>
      <c r="B87" s="48" t="str">
        <f>FACILITIES!B23</f>
        <v>Chi nhánh Tổng Công ty Điện lực Dầu khí Việt Nam - Công ty Cổ phần - Công ty Điện lục Dầu khí Nhơn Trạch</v>
      </c>
      <c r="C87" s="48" t="str">
        <f>FACILITIES!C23</f>
        <v/>
      </c>
      <c r="D87" s="49">
        <v>2023.0</v>
      </c>
      <c r="E87" s="50"/>
      <c r="F87" s="51" t="str">
        <f t="shared" si="1"/>
        <v/>
      </c>
      <c r="G87" s="52"/>
      <c r="H87" s="51" t="s">
        <v>78</v>
      </c>
      <c r="I87" s="53"/>
      <c r="J87" s="53"/>
      <c r="K87" s="51" t="str">
        <f t="shared" si="2"/>
        <v>Pending</v>
      </c>
    </row>
    <row r="88" ht="15.75" customHeight="1">
      <c r="A88" s="48" t="str">
        <f>FACILITIES!A23</f>
        <v>F022</v>
      </c>
      <c r="B88" s="48" t="str">
        <f>FACILITIES!B23</f>
        <v>Chi nhánh Tổng Công ty Điện lực Dầu khí Việt Nam - Công ty Cổ phần - Công ty Điện lục Dầu khí Nhơn Trạch</v>
      </c>
      <c r="C88" s="48" t="str">
        <f>FACILITIES!C23</f>
        <v/>
      </c>
      <c r="D88" s="49">
        <v>2024.0</v>
      </c>
      <c r="E88" s="50"/>
      <c r="F88" s="51" t="str">
        <f t="shared" si="1"/>
        <v/>
      </c>
      <c r="G88" s="52"/>
      <c r="H88" s="51" t="s">
        <v>78</v>
      </c>
      <c r="I88" s="53"/>
      <c r="J88" s="53"/>
      <c r="K88" s="51" t="str">
        <f t="shared" si="2"/>
        <v>Pending</v>
      </c>
    </row>
    <row r="89" ht="15.75" customHeight="1">
      <c r="A89" s="48" t="str">
        <f>FACILITIES!A23</f>
        <v>F022</v>
      </c>
      <c r="B89" s="48" t="str">
        <f>FACILITIES!B23</f>
        <v>Chi nhánh Tổng Công ty Điện lực Dầu khí Việt Nam - Công ty Cổ phần - Công ty Điện lục Dầu khí Nhơn Trạch</v>
      </c>
      <c r="C89" s="48" t="str">
        <f>FACILITIES!C23</f>
        <v/>
      </c>
      <c r="D89" s="49">
        <v>2025.0</v>
      </c>
      <c r="E89" s="50"/>
      <c r="F89" s="51" t="str">
        <f t="shared" si="1"/>
        <v/>
      </c>
      <c r="G89" s="52"/>
      <c r="H89" s="51" t="s">
        <v>78</v>
      </c>
      <c r="I89" s="53"/>
      <c r="J89" s="53"/>
      <c r="K89" s="51" t="str">
        <f t="shared" si="2"/>
        <v>Pending</v>
      </c>
    </row>
    <row r="90" ht="15.75" customHeight="1">
      <c r="A90" s="48" t="str">
        <f>FACILITIES!A24</f>
        <v>F023</v>
      </c>
      <c r="B90" s="48" t="str">
        <f>FACILITIES!B24</f>
        <v>Nhà máy nhiệt điện VEDAN</v>
      </c>
      <c r="C90" s="48" t="str">
        <f>FACILITIES!C24</f>
        <v/>
      </c>
      <c r="D90" s="49">
        <v>2022.0</v>
      </c>
      <c r="E90" s="50"/>
      <c r="F90" s="51" t="str">
        <f t="shared" si="1"/>
        <v/>
      </c>
      <c r="G90" s="52"/>
      <c r="H90" s="51" t="s">
        <v>78</v>
      </c>
      <c r="I90" s="53"/>
      <c r="J90" s="53"/>
      <c r="K90" s="51" t="str">
        <f t="shared" si="2"/>
        <v>Pending</v>
      </c>
    </row>
    <row r="91" ht="15.75" customHeight="1">
      <c r="A91" s="48" t="str">
        <f>FACILITIES!A24</f>
        <v>F023</v>
      </c>
      <c r="B91" s="48" t="str">
        <f>FACILITIES!B24</f>
        <v>Nhà máy nhiệt điện VEDAN</v>
      </c>
      <c r="C91" s="48" t="str">
        <f>FACILITIES!C24</f>
        <v/>
      </c>
      <c r="D91" s="49">
        <v>2023.0</v>
      </c>
      <c r="E91" s="50"/>
      <c r="F91" s="51" t="str">
        <f t="shared" si="1"/>
        <v/>
      </c>
      <c r="G91" s="52"/>
      <c r="H91" s="51" t="s">
        <v>78</v>
      </c>
      <c r="I91" s="53"/>
      <c r="J91" s="53"/>
      <c r="K91" s="51" t="str">
        <f t="shared" si="2"/>
        <v>Pending</v>
      </c>
    </row>
    <row r="92" ht="15.75" customHeight="1">
      <c r="A92" s="48" t="str">
        <f>FACILITIES!A24</f>
        <v>F023</v>
      </c>
      <c r="B92" s="48" t="str">
        <f>FACILITIES!B24</f>
        <v>Nhà máy nhiệt điện VEDAN</v>
      </c>
      <c r="C92" s="48" t="str">
        <f>FACILITIES!C24</f>
        <v/>
      </c>
      <c r="D92" s="49">
        <v>2024.0</v>
      </c>
      <c r="E92" s="50"/>
      <c r="F92" s="51" t="str">
        <f t="shared" si="1"/>
        <v/>
      </c>
      <c r="G92" s="52"/>
      <c r="H92" s="51" t="s">
        <v>78</v>
      </c>
      <c r="I92" s="53"/>
      <c r="J92" s="53"/>
      <c r="K92" s="51" t="str">
        <f t="shared" si="2"/>
        <v>Pending</v>
      </c>
    </row>
    <row r="93" ht="15.75" customHeight="1">
      <c r="A93" s="48" t="str">
        <f>FACILITIES!A24</f>
        <v>F023</v>
      </c>
      <c r="B93" s="48" t="str">
        <f>FACILITIES!B24</f>
        <v>Nhà máy nhiệt điện VEDAN</v>
      </c>
      <c r="C93" s="48" t="str">
        <f>FACILITIES!C24</f>
        <v/>
      </c>
      <c r="D93" s="49">
        <v>2025.0</v>
      </c>
      <c r="E93" s="50"/>
      <c r="F93" s="51" t="str">
        <f t="shared" si="1"/>
        <v/>
      </c>
      <c r="G93" s="52"/>
      <c r="H93" s="51" t="s">
        <v>78</v>
      </c>
      <c r="I93" s="53"/>
      <c r="J93" s="53"/>
      <c r="K93" s="51" t="str">
        <f t="shared" si="2"/>
        <v>Pending</v>
      </c>
    </row>
    <row r="94" ht="15.75" customHeight="1">
      <c r="A94" s="48" t="str">
        <f>FACILITIES!A25</f>
        <v>F024</v>
      </c>
      <c r="B94" s="48" t="str">
        <f>FACILITIES!B25</f>
        <v>Nhà máy nhiệt điện Amata</v>
      </c>
      <c r="C94" s="48" t="str">
        <f>FACILITIES!C25</f>
        <v/>
      </c>
      <c r="D94" s="49">
        <v>2022.0</v>
      </c>
      <c r="E94" s="50"/>
      <c r="F94" s="51" t="str">
        <f t="shared" si="1"/>
        <v/>
      </c>
      <c r="G94" s="52"/>
      <c r="H94" s="51" t="s">
        <v>78</v>
      </c>
      <c r="I94" s="53"/>
      <c r="J94" s="53"/>
      <c r="K94" s="51" t="str">
        <f t="shared" si="2"/>
        <v>Pending</v>
      </c>
    </row>
    <row r="95" ht="15.75" customHeight="1">
      <c r="A95" s="48" t="str">
        <f>FACILITIES!A25</f>
        <v>F024</v>
      </c>
      <c r="B95" s="48" t="str">
        <f>FACILITIES!B25</f>
        <v>Nhà máy nhiệt điện Amata</v>
      </c>
      <c r="C95" s="48" t="str">
        <f>FACILITIES!C25</f>
        <v/>
      </c>
      <c r="D95" s="49">
        <v>2023.0</v>
      </c>
      <c r="E95" s="50"/>
      <c r="F95" s="51" t="str">
        <f t="shared" si="1"/>
        <v/>
      </c>
      <c r="G95" s="52"/>
      <c r="H95" s="51" t="s">
        <v>78</v>
      </c>
      <c r="I95" s="53"/>
      <c r="J95" s="53"/>
      <c r="K95" s="51" t="str">
        <f t="shared" si="2"/>
        <v>Pending</v>
      </c>
    </row>
    <row r="96" ht="15.75" customHeight="1">
      <c r="A96" s="48" t="str">
        <f>FACILITIES!A25</f>
        <v>F024</v>
      </c>
      <c r="B96" s="48" t="str">
        <f>FACILITIES!B25</f>
        <v>Nhà máy nhiệt điện Amata</v>
      </c>
      <c r="C96" s="48" t="str">
        <f>FACILITIES!C25</f>
        <v/>
      </c>
      <c r="D96" s="49">
        <v>2024.0</v>
      </c>
      <c r="E96" s="50"/>
      <c r="F96" s="51" t="str">
        <f t="shared" si="1"/>
        <v/>
      </c>
      <c r="G96" s="52"/>
      <c r="H96" s="51" t="s">
        <v>78</v>
      </c>
      <c r="I96" s="53"/>
      <c r="J96" s="53"/>
      <c r="K96" s="51" t="str">
        <f t="shared" si="2"/>
        <v>Pending</v>
      </c>
    </row>
    <row r="97" ht="15.75" customHeight="1">
      <c r="A97" s="48" t="str">
        <f>FACILITIES!A25</f>
        <v>F024</v>
      </c>
      <c r="B97" s="48" t="str">
        <f>FACILITIES!B25</f>
        <v>Nhà máy nhiệt điện Amata</v>
      </c>
      <c r="C97" s="48" t="str">
        <f>FACILITIES!C25</f>
        <v/>
      </c>
      <c r="D97" s="49">
        <v>2025.0</v>
      </c>
      <c r="E97" s="50"/>
      <c r="F97" s="51" t="str">
        <f t="shared" si="1"/>
        <v/>
      </c>
      <c r="G97" s="52"/>
      <c r="H97" s="51" t="s">
        <v>78</v>
      </c>
      <c r="I97" s="53"/>
      <c r="J97" s="53"/>
      <c r="K97" s="51" t="str">
        <f t="shared" si="2"/>
        <v>Pending</v>
      </c>
    </row>
    <row r="98" ht="15.75" customHeight="1">
      <c r="A98" s="48" t="str">
        <f>FACILITIES!A26</f>
        <v>F025</v>
      </c>
      <c r="B98" s="48" t="str">
        <f>FACILITIES!B26</f>
        <v>Nhà máy nhiệt điện Nhơn Trạch 2</v>
      </c>
      <c r="C98" s="48" t="str">
        <f>FACILITIES!C26</f>
        <v/>
      </c>
      <c r="D98" s="49">
        <v>2022.0</v>
      </c>
      <c r="E98" s="50"/>
      <c r="F98" s="51" t="str">
        <f t="shared" si="1"/>
        <v/>
      </c>
      <c r="G98" s="52"/>
      <c r="H98" s="51" t="s">
        <v>78</v>
      </c>
      <c r="I98" s="53"/>
      <c r="J98" s="53"/>
      <c r="K98" s="51" t="str">
        <f t="shared" si="2"/>
        <v>Pending</v>
      </c>
    </row>
    <row r="99" ht="15.75" customHeight="1">
      <c r="A99" s="48" t="str">
        <f>FACILITIES!A26</f>
        <v>F025</v>
      </c>
      <c r="B99" s="48" t="str">
        <f>FACILITIES!B26</f>
        <v>Nhà máy nhiệt điện Nhơn Trạch 2</v>
      </c>
      <c r="C99" s="48" t="str">
        <f>FACILITIES!C26</f>
        <v/>
      </c>
      <c r="D99" s="49">
        <v>2023.0</v>
      </c>
      <c r="E99" s="50"/>
      <c r="F99" s="51" t="str">
        <f t="shared" si="1"/>
        <v/>
      </c>
      <c r="G99" s="52"/>
      <c r="H99" s="51" t="s">
        <v>78</v>
      </c>
      <c r="I99" s="53"/>
      <c r="J99" s="53"/>
      <c r="K99" s="51" t="str">
        <f t="shared" si="2"/>
        <v>Pending</v>
      </c>
    </row>
    <row r="100" ht="15.75" customHeight="1">
      <c r="A100" s="48" t="str">
        <f>FACILITIES!A26</f>
        <v>F025</v>
      </c>
      <c r="B100" s="48" t="str">
        <f>FACILITIES!B26</f>
        <v>Nhà máy nhiệt điện Nhơn Trạch 2</v>
      </c>
      <c r="C100" s="48" t="str">
        <f>FACILITIES!C26</f>
        <v/>
      </c>
      <c r="D100" s="49">
        <v>2024.0</v>
      </c>
      <c r="E100" s="50"/>
      <c r="F100" s="51" t="str">
        <f t="shared" si="1"/>
        <v/>
      </c>
      <c r="G100" s="52"/>
      <c r="H100" s="51" t="s">
        <v>78</v>
      </c>
      <c r="I100" s="53"/>
      <c r="J100" s="53"/>
      <c r="K100" s="51" t="str">
        <f t="shared" si="2"/>
        <v>Pending</v>
      </c>
    </row>
    <row r="101" ht="15.75" customHeight="1">
      <c r="A101" s="48" t="str">
        <f>FACILITIES!A26</f>
        <v>F025</v>
      </c>
      <c r="B101" s="48" t="str">
        <f>FACILITIES!B26</f>
        <v>Nhà máy nhiệt điện Nhơn Trạch 2</v>
      </c>
      <c r="C101" s="48" t="str">
        <f>FACILITIES!C26</f>
        <v/>
      </c>
      <c r="D101" s="49">
        <v>2025.0</v>
      </c>
      <c r="E101" s="50"/>
      <c r="F101" s="51" t="str">
        <f t="shared" si="1"/>
        <v/>
      </c>
      <c r="G101" s="52"/>
      <c r="H101" s="51" t="s">
        <v>78</v>
      </c>
      <c r="I101" s="53"/>
      <c r="J101" s="53"/>
      <c r="K101" s="51" t="str">
        <f t="shared" si="2"/>
        <v>Pending</v>
      </c>
    </row>
    <row r="102" ht="15.75" customHeight="1">
      <c r="A102" s="48" t="str">
        <f>FACILITIES!A27</f>
        <v>F026</v>
      </c>
      <c r="B102" s="48" t="str">
        <f>FACILITIES!B27</f>
        <v>Công ty Nhiệt điện Duyên Hải (Nhà máy Duyên Hải 1)</v>
      </c>
      <c r="C102" s="48" t="str">
        <f>FACILITIES!C27</f>
        <v/>
      </c>
      <c r="D102" s="49">
        <v>2022.0</v>
      </c>
      <c r="E102" s="50"/>
      <c r="F102" s="51" t="str">
        <f t="shared" si="1"/>
        <v/>
      </c>
      <c r="G102" s="52"/>
      <c r="H102" s="51" t="s">
        <v>78</v>
      </c>
      <c r="I102" s="53"/>
      <c r="J102" s="53"/>
      <c r="K102" s="51" t="str">
        <f t="shared" si="2"/>
        <v>Pending</v>
      </c>
    </row>
    <row r="103" ht="15.75" customHeight="1">
      <c r="A103" s="48" t="str">
        <f>FACILITIES!A27</f>
        <v>F026</v>
      </c>
      <c r="B103" s="48" t="str">
        <f>FACILITIES!B27</f>
        <v>Công ty Nhiệt điện Duyên Hải (Nhà máy Duyên Hải 1)</v>
      </c>
      <c r="C103" s="48" t="str">
        <f>FACILITIES!C27</f>
        <v/>
      </c>
      <c r="D103" s="49">
        <v>2023.0</v>
      </c>
      <c r="E103" s="50"/>
      <c r="F103" s="51" t="str">
        <f t="shared" si="1"/>
        <v/>
      </c>
      <c r="G103" s="52"/>
      <c r="H103" s="51" t="s">
        <v>78</v>
      </c>
      <c r="I103" s="53"/>
      <c r="J103" s="53"/>
      <c r="K103" s="51" t="str">
        <f t="shared" si="2"/>
        <v>Pending</v>
      </c>
    </row>
    <row r="104" ht="15.75" customHeight="1">
      <c r="A104" s="48" t="str">
        <f>FACILITIES!A27</f>
        <v>F026</v>
      </c>
      <c r="B104" s="48" t="str">
        <f>FACILITIES!B27</f>
        <v>Công ty Nhiệt điện Duyên Hải (Nhà máy Duyên Hải 1)</v>
      </c>
      <c r="C104" s="48" t="str">
        <f>FACILITIES!C27</f>
        <v/>
      </c>
      <c r="D104" s="49">
        <v>2024.0</v>
      </c>
      <c r="E104" s="50"/>
      <c r="F104" s="51" t="str">
        <f t="shared" si="1"/>
        <v/>
      </c>
      <c r="G104" s="52"/>
      <c r="H104" s="51" t="s">
        <v>78</v>
      </c>
      <c r="I104" s="53"/>
      <c r="J104" s="53"/>
      <c r="K104" s="51" t="str">
        <f t="shared" si="2"/>
        <v>Pending</v>
      </c>
    </row>
    <row r="105" ht="15.75" customHeight="1">
      <c r="A105" s="48" t="str">
        <f>FACILITIES!A27</f>
        <v>F026</v>
      </c>
      <c r="B105" s="48" t="str">
        <f>FACILITIES!B27</f>
        <v>Công ty Nhiệt điện Duyên Hải (Nhà máy Duyên Hải 1)</v>
      </c>
      <c r="C105" s="48" t="str">
        <f>FACILITIES!C27</f>
        <v/>
      </c>
      <c r="D105" s="49">
        <v>2025.0</v>
      </c>
      <c r="E105" s="50"/>
      <c r="F105" s="51" t="str">
        <f t="shared" si="1"/>
        <v/>
      </c>
      <c r="G105" s="52"/>
      <c r="H105" s="51" t="s">
        <v>78</v>
      </c>
      <c r="I105" s="53"/>
      <c r="J105" s="53"/>
      <c r="K105" s="51" t="str">
        <f t="shared" si="2"/>
        <v>Pending</v>
      </c>
    </row>
    <row r="106" ht="15.75" customHeight="1">
      <c r="A106" s="48" t="str">
        <f>FACILITIES!A28</f>
        <v>F027</v>
      </c>
      <c r="B106" s="48" t="str">
        <f>FACILITIES!B28</f>
        <v>Công ty Nhiệt điện Duyên Hải (Nhà máy Duyên Hải 3)</v>
      </c>
      <c r="C106" s="48" t="str">
        <f>FACILITIES!C28</f>
        <v/>
      </c>
      <c r="D106" s="49">
        <v>2022.0</v>
      </c>
      <c r="E106" s="50"/>
      <c r="F106" s="51" t="str">
        <f t="shared" si="1"/>
        <v/>
      </c>
      <c r="G106" s="52"/>
      <c r="H106" s="51" t="s">
        <v>78</v>
      </c>
      <c r="I106" s="53"/>
      <c r="J106" s="53"/>
      <c r="K106" s="51" t="str">
        <f t="shared" si="2"/>
        <v>Pending</v>
      </c>
    </row>
    <row r="107" ht="15.75" customHeight="1">
      <c r="A107" s="48" t="str">
        <f>FACILITIES!A28</f>
        <v>F027</v>
      </c>
      <c r="B107" s="48" t="str">
        <f>FACILITIES!B28</f>
        <v>Công ty Nhiệt điện Duyên Hải (Nhà máy Duyên Hải 3)</v>
      </c>
      <c r="C107" s="48" t="str">
        <f>FACILITIES!C28</f>
        <v/>
      </c>
      <c r="D107" s="49">
        <v>2023.0</v>
      </c>
      <c r="E107" s="50"/>
      <c r="F107" s="51" t="str">
        <f t="shared" si="1"/>
        <v/>
      </c>
      <c r="G107" s="52"/>
      <c r="H107" s="51" t="s">
        <v>78</v>
      </c>
      <c r="I107" s="53"/>
      <c r="J107" s="53"/>
      <c r="K107" s="51" t="str">
        <f t="shared" si="2"/>
        <v>Pending</v>
      </c>
    </row>
    <row r="108" ht="15.75" customHeight="1">
      <c r="A108" s="48" t="str">
        <f>FACILITIES!A28</f>
        <v>F027</v>
      </c>
      <c r="B108" s="48" t="str">
        <f>FACILITIES!B28</f>
        <v>Công ty Nhiệt điện Duyên Hải (Nhà máy Duyên Hải 3)</v>
      </c>
      <c r="C108" s="48" t="str">
        <f>FACILITIES!C28</f>
        <v/>
      </c>
      <c r="D108" s="49">
        <v>2024.0</v>
      </c>
      <c r="E108" s="50"/>
      <c r="F108" s="51" t="str">
        <f t="shared" si="1"/>
        <v/>
      </c>
      <c r="G108" s="52"/>
      <c r="H108" s="51" t="s">
        <v>78</v>
      </c>
      <c r="I108" s="53"/>
      <c r="J108" s="53"/>
      <c r="K108" s="51" t="str">
        <f t="shared" si="2"/>
        <v>Pending</v>
      </c>
    </row>
    <row r="109" ht="15.75" customHeight="1">
      <c r="A109" s="48" t="str">
        <f>FACILITIES!A28</f>
        <v>F027</v>
      </c>
      <c r="B109" s="48" t="str">
        <f>FACILITIES!B28</f>
        <v>Công ty Nhiệt điện Duyên Hải (Nhà máy Duyên Hải 3)</v>
      </c>
      <c r="C109" s="48" t="str">
        <f>FACILITIES!C28</f>
        <v/>
      </c>
      <c r="D109" s="49">
        <v>2025.0</v>
      </c>
      <c r="E109" s="50"/>
      <c r="F109" s="51" t="str">
        <f t="shared" si="1"/>
        <v/>
      </c>
      <c r="G109" s="52"/>
      <c r="H109" s="51" t="s">
        <v>78</v>
      </c>
      <c r="I109" s="53"/>
      <c r="J109" s="53"/>
      <c r="K109" s="51" t="str">
        <f t="shared" si="2"/>
        <v>Pending</v>
      </c>
    </row>
    <row r="110" ht="15.75" customHeight="1">
      <c r="A110" s="48" t="str">
        <f>FACILITIES!A29</f>
        <v>F028</v>
      </c>
      <c r="B110" s="48" t="str">
        <f>FACILITIES!B29</f>
        <v>Công ty Nhiệt điện Duyên Hải (Nhà máy Duyên Hải 3 MR)</v>
      </c>
      <c r="C110" s="48" t="str">
        <f>FACILITIES!C29</f>
        <v/>
      </c>
      <c r="D110" s="49">
        <v>2022.0</v>
      </c>
      <c r="E110" s="50"/>
      <c r="F110" s="51" t="str">
        <f t="shared" si="1"/>
        <v/>
      </c>
      <c r="G110" s="52"/>
      <c r="H110" s="51" t="s">
        <v>78</v>
      </c>
      <c r="I110" s="53"/>
      <c r="J110" s="53"/>
      <c r="K110" s="51" t="str">
        <f t="shared" si="2"/>
        <v>Pending</v>
      </c>
    </row>
    <row r="111" ht="15.75" customHeight="1">
      <c r="A111" s="48" t="str">
        <f>FACILITIES!A29</f>
        <v>F028</v>
      </c>
      <c r="B111" s="48" t="str">
        <f>FACILITIES!B29</f>
        <v>Công ty Nhiệt điện Duyên Hải (Nhà máy Duyên Hải 3 MR)</v>
      </c>
      <c r="C111" s="48" t="str">
        <f>FACILITIES!C29</f>
        <v/>
      </c>
      <c r="D111" s="49">
        <v>2023.0</v>
      </c>
      <c r="E111" s="50"/>
      <c r="F111" s="51" t="str">
        <f t="shared" si="1"/>
        <v/>
      </c>
      <c r="G111" s="52"/>
      <c r="H111" s="51" t="s">
        <v>78</v>
      </c>
      <c r="I111" s="53"/>
      <c r="J111" s="53"/>
      <c r="K111" s="51" t="str">
        <f t="shared" si="2"/>
        <v>Pending</v>
      </c>
    </row>
    <row r="112" ht="15.75" customHeight="1">
      <c r="A112" s="48" t="str">
        <f>FACILITIES!A29</f>
        <v>F028</v>
      </c>
      <c r="B112" s="48" t="str">
        <f>FACILITIES!B29</f>
        <v>Công ty Nhiệt điện Duyên Hải (Nhà máy Duyên Hải 3 MR)</v>
      </c>
      <c r="C112" s="48" t="str">
        <f>FACILITIES!C29</f>
        <v/>
      </c>
      <c r="D112" s="49">
        <v>2024.0</v>
      </c>
      <c r="E112" s="50"/>
      <c r="F112" s="51" t="str">
        <f t="shared" si="1"/>
        <v/>
      </c>
      <c r="G112" s="52"/>
      <c r="H112" s="51" t="s">
        <v>78</v>
      </c>
      <c r="I112" s="53"/>
      <c r="J112" s="53"/>
      <c r="K112" s="51" t="str">
        <f t="shared" si="2"/>
        <v>Pending</v>
      </c>
    </row>
    <row r="113" ht="15.75" customHeight="1">
      <c r="A113" s="48" t="str">
        <f>FACILITIES!A29</f>
        <v>F028</v>
      </c>
      <c r="B113" s="48" t="str">
        <f>FACILITIES!B29</f>
        <v>Công ty Nhiệt điện Duyên Hải (Nhà máy Duyên Hải 3 MR)</v>
      </c>
      <c r="C113" s="48" t="str">
        <f>FACILITIES!C29</f>
        <v/>
      </c>
      <c r="D113" s="49">
        <v>2025.0</v>
      </c>
      <c r="E113" s="50"/>
      <c r="F113" s="51" t="str">
        <f t="shared" si="1"/>
        <v/>
      </c>
      <c r="G113" s="52"/>
      <c r="H113" s="51" t="s">
        <v>78</v>
      </c>
      <c r="I113" s="53"/>
      <c r="J113" s="53"/>
      <c r="K113" s="51" t="str">
        <f t="shared" si="2"/>
        <v>Pending</v>
      </c>
    </row>
    <row r="114" ht="15.75" customHeight="1">
      <c r="A114" s="48" t="str">
        <f>FACILITIES!A30</f>
        <v>F029</v>
      </c>
      <c r="B114" s="48" t="str">
        <f>FACILITIES!B30</f>
        <v>Công ty TNHH gang thép Hưng Nghiệp Formosa Hà Tĩnh</v>
      </c>
      <c r="C114" s="48" t="str">
        <f>FACILITIES!C30</f>
        <v/>
      </c>
      <c r="D114" s="49">
        <v>2022.0</v>
      </c>
      <c r="E114" s="50"/>
      <c r="F114" s="51" t="str">
        <f t="shared" si="1"/>
        <v/>
      </c>
      <c r="G114" s="52"/>
      <c r="H114" s="51" t="s">
        <v>78</v>
      </c>
      <c r="I114" s="53"/>
      <c r="J114" s="53"/>
      <c r="K114" s="51" t="str">
        <f t="shared" si="2"/>
        <v>Pending</v>
      </c>
    </row>
    <row r="115" ht="15.75" customHeight="1">
      <c r="A115" s="48" t="str">
        <f>FACILITIES!A30</f>
        <v>F029</v>
      </c>
      <c r="B115" s="48" t="str">
        <f>FACILITIES!B30</f>
        <v>Công ty TNHH gang thép Hưng Nghiệp Formosa Hà Tĩnh</v>
      </c>
      <c r="C115" s="48" t="str">
        <f>FACILITIES!C30</f>
        <v/>
      </c>
      <c r="D115" s="49">
        <v>2023.0</v>
      </c>
      <c r="E115" s="50"/>
      <c r="F115" s="51" t="str">
        <f t="shared" si="1"/>
        <v/>
      </c>
      <c r="G115" s="52"/>
      <c r="H115" s="51" t="s">
        <v>78</v>
      </c>
      <c r="I115" s="53"/>
      <c r="J115" s="53"/>
      <c r="K115" s="51" t="str">
        <f t="shared" si="2"/>
        <v>Pending</v>
      </c>
    </row>
    <row r="116" ht="15.75" customHeight="1">
      <c r="A116" s="48" t="str">
        <f>FACILITIES!A30</f>
        <v>F029</v>
      </c>
      <c r="B116" s="48" t="str">
        <f>FACILITIES!B30</f>
        <v>Công ty TNHH gang thép Hưng Nghiệp Formosa Hà Tĩnh</v>
      </c>
      <c r="C116" s="48" t="str">
        <f>FACILITIES!C30</f>
        <v/>
      </c>
      <c r="D116" s="49">
        <v>2024.0</v>
      </c>
      <c r="E116" s="50"/>
      <c r="F116" s="51" t="str">
        <f t="shared" si="1"/>
        <v/>
      </c>
      <c r="G116" s="52"/>
      <c r="H116" s="51" t="s">
        <v>78</v>
      </c>
      <c r="I116" s="53"/>
      <c r="J116" s="53"/>
      <c r="K116" s="51" t="str">
        <f t="shared" si="2"/>
        <v>Pending</v>
      </c>
    </row>
    <row r="117" ht="15.75" customHeight="1">
      <c r="A117" s="48" t="str">
        <f>FACILITIES!A30</f>
        <v>F029</v>
      </c>
      <c r="B117" s="48" t="str">
        <f>FACILITIES!B30</f>
        <v>Công ty TNHH gang thép Hưng Nghiệp Formosa Hà Tĩnh</v>
      </c>
      <c r="C117" s="48" t="str">
        <f>FACILITIES!C30</f>
        <v/>
      </c>
      <c r="D117" s="49">
        <v>2025.0</v>
      </c>
      <c r="E117" s="50"/>
      <c r="F117" s="51" t="str">
        <f t="shared" si="1"/>
        <v/>
      </c>
      <c r="G117" s="52"/>
      <c r="H117" s="51" t="s">
        <v>78</v>
      </c>
      <c r="I117" s="53"/>
      <c r="J117" s="53"/>
      <c r="K117" s="51" t="str">
        <f t="shared" si="2"/>
        <v>Pending</v>
      </c>
    </row>
    <row r="118" ht="15.75" customHeight="1">
      <c r="A118" s="48" t="str">
        <f>FACILITIES!A31</f>
        <v>F030</v>
      </c>
      <c r="B118" s="48" t="str">
        <f>FACILITIES!B31</f>
        <v>Công ty Điện lực dầu khí Cà Mau (Nhà máy điện Cà Mau 1)</v>
      </c>
      <c r="C118" s="48" t="str">
        <f>FACILITIES!C31</f>
        <v/>
      </c>
      <c r="D118" s="49">
        <v>2022.0</v>
      </c>
      <c r="E118" s="50"/>
      <c r="F118" s="51" t="str">
        <f t="shared" si="1"/>
        <v/>
      </c>
      <c r="G118" s="52"/>
      <c r="H118" s="51" t="s">
        <v>78</v>
      </c>
      <c r="I118" s="53"/>
      <c r="J118" s="53"/>
      <c r="K118" s="51" t="str">
        <f t="shared" si="2"/>
        <v>Pending</v>
      </c>
    </row>
    <row r="119" ht="15.75" customHeight="1">
      <c r="A119" s="48" t="str">
        <f>FACILITIES!A31</f>
        <v>F030</v>
      </c>
      <c r="B119" s="48" t="str">
        <f>FACILITIES!B31</f>
        <v>Công ty Điện lực dầu khí Cà Mau (Nhà máy điện Cà Mau 1)</v>
      </c>
      <c r="C119" s="48" t="str">
        <f>FACILITIES!C31</f>
        <v/>
      </c>
      <c r="D119" s="49">
        <v>2023.0</v>
      </c>
      <c r="E119" s="50"/>
      <c r="F119" s="51" t="str">
        <f t="shared" si="1"/>
        <v/>
      </c>
      <c r="G119" s="52"/>
      <c r="H119" s="51" t="s">
        <v>78</v>
      </c>
      <c r="I119" s="53"/>
      <c r="J119" s="53"/>
      <c r="K119" s="51" t="str">
        <f t="shared" si="2"/>
        <v>Pending</v>
      </c>
    </row>
    <row r="120" ht="15.75" customHeight="1">
      <c r="A120" s="48" t="str">
        <f>FACILITIES!A31</f>
        <v>F030</v>
      </c>
      <c r="B120" s="48" t="str">
        <f>FACILITIES!B31</f>
        <v>Công ty Điện lực dầu khí Cà Mau (Nhà máy điện Cà Mau 1)</v>
      </c>
      <c r="C120" s="48" t="str">
        <f>FACILITIES!C31</f>
        <v/>
      </c>
      <c r="D120" s="49">
        <v>2024.0</v>
      </c>
      <c r="E120" s="50"/>
      <c r="F120" s="51" t="str">
        <f t="shared" si="1"/>
        <v/>
      </c>
      <c r="G120" s="52"/>
      <c r="H120" s="51" t="s">
        <v>78</v>
      </c>
      <c r="I120" s="53"/>
      <c r="J120" s="53"/>
      <c r="K120" s="51" t="str">
        <f t="shared" si="2"/>
        <v>Pending</v>
      </c>
    </row>
    <row r="121" ht="15.75" customHeight="1">
      <c r="A121" s="48" t="str">
        <f>FACILITIES!A31</f>
        <v>F030</v>
      </c>
      <c r="B121" s="48" t="str">
        <f>FACILITIES!B31</f>
        <v>Công ty Điện lực dầu khí Cà Mau (Nhà máy điện Cà Mau 1)</v>
      </c>
      <c r="C121" s="48" t="str">
        <f>FACILITIES!C31</f>
        <v/>
      </c>
      <c r="D121" s="49">
        <v>2025.0</v>
      </c>
      <c r="E121" s="50"/>
      <c r="F121" s="51" t="str">
        <f t="shared" si="1"/>
        <v/>
      </c>
      <c r="G121" s="52"/>
      <c r="H121" s="51" t="s">
        <v>78</v>
      </c>
      <c r="I121" s="53"/>
      <c r="J121" s="53"/>
      <c r="K121" s="51" t="str">
        <f t="shared" si="2"/>
        <v>Pending</v>
      </c>
    </row>
    <row r="122" ht="15.75" customHeight="1">
      <c r="A122" s="48" t="str">
        <f>FACILITIES!A32</f>
        <v>F031</v>
      </c>
      <c r="B122" s="48" t="str">
        <f>FACILITIES!B32</f>
        <v>Công ty Điện lực dầu khí Cà Mau (Nhà máy điện Cà Mau 2)</v>
      </c>
      <c r="C122" s="48" t="str">
        <f>FACILITIES!C32</f>
        <v/>
      </c>
      <c r="D122" s="49">
        <v>2022.0</v>
      </c>
      <c r="E122" s="50"/>
      <c r="F122" s="51" t="str">
        <f t="shared" si="1"/>
        <v/>
      </c>
      <c r="G122" s="52"/>
      <c r="H122" s="51" t="s">
        <v>78</v>
      </c>
      <c r="I122" s="53"/>
      <c r="J122" s="53"/>
      <c r="K122" s="51" t="str">
        <f t="shared" si="2"/>
        <v>Pending</v>
      </c>
    </row>
    <row r="123" ht="15.75" customHeight="1">
      <c r="A123" s="48" t="str">
        <f>FACILITIES!A32</f>
        <v>F031</v>
      </c>
      <c r="B123" s="48" t="str">
        <f>FACILITIES!B32</f>
        <v>Công ty Điện lực dầu khí Cà Mau (Nhà máy điện Cà Mau 2)</v>
      </c>
      <c r="C123" s="48" t="str">
        <f>FACILITIES!C32</f>
        <v/>
      </c>
      <c r="D123" s="49">
        <v>2023.0</v>
      </c>
      <c r="E123" s="50"/>
      <c r="F123" s="51" t="str">
        <f t="shared" si="1"/>
        <v/>
      </c>
      <c r="G123" s="52"/>
      <c r="H123" s="51" t="s">
        <v>78</v>
      </c>
      <c r="I123" s="53"/>
      <c r="J123" s="53"/>
      <c r="K123" s="51" t="str">
        <f t="shared" si="2"/>
        <v>Pending</v>
      </c>
    </row>
    <row r="124" ht="15.75" customHeight="1">
      <c r="A124" s="48" t="str">
        <f>FACILITIES!A32</f>
        <v>F031</v>
      </c>
      <c r="B124" s="48" t="str">
        <f>FACILITIES!B32</f>
        <v>Công ty Điện lực dầu khí Cà Mau (Nhà máy điện Cà Mau 2)</v>
      </c>
      <c r="C124" s="48" t="str">
        <f>FACILITIES!C32</f>
        <v/>
      </c>
      <c r="D124" s="49">
        <v>2024.0</v>
      </c>
      <c r="E124" s="50"/>
      <c r="F124" s="51" t="str">
        <f t="shared" si="1"/>
        <v/>
      </c>
      <c r="G124" s="52"/>
      <c r="H124" s="51" t="s">
        <v>78</v>
      </c>
      <c r="I124" s="53"/>
      <c r="J124" s="53"/>
      <c r="K124" s="51" t="str">
        <f t="shared" si="2"/>
        <v>Pending</v>
      </c>
    </row>
    <row r="125" ht="15.75" customHeight="1">
      <c r="A125" s="48" t="str">
        <f>FACILITIES!A32</f>
        <v>F031</v>
      </c>
      <c r="B125" s="48" t="str">
        <f>FACILITIES!B32</f>
        <v>Công ty Điện lực dầu khí Cà Mau (Nhà máy điện Cà Mau 2)</v>
      </c>
      <c r="C125" s="48" t="str">
        <f>FACILITIES!C32</f>
        <v/>
      </c>
      <c r="D125" s="49">
        <v>2025.0</v>
      </c>
      <c r="E125" s="50"/>
      <c r="F125" s="51" t="str">
        <f t="shared" si="1"/>
        <v/>
      </c>
      <c r="G125" s="52"/>
      <c r="H125" s="51" t="s">
        <v>78</v>
      </c>
      <c r="I125" s="53"/>
      <c r="J125" s="53"/>
      <c r="K125" s="51" t="str">
        <f t="shared" si="2"/>
        <v>Pending</v>
      </c>
    </row>
    <row r="126" ht="15.75" customHeight="1">
      <c r="A126" s="48" t="str">
        <f>FACILITIES!A33</f>
        <v>F032</v>
      </c>
      <c r="B126" s="48" t="str">
        <f>FACILITIES!B33</f>
        <v>Công ty cổ phần nhiệt điện An Khánh</v>
      </c>
      <c r="C126" s="48" t="str">
        <f>FACILITIES!C33</f>
        <v/>
      </c>
      <c r="D126" s="49">
        <v>2022.0</v>
      </c>
      <c r="E126" s="50"/>
      <c r="F126" s="51" t="str">
        <f t="shared" si="1"/>
        <v/>
      </c>
      <c r="G126" s="52"/>
      <c r="H126" s="51" t="s">
        <v>78</v>
      </c>
      <c r="I126" s="53"/>
      <c r="J126" s="53"/>
      <c r="K126" s="51" t="str">
        <f t="shared" si="2"/>
        <v>Pending</v>
      </c>
    </row>
    <row r="127" ht="15.75" customHeight="1">
      <c r="A127" s="48" t="str">
        <f>FACILITIES!A33</f>
        <v>F032</v>
      </c>
      <c r="B127" s="48" t="str">
        <f>FACILITIES!B33</f>
        <v>Công ty cổ phần nhiệt điện An Khánh</v>
      </c>
      <c r="C127" s="48" t="str">
        <f>FACILITIES!C33</f>
        <v/>
      </c>
      <c r="D127" s="49">
        <v>2023.0</v>
      </c>
      <c r="E127" s="50"/>
      <c r="F127" s="51" t="str">
        <f t="shared" si="1"/>
        <v/>
      </c>
      <c r="G127" s="52"/>
      <c r="H127" s="51" t="s">
        <v>78</v>
      </c>
      <c r="I127" s="53"/>
      <c r="J127" s="53"/>
      <c r="K127" s="51" t="str">
        <f t="shared" si="2"/>
        <v>Pending</v>
      </c>
    </row>
    <row r="128" ht="15.75" customHeight="1">
      <c r="A128" s="48" t="str">
        <f>FACILITIES!A33</f>
        <v>F032</v>
      </c>
      <c r="B128" s="48" t="str">
        <f>FACILITIES!B33</f>
        <v>Công ty cổ phần nhiệt điện An Khánh</v>
      </c>
      <c r="C128" s="48" t="str">
        <f>FACILITIES!C33</f>
        <v/>
      </c>
      <c r="D128" s="49">
        <v>2024.0</v>
      </c>
      <c r="E128" s="50"/>
      <c r="F128" s="51" t="str">
        <f t="shared" si="1"/>
        <v/>
      </c>
      <c r="G128" s="52"/>
      <c r="H128" s="51" t="s">
        <v>78</v>
      </c>
      <c r="I128" s="53"/>
      <c r="J128" s="53"/>
      <c r="K128" s="51" t="str">
        <f t="shared" si="2"/>
        <v>Pending</v>
      </c>
    </row>
    <row r="129" ht="15.75" customHeight="1">
      <c r="A129" s="48" t="str">
        <f>FACILITIES!A33</f>
        <v>F032</v>
      </c>
      <c r="B129" s="48" t="str">
        <f>FACILITIES!B33</f>
        <v>Công ty cổ phần nhiệt điện An Khánh</v>
      </c>
      <c r="C129" s="48" t="str">
        <f>FACILITIES!C33</f>
        <v/>
      </c>
      <c r="D129" s="49">
        <v>2025.0</v>
      </c>
      <c r="E129" s="50"/>
      <c r="F129" s="51" t="str">
        <f t="shared" si="1"/>
        <v/>
      </c>
      <c r="G129" s="52"/>
      <c r="H129" s="51" t="s">
        <v>78</v>
      </c>
      <c r="I129" s="53"/>
      <c r="J129" s="53"/>
      <c r="K129" s="51" t="str">
        <f t="shared" si="2"/>
        <v>Pending</v>
      </c>
    </row>
    <row r="130" ht="15.75" customHeight="1">
      <c r="A130" s="48" t="str">
        <f>FACILITIES!A34</f>
        <v>F033</v>
      </c>
      <c r="B130" s="48" t="str">
        <f>FACILITIES!B34</f>
        <v>Công ty nhiệt điện Cao Ngạn</v>
      </c>
      <c r="C130" s="48" t="str">
        <f>FACILITIES!C34</f>
        <v/>
      </c>
      <c r="D130" s="49">
        <v>2022.0</v>
      </c>
      <c r="E130" s="50"/>
      <c r="F130" s="51" t="str">
        <f t="shared" si="1"/>
        <v/>
      </c>
      <c r="G130" s="52"/>
      <c r="H130" s="51" t="s">
        <v>78</v>
      </c>
      <c r="I130" s="53"/>
      <c r="J130" s="53"/>
      <c r="K130" s="51" t="str">
        <f t="shared" si="2"/>
        <v>Pending</v>
      </c>
    </row>
    <row r="131" ht="15.75" customHeight="1">
      <c r="A131" s="48" t="str">
        <f>FACILITIES!A34</f>
        <v>F033</v>
      </c>
      <c r="B131" s="48" t="str">
        <f>FACILITIES!B34</f>
        <v>Công ty nhiệt điện Cao Ngạn</v>
      </c>
      <c r="C131" s="48" t="str">
        <f>FACILITIES!C34</f>
        <v/>
      </c>
      <c r="D131" s="49">
        <v>2023.0</v>
      </c>
      <c r="E131" s="50"/>
      <c r="F131" s="51" t="str">
        <f t="shared" si="1"/>
        <v/>
      </c>
      <c r="G131" s="52"/>
      <c r="H131" s="51" t="s">
        <v>78</v>
      </c>
      <c r="I131" s="53"/>
      <c r="J131" s="53"/>
      <c r="K131" s="51" t="str">
        <f t="shared" si="2"/>
        <v>Pending</v>
      </c>
    </row>
    <row r="132" ht="15.75" customHeight="1">
      <c r="A132" s="48" t="str">
        <f>FACILITIES!A34</f>
        <v>F033</v>
      </c>
      <c r="B132" s="48" t="str">
        <f>FACILITIES!B34</f>
        <v>Công ty nhiệt điện Cao Ngạn</v>
      </c>
      <c r="C132" s="48" t="str">
        <f>FACILITIES!C34</f>
        <v/>
      </c>
      <c r="D132" s="49">
        <v>2024.0</v>
      </c>
      <c r="E132" s="50"/>
      <c r="F132" s="51" t="str">
        <f t="shared" si="1"/>
        <v/>
      </c>
      <c r="G132" s="52"/>
      <c r="H132" s="51" t="s">
        <v>78</v>
      </c>
      <c r="I132" s="53"/>
      <c r="J132" s="53"/>
      <c r="K132" s="51" t="str">
        <f t="shared" si="2"/>
        <v>Pending</v>
      </c>
    </row>
    <row r="133" ht="15.75" customHeight="1">
      <c r="A133" s="48" t="str">
        <f>FACILITIES!A34</f>
        <v>F033</v>
      </c>
      <c r="B133" s="48" t="str">
        <f>FACILITIES!B34</f>
        <v>Công ty nhiệt điện Cao Ngạn</v>
      </c>
      <c r="C133" s="48" t="str">
        <f>FACILITIES!C34</f>
        <v/>
      </c>
      <c r="D133" s="49">
        <v>2025.0</v>
      </c>
      <c r="E133" s="50"/>
      <c r="F133" s="51" t="str">
        <f t="shared" si="1"/>
        <v/>
      </c>
      <c r="G133" s="52"/>
      <c r="H133" s="51" t="s">
        <v>78</v>
      </c>
      <c r="I133" s="53"/>
      <c r="J133" s="53"/>
      <c r="K133" s="51" t="str">
        <f t="shared" si="2"/>
        <v>Pending</v>
      </c>
    </row>
    <row r="134" ht="15.75" customHeight="1">
      <c r="A134" s="48" t="str">
        <f>FACILITIES!A35</f>
        <v>F034</v>
      </c>
      <c r="B134" s="48" t="str">
        <f>FACILITIES!B35</f>
        <v>Ban điều hành nhà máy điện Kiên Hải</v>
      </c>
      <c r="C134" s="48" t="str">
        <f>FACILITIES!C35</f>
        <v/>
      </c>
      <c r="D134" s="49">
        <v>2022.0</v>
      </c>
      <c r="E134" s="50"/>
      <c r="F134" s="51" t="str">
        <f t="shared" si="1"/>
        <v/>
      </c>
      <c r="G134" s="52"/>
      <c r="H134" s="51" t="s">
        <v>78</v>
      </c>
      <c r="I134" s="53"/>
      <c r="J134" s="53"/>
      <c r="K134" s="51" t="str">
        <f t="shared" si="2"/>
        <v>Pending</v>
      </c>
    </row>
    <row r="135" ht="15.75" customHeight="1">
      <c r="A135" s="48" t="str">
        <f>FACILITIES!A35</f>
        <v>F034</v>
      </c>
      <c r="B135" s="48" t="str">
        <f>FACILITIES!B35</f>
        <v>Ban điều hành nhà máy điện Kiên Hải</v>
      </c>
      <c r="C135" s="48" t="str">
        <f>FACILITIES!C35</f>
        <v/>
      </c>
      <c r="D135" s="49">
        <v>2023.0</v>
      </c>
      <c r="E135" s="50"/>
      <c r="F135" s="51" t="str">
        <f t="shared" si="1"/>
        <v/>
      </c>
      <c r="G135" s="52"/>
      <c r="H135" s="51" t="s">
        <v>78</v>
      </c>
      <c r="I135" s="53"/>
      <c r="J135" s="53"/>
      <c r="K135" s="51" t="str">
        <f t="shared" si="2"/>
        <v>Pending</v>
      </c>
    </row>
    <row r="136" ht="15.75" customHeight="1">
      <c r="A136" s="48" t="str">
        <f>FACILITIES!A35</f>
        <v>F034</v>
      </c>
      <c r="B136" s="48" t="str">
        <f>FACILITIES!B35</f>
        <v>Ban điều hành nhà máy điện Kiên Hải</v>
      </c>
      <c r="C136" s="48" t="str">
        <f>FACILITIES!C35</f>
        <v/>
      </c>
      <c r="D136" s="49">
        <v>2024.0</v>
      </c>
      <c r="E136" s="50"/>
      <c r="F136" s="51" t="str">
        <f t="shared" si="1"/>
        <v/>
      </c>
      <c r="G136" s="52"/>
      <c r="H136" s="51" t="s">
        <v>78</v>
      </c>
      <c r="I136" s="53"/>
      <c r="J136" s="53"/>
      <c r="K136" s="51" t="str">
        <f t="shared" si="2"/>
        <v>Pending</v>
      </c>
    </row>
    <row r="137" ht="15.75" customHeight="1">
      <c r="A137" s="48" t="str">
        <f>FACILITIES!A35</f>
        <v>F034</v>
      </c>
      <c r="B137" s="48" t="str">
        <f>FACILITIES!B35</f>
        <v>Ban điều hành nhà máy điện Kiên Hải</v>
      </c>
      <c r="C137" s="48" t="str">
        <f>FACILITIES!C35</f>
        <v/>
      </c>
      <c r="D137" s="49">
        <v>2025.0</v>
      </c>
      <c r="E137" s="50"/>
      <c r="F137" s="51" t="str">
        <f t="shared" si="1"/>
        <v/>
      </c>
      <c r="G137" s="52"/>
      <c r="H137" s="51" t="s">
        <v>78</v>
      </c>
      <c r="I137" s="53"/>
      <c r="J137" s="53"/>
      <c r="K137" s="51" t="str">
        <f t="shared" si="2"/>
        <v>Pending</v>
      </c>
    </row>
    <row r="138" ht="15.75" customHeight="1">
      <c r="A138" s="48" t="str">
        <f>FACILITIES!A36</f>
        <v>F035</v>
      </c>
      <c r="B138" s="48" t="str">
        <f>FACILITIES!B36</f>
        <v>Công ty TNHH khoáng sản và luyện kim Việt Trung</v>
      </c>
      <c r="C138" s="48" t="str">
        <f>FACILITIES!C36</f>
        <v/>
      </c>
      <c r="D138" s="49">
        <v>2022.0</v>
      </c>
      <c r="E138" s="50"/>
      <c r="F138" s="51" t="str">
        <f t="shared" si="1"/>
        <v/>
      </c>
      <c r="G138" s="52"/>
      <c r="H138" s="51" t="s">
        <v>78</v>
      </c>
      <c r="I138" s="53"/>
      <c r="J138" s="53"/>
      <c r="K138" s="51" t="str">
        <f t="shared" si="2"/>
        <v>Pending</v>
      </c>
    </row>
    <row r="139" ht="15.75" customHeight="1">
      <c r="A139" s="48" t="str">
        <f>FACILITIES!A36</f>
        <v>F035</v>
      </c>
      <c r="B139" s="48" t="str">
        <f>FACILITIES!B36</f>
        <v>Công ty TNHH khoáng sản và luyện kim Việt Trung</v>
      </c>
      <c r="C139" s="48" t="str">
        <f>FACILITIES!C36</f>
        <v/>
      </c>
      <c r="D139" s="49">
        <v>2023.0</v>
      </c>
      <c r="E139" s="50"/>
      <c r="F139" s="51" t="str">
        <f t="shared" si="1"/>
        <v/>
      </c>
      <c r="G139" s="52"/>
      <c r="H139" s="51" t="s">
        <v>78</v>
      </c>
      <c r="I139" s="53"/>
      <c r="J139" s="53"/>
      <c r="K139" s="51" t="str">
        <f t="shared" si="2"/>
        <v>Pending</v>
      </c>
    </row>
    <row r="140" ht="15.75" customHeight="1">
      <c r="A140" s="48" t="str">
        <f>FACILITIES!A36</f>
        <v>F035</v>
      </c>
      <c r="B140" s="48" t="str">
        <f>FACILITIES!B36</f>
        <v>Công ty TNHH khoáng sản và luyện kim Việt Trung</v>
      </c>
      <c r="C140" s="48" t="str">
        <f>FACILITIES!C36</f>
        <v/>
      </c>
      <c r="D140" s="49">
        <v>2024.0</v>
      </c>
      <c r="E140" s="50"/>
      <c r="F140" s="51" t="str">
        <f t="shared" si="1"/>
        <v/>
      </c>
      <c r="G140" s="52"/>
      <c r="H140" s="51" t="s">
        <v>78</v>
      </c>
      <c r="I140" s="53"/>
      <c r="J140" s="53"/>
      <c r="K140" s="51" t="str">
        <f t="shared" si="2"/>
        <v>Pending</v>
      </c>
    </row>
    <row r="141" ht="15.75" customHeight="1">
      <c r="A141" s="48" t="str">
        <f>FACILITIES!A36</f>
        <v>F035</v>
      </c>
      <c r="B141" s="48" t="str">
        <f>FACILITIES!B36</f>
        <v>Công ty TNHH khoáng sản và luyện kim Việt Trung</v>
      </c>
      <c r="C141" s="48" t="str">
        <f>FACILITIES!C36</f>
        <v/>
      </c>
      <c r="D141" s="49">
        <v>2025.0</v>
      </c>
      <c r="E141" s="50"/>
      <c r="F141" s="51" t="str">
        <f t="shared" si="1"/>
        <v/>
      </c>
      <c r="G141" s="52"/>
      <c r="H141" s="51" t="s">
        <v>78</v>
      </c>
      <c r="I141" s="53"/>
      <c r="J141" s="53"/>
      <c r="K141" s="51" t="str">
        <f t="shared" si="2"/>
        <v>Pending</v>
      </c>
    </row>
    <row r="142" ht="15.75" customHeight="1">
      <c r="A142" s="48" t="str">
        <f>FACILITIES!A37</f>
        <v>F036</v>
      </c>
      <c r="B142" s="48" t="str">
        <f>FACILITIES!B37</f>
        <v>Công ty cổ phần Gang thép Cao Bằng</v>
      </c>
      <c r="C142" s="48" t="str">
        <f>FACILITIES!C37</f>
        <v/>
      </c>
      <c r="D142" s="49">
        <v>2022.0</v>
      </c>
      <c r="E142" s="50"/>
      <c r="F142" s="51" t="str">
        <f t="shared" si="1"/>
        <v/>
      </c>
      <c r="G142" s="52"/>
      <c r="H142" s="51" t="s">
        <v>78</v>
      </c>
      <c r="I142" s="53"/>
      <c r="J142" s="53"/>
      <c r="K142" s="51" t="str">
        <f t="shared" si="2"/>
        <v>Pending</v>
      </c>
    </row>
    <row r="143" ht="15.75" customHeight="1">
      <c r="A143" s="48" t="str">
        <f>FACILITIES!A37</f>
        <v>F036</v>
      </c>
      <c r="B143" s="48" t="str">
        <f>FACILITIES!B37</f>
        <v>Công ty cổ phần Gang thép Cao Bằng</v>
      </c>
      <c r="C143" s="48" t="str">
        <f>FACILITIES!C37</f>
        <v/>
      </c>
      <c r="D143" s="49">
        <v>2023.0</v>
      </c>
      <c r="E143" s="50"/>
      <c r="F143" s="51" t="str">
        <f t="shared" si="1"/>
        <v/>
      </c>
      <c r="G143" s="52"/>
      <c r="H143" s="51" t="s">
        <v>78</v>
      </c>
      <c r="I143" s="53"/>
      <c r="J143" s="53"/>
      <c r="K143" s="51" t="str">
        <f t="shared" si="2"/>
        <v>Pending</v>
      </c>
    </row>
    <row r="144" ht="15.75" customHeight="1">
      <c r="A144" s="48" t="str">
        <f>FACILITIES!A37</f>
        <v>F036</v>
      </c>
      <c r="B144" s="48" t="str">
        <f>FACILITIES!B37</f>
        <v>Công ty cổ phần Gang thép Cao Bằng</v>
      </c>
      <c r="C144" s="48" t="str">
        <f>FACILITIES!C37</f>
        <v/>
      </c>
      <c r="D144" s="49">
        <v>2024.0</v>
      </c>
      <c r="E144" s="50"/>
      <c r="F144" s="51" t="str">
        <f t="shared" si="1"/>
        <v/>
      </c>
      <c r="G144" s="52"/>
      <c r="H144" s="51" t="s">
        <v>78</v>
      </c>
      <c r="I144" s="53"/>
      <c r="J144" s="53"/>
      <c r="K144" s="51" t="str">
        <f t="shared" si="2"/>
        <v>Pending</v>
      </c>
    </row>
    <row r="145" ht="15.75" customHeight="1">
      <c r="A145" s="48" t="str">
        <f>FACILITIES!A37</f>
        <v>F036</v>
      </c>
      <c r="B145" s="48" t="str">
        <f>FACILITIES!B37</f>
        <v>Công ty cổ phần Gang thép Cao Bằng</v>
      </c>
      <c r="C145" s="48" t="str">
        <f>FACILITIES!C37</f>
        <v/>
      </c>
      <c r="D145" s="49">
        <v>2025.0</v>
      </c>
      <c r="E145" s="50"/>
      <c r="F145" s="51" t="str">
        <f t="shared" si="1"/>
        <v/>
      </c>
      <c r="G145" s="52"/>
      <c r="H145" s="51" t="s">
        <v>78</v>
      </c>
      <c r="I145" s="53"/>
      <c r="J145" s="53"/>
      <c r="K145" s="51" t="str">
        <f t="shared" si="2"/>
        <v>Pending</v>
      </c>
    </row>
    <row r="146" ht="15.75" customHeight="1">
      <c r="A146" s="48" t="str">
        <f>FACILITIES!A38</f>
        <v>F037</v>
      </c>
      <c r="B146" s="48" t="str">
        <f>FACILITIES!B38</f>
        <v>Công ty cổ phần luyện thép Việt Ý</v>
      </c>
      <c r="C146" s="48" t="str">
        <f>FACILITIES!C38</f>
        <v/>
      </c>
      <c r="D146" s="49">
        <v>2022.0</v>
      </c>
      <c r="E146" s="50"/>
      <c r="F146" s="51" t="str">
        <f t="shared" si="1"/>
        <v/>
      </c>
      <c r="G146" s="52"/>
      <c r="H146" s="51" t="s">
        <v>78</v>
      </c>
      <c r="I146" s="53"/>
      <c r="J146" s="53"/>
      <c r="K146" s="51" t="str">
        <f t="shared" si="2"/>
        <v>Pending</v>
      </c>
    </row>
    <row r="147" ht="15.75" customHeight="1">
      <c r="A147" s="48" t="str">
        <f>FACILITIES!A38</f>
        <v>F037</v>
      </c>
      <c r="B147" s="48" t="str">
        <f>FACILITIES!B38</f>
        <v>Công ty cổ phần luyện thép Việt Ý</v>
      </c>
      <c r="C147" s="48" t="str">
        <f>FACILITIES!C38</f>
        <v/>
      </c>
      <c r="D147" s="49">
        <v>2023.0</v>
      </c>
      <c r="E147" s="50"/>
      <c r="F147" s="51" t="str">
        <f t="shared" si="1"/>
        <v/>
      </c>
      <c r="G147" s="52"/>
      <c r="H147" s="51" t="s">
        <v>78</v>
      </c>
      <c r="I147" s="53"/>
      <c r="J147" s="53"/>
      <c r="K147" s="51" t="str">
        <f t="shared" si="2"/>
        <v>Pending</v>
      </c>
    </row>
    <row r="148" ht="15.75" customHeight="1">
      <c r="A148" s="48" t="str">
        <f>FACILITIES!A38</f>
        <v>F037</v>
      </c>
      <c r="B148" s="48" t="str">
        <f>FACILITIES!B38</f>
        <v>Công ty cổ phần luyện thép Việt Ý</v>
      </c>
      <c r="C148" s="48" t="str">
        <f>FACILITIES!C38</f>
        <v/>
      </c>
      <c r="D148" s="49">
        <v>2024.0</v>
      </c>
      <c r="E148" s="50"/>
      <c r="F148" s="51" t="str">
        <f t="shared" si="1"/>
        <v/>
      </c>
      <c r="G148" s="52"/>
      <c r="H148" s="51" t="s">
        <v>78</v>
      </c>
      <c r="I148" s="53"/>
      <c r="J148" s="53"/>
      <c r="K148" s="51" t="str">
        <f t="shared" si="2"/>
        <v>Pending</v>
      </c>
    </row>
    <row r="149" ht="15.75" customHeight="1">
      <c r="A149" s="48" t="str">
        <f>FACILITIES!A38</f>
        <v>F037</v>
      </c>
      <c r="B149" s="48" t="str">
        <f>FACILITIES!B38</f>
        <v>Công ty cổ phần luyện thép Việt Ý</v>
      </c>
      <c r="C149" s="48" t="str">
        <f>FACILITIES!C38</f>
        <v/>
      </c>
      <c r="D149" s="49">
        <v>2025.0</v>
      </c>
      <c r="E149" s="50"/>
      <c r="F149" s="51" t="str">
        <f t="shared" si="1"/>
        <v/>
      </c>
      <c r="G149" s="52"/>
      <c r="H149" s="51" t="s">
        <v>78</v>
      </c>
      <c r="I149" s="53"/>
      <c r="J149" s="53"/>
      <c r="K149" s="51" t="str">
        <f t="shared" si="2"/>
        <v>Pending</v>
      </c>
    </row>
    <row r="150" ht="15.75" customHeight="1">
      <c r="A150" s="48" t="str">
        <f>FACILITIES!A39</f>
        <v>F038</v>
      </c>
      <c r="B150" s="48" t="str">
        <f>FACILITIES!B39</f>
        <v>Công ty cổ phần luyện thép cao cấp Việt Nhật</v>
      </c>
      <c r="C150" s="48" t="str">
        <f>FACILITIES!C39</f>
        <v/>
      </c>
      <c r="D150" s="49">
        <v>2022.0</v>
      </c>
      <c r="E150" s="50"/>
      <c r="F150" s="51" t="str">
        <f t="shared" si="1"/>
        <v/>
      </c>
      <c r="G150" s="52"/>
      <c r="H150" s="51" t="s">
        <v>78</v>
      </c>
      <c r="I150" s="53"/>
      <c r="J150" s="53"/>
      <c r="K150" s="51" t="str">
        <f t="shared" si="2"/>
        <v>Pending</v>
      </c>
    </row>
    <row r="151" ht="15.75" customHeight="1">
      <c r="A151" s="48" t="str">
        <f>FACILITIES!A39</f>
        <v>F038</v>
      </c>
      <c r="B151" s="48" t="str">
        <f>FACILITIES!B39</f>
        <v>Công ty cổ phần luyện thép cao cấp Việt Nhật</v>
      </c>
      <c r="C151" s="48" t="str">
        <f>FACILITIES!C39</f>
        <v/>
      </c>
      <c r="D151" s="49">
        <v>2023.0</v>
      </c>
      <c r="E151" s="50"/>
      <c r="F151" s="51" t="str">
        <f t="shared" si="1"/>
        <v/>
      </c>
      <c r="G151" s="52"/>
      <c r="H151" s="51" t="s">
        <v>78</v>
      </c>
      <c r="I151" s="53"/>
      <c r="J151" s="53"/>
      <c r="K151" s="51" t="str">
        <f t="shared" si="2"/>
        <v>Pending</v>
      </c>
    </row>
    <row r="152" ht="15.75" customHeight="1">
      <c r="A152" s="48" t="str">
        <f>FACILITIES!A39</f>
        <v>F038</v>
      </c>
      <c r="B152" s="48" t="str">
        <f>FACILITIES!B39</f>
        <v>Công ty cổ phần luyện thép cao cấp Việt Nhật</v>
      </c>
      <c r="C152" s="48" t="str">
        <f>FACILITIES!C39</f>
        <v/>
      </c>
      <c r="D152" s="49">
        <v>2024.0</v>
      </c>
      <c r="E152" s="50"/>
      <c r="F152" s="51" t="str">
        <f t="shared" si="1"/>
        <v/>
      </c>
      <c r="G152" s="52"/>
      <c r="H152" s="51" t="s">
        <v>78</v>
      </c>
      <c r="I152" s="53"/>
      <c r="J152" s="53"/>
      <c r="K152" s="51" t="str">
        <f t="shared" si="2"/>
        <v>Pending</v>
      </c>
    </row>
    <row r="153" ht="15.75" customHeight="1">
      <c r="A153" s="48" t="str">
        <f>FACILITIES!A39</f>
        <v>F038</v>
      </c>
      <c r="B153" s="48" t="str">
        <f>FACILITIES!B39</f>
        <v>Công ty cổ phần luyện thép cao cấp Việt Nhật</v>
      </c>
      <c r="C153" s="48" t="str">
        <f>FACILITIES!C39</f>
        <v/>
      </c>
      <c r="D153" s="49">
        <v>2025.0</v>
      </c>
      <c r="E153" s="50"/>
      <c r="F153" s="51" t="str">
        <f t="shared" si="1"/>
        <v/>
      </c>
      <c r="G153" s="52"/>
      <c r="H153" s="51" t="s">
        <v>78</v>
      </c>
      <c r="I153" s="53"/>
      <c r="J153" s="53"/>
      <c r="K153" s="51" t="str">
        <f t="shared" si="2"/>
        <v>Pending</v>
      </c>
    </row>
    <row r="154" ht="15.75" customHeight="1">
      <c r="A154" s="48" t="str">
        <f>FACILITIES!A40</f>
        <v>F039</v>
      </c>
      <c r="B154" s="48" t="str">
        <f>FACILITIES!B40</f>
        <v>Công ty TNHH MTV Thép Hòa Phát</v>
      </c>
      <c r="C154" s="48" t="str">
        <f>FACILITIES!C40</f>
        <v/>
      </c>
      <c r="D154" s="49">
        <v>2022.0</v>
      </c>
      <c r="E154" s="50"/>
      <c r="F154" s="51" t="str">
        <f t="shared" si="1"/>
        <v/>
      </c>
      <c r="G154" s="52"/>
      <c r="H154" s="51" t="s">
        <v>78</v>
      </c>
      <c r="I154" s="53"/>
      <c r="J154" s="53"/>
      <c r="K154" s="51" t="str">
        <f t="shared" si="2"/>
        <v>Pending</v>
      </c>
    </row>
    <row r="155" ht="15.75" customHeight="1">
      <c r="A155" s="48" t="str">
        <f>FACILITIES!A40</f>
        <v>F039</v>
      </c>
      <c r="B155" s="48" t="str">
        <f>FACILITIES!B40</f>
        <v>Công ty TNHH MTV Thép Hòa Phát</v>
      </c>
      <c r="C155" s="48" t="str">
        <f>FACILITIES!C40</f>
        <v/>
      </c>
      <c r="D155" s="49">
        <v>2023.0</v>
      </c>
      <c r="E155" s="50"/>
      <c r="F155" s="51" t="str">
        <f t="shared" si="1"/>
        <v/>
      </c>
      <c r="G155" s="52"/>
      <c r="H155" s="51" t="s">
        <v>78</v>
      </c>
      <c r="I155" s="53"/>
      <c r="J155" s="53"/>
      <c r="K155" s="51" t="str">
        <f t="shared" si="2"/>
        <v>Pending</v>
      </c>
    </row>
    <row r="156" ht="15.75" customHeight="1">
      <c r="A156" s="48" t="str">
        <f>FACILITIES!A40</f>
        <v>F039</v>
      </c>
      <c r="B156" s="48" t="str">
        <f>FACILITIES!B40</f>
        <v>Công ty TNHH MTV Thép Hòa Phát</v>
      </c>
      <c r="C156" s="48" t="str">
        <f>FACILITIES!C40</f>
        <v/>
      </c>
      <c r="D156" s="49">
        <v>2024.0</v>
      </c>
      <c r="E156" s="50"/>
      <c r="F156" s="51" t="str">
        <f t="shared" si="1"/>
        <v/>
      </c>
      <c r="G156" s="52"/>
      <c r="H156" s="51" t="s">
        <v>78</v>
      </c>
      <c r="I156" s="53"/>
      <c r="J156" s="53"/>
      <c r="K156" s="51" t="str">
        <f t="shared" si="2"/>
        <v>Pending</v>
      </c>
    </row>
    <row r="157" ht="15.75" customHeight="1">
      <c r="A157" s="48" t="str">
        <f>FACILITIES!A40</f>
        <v>F039</v>
      </c>
      <c r="B157" s="48" t="str">
        <f>FACILITIES!B40</f>
        <v>Công ty TNHH MTV Thép Hòa Phát</v>
      </c>
      <c r="C157" s="48" t="str">
        <f>FACILITIES!C40</f>
        <v/>
      </c>
      <c r="D157" s="49">
        <v>2025.0</v>
      </c>
      <c r="E157" s="50"/>
      <c r="F157" s="51" t="str">
        <f t="shared" si="1"/>
        <v/>
      </c>
      <c r="G157" s="52"/>
      <c r="H157" s="51" t="s">
        <v>78</v>
      </c>
      <c r="I157" s="53"/>
      <c r="J157" s="53"/>
      <c r="K157" s="51" t="str">
        <f t="shared" si="2"/>
        <v>Pending</v>
      </c>
    </row>
    <row r="158" ht="15.75" customHeight="1">
      <c r="A158" s="48" t="str">
        <f>FACILITIES!A41</f>
        <v>F040</v>
      </c>
      <c r="B158" s="48" t="str">
        <f>FACILITIES!B41</f>
        <v>Công ty TNHH Gang Thép Hung Nghiệp Formosa Hà Tĩnh</v>
      </c>
      <c r="C158" s="48" t="str">
        <f>FACILITIES!C41</f>
        <v/>
      </c>
      <c r="D158" s="49">
        <v>2022.0</v>
      </c>
      <c r="E158" s="50"/>
      <c r="F158" s="51" t="str">
        <f t="shared" si="1"/>
        <v/>
      </c>
      <c r="G158" s="52"/>
      <c r="H158" s="51" t="s">
        <v>78</v>
      </c>
      <c r="I158" s="53"/>
      <c r="J158" s="53"/>
      <c r="K158" s="51" t="str">
        <f t="shared" si="2"/>
        <v>Pending</v>
      </c>
    </row>
    <row r="159" ht="15.75" customHeight="1">
      <c r="A159" s="48" t="str">
        <f>FACILITIES!A41</f>
        <v>F040</v>
      </c>
      <c r="B159" s="48" t="str">
        <f>FACILITIES!B41</f>
        <v>Công ty TNHH Gang Thép Hung Nghiệp Formosa Hà Tĩnh</v>
      </c>
      <c r="C159" s="48" t="str">
        <f>FACILITIES!C41</f>
        <v/>
      </c>
      <c r="D159" s="49">
        <v>2023.0</v>
      </c>
      <c r="E159" s="50"/>
      <c r="F159" s="51" t="str">
        <f t="shared" si="1"/>
        <v/>
      </c>
      <c r="G159" s="52"/>
      <c r="H159" s="51" t="s">
        <v>78</v>
      </c>
      <c r="I159" s="53"/>
      <c r="J159" s="53"/>
      <c r="K159" s="51" t="str">
        <f t="shared" si="2"/>
        <v>Pending</v>
      </c>
    </row>
    <row r="160" ht="15.75" customHeight="1">
      <c r="A160" s="48" t="str">
        <f>FACILITIES!A41</f>
        <v>F040</v>
      </c>
      <c r="B160" s="48" t="str">
        <f>FACILITIES!B41</f>
        <v>Công ty TNHH Gang Thép Hung Nghiệp Formosa Hà Tĩnh</v>
      </c>
      <c r="C160" s="48" t="str">
        <f>FACILITIES!C41</f>
        <v/>
      </c>
      <c r="D160" s="49">
        <v>2024.0</v>
      </c>
      <c r="E160" s="50"/>
      <c r="F160" s="51" t="str">
        <f t="shared" si="1"/>
        <v/>
      </c>
      <c r="G160" s="52"/>
      <c r="H160" s="51" t="s">
        <v>78</v>
      </c>
      <c r="I160" s="53"/>
      <c r="J160" s="53"/>
      <c r="K160" s="51" t="str">
        <f t="shared" si="2"/>
        <v>Pending</v>
      </c>
    </row>
    <row r="161" ht="15.75" customHeight="1">
      <c r="A161" s="48" t="str">
        <f>FACILITIES!A41</f>
        <v>F040</v>
      </c>
      <c r="B161" s="48" t="str">
        <f>FACILITIES!B41</f>
        <v>Công ty TNHH Gang Thép Hung Nghiệp Formosa Hà Tĩnh</v>
      </c>
      <c r="C161" s="48" t="str">
        <f>FACILITIES!C41</f>
        <v/>
      </c>
      <c r="D161" s="49">
        <v>2025.0</v>
      </c>
      <c r="E161" s="50"/>
      <c r="F161" s="51" t="str">
        <f t="shared" si="1"/>
        <v/>
      </c>
      <c r="G161" s="52"/>
      <c r="H161" s="51" t="s">
        <v>78</v>
      </c>
      <c r="I161" s="53"/>
      <c r="J161" s="53"/>
      <c r="K161" s="51" t="str">
        <f t="shared" si="2"/>
        <v>Pending</v>
      </c>
    </row>
    <row r="162" ht="15.75" customHeight="1">
      <c r="A162" s="48" t="str">
        <f>FACILITIES!A42</f>
        <v>F041</v>
      </c>
      <c r="B162" s="48" t="str">
        <f>FACILITIES!B42</f>
        <v>Công ty cổ phần Thép Hòa Phát Dung Quất</v>
      </c>
      <c r="C162" s="48" t="str">
        <f>FACILITIES!C42</f>
        <v/>
      </c>
      <c r="D162" s="49">
        <v>2022.0</v>
      </c>
      <c r="E162" s="50"/>
      <c r="F162" s="51" t="str">
        <f t="shared" si="1"/>
        <v/>
      </c>
      <c r="G162" s="52"/>
      <c r="H162" s="51" t="s">
        <v>78</v>
      </c>
      <c r="I162" s="53"/>
      <c r="J162" s="53"/>
      <c r="K162" s="51" t="str">
        <f t="shared" si="2"/>
        <v>Pending</v>
      </c>
    </row>
    <row r="163" ht="15.75" customHeight="1">
      <c r="A163" s="48" t="str">
        <f>FACILITIES!A42</f>
        <v>F041</v>
      </c>
      <c r="B163" s="48" t="str">
        <f>FACILITIES!B42</f>
        <v>Công ty cổ phần Thép Hòa Phát Dung Quất</v>
      </c>
      <c r="C163" s="48" t="str">
        <f>FACILITIES!C42</f>
        <v/>
      </c>
      <c r="D163" s="49">
        <v>2023.0</v>
      </c>
      <c r="E163" s="50"/>
      <c r="F163" s="51" t="str">
        <f t="shared" si="1"/>
        <v/>
      </c>
      <c r="G163" s="52"/>
      <c r="H163" s="51" t="s">
        <v>78</v>
      </c>
      <c r="I163" s="53"/>
      <c r="J163" s="53"/>
      <c r="K163" s="51" t="str">
        <f t="shared" si="2"/>
        <v>Pending</v>
      </c>
    </row>
    <row r="164" ht="15.75" customHeight="1">
      <c r="A164" s="48" t="str">
        <f>FACILITIES!A42</f>
        <v>F041</v>
      </c>
      <c r="B164" s="48" t="str">
        <f>FACILITIES!B42</f>
        <v>Công ty cổ phần Thép Hòa Phát Dung Quất</v>
      </c>
      <c r="C164" s="48" t="str">
        <f>FACILITIES!C42</f>
        <v/>
      </c>
      <c r="D164" s="49">
        <v>2024.0</v>
      </c>
      <c r="E164" s="50"/>
      <c r="F164" s="51" t="str">
        <f t="shared" si="1"/>
        <v/>
      </c>
      <c r="G164" s="52"/>
      <c r="H164" s="51" t="s">
        <v>78</v>
      </c>
      <c r="I164" s="53"/>
      <c r="J164" s="53"/>
      <c r="K164" s="51" t="str">
        <f t="shared" si="2"/>
        <v>Pending</v>
      </c>
    </row>
    <row r="165" ht="15.75" customHeight="1">
      <c r="A165" s="48" t="str">
        <f>FACILITIES!A42</f>
        <v>F041</v>
      </c>
      <c r="B165" s="48" t="str">
        <f>FACILITIES!B42</f>
        <v>Công ty cổ phần Thép Hòa Phát Dung Quất</v>
      </c>
      <c r="C165" s="48" t="str">
        <f>FACILITIES!C42</f>
        <v/>
      </c>
      <c r="D165" s="49">
        <v>2025.0</v>
      </c>
      <c r="E165" s="50"/>
      <c r="F165" s="51" t="str">
        <f t="shared" si="1"/>
        <v/>
      </c>
      <c r="G165" s="52"/>
      <c r="H165" s="51" t="s">
        <v>78</v>
      </c>
      <c r="I165" s="53"/>
      <c r="J165" s="53"/>
      <c r="K165" s="51" t="str">
        <f t="shared" si="2"/>
        <v>Pending</v>
      </c>
    </row>
    <row r="166" ht="15.75" customHeight="1">
      <c r="A166" s="48" t="str">
        <f>FACILITIES!A43</f>
        <v>F042</v>
      </c>
      <c r="B166" s="48" t="str">
        <f>FACILITIES!B43</f>
        <v>Công ty cổ phần Thép Thủ Đức - Vnsteel</v>
      </c>
      <c r="C166" s="48" t="str">
        <f>FACILITIES!C43</f>
        <v/>
      </c>
      <c r="D166" s="49">
        <v>2022.0</v>
      </c>
      <c r="E166" s="50"/>
      <c r="F166" s="51" t="str">
        <f t="shared" si="1"/>
        <v/>
      </c>
      <c r="G166" s="52"/>
      <c r="H166" s="51" t="s">
        <v>78</v>
      </c>
      <c r="I166" s="53"/>
      <c r="J166" s="53"/>
      <c r="K166" s="51" t="str">
        <f t="shared" si="2"/>
        <v>Pending</v>
      </c>
    </row>
    <row r="167" ht="15.75" customHeight="1">
      <c r="A167" s="48" t="str">
        <f>FACILITIES!A43</f>
        <v>F042</v>
      </c>
      <c r="B167" s="48" t="str">
        <f>FACILITIES!B43</f>
        <v>Công ty cổ phần Thép Thủ Đức - Vnsteel</v>
      </c>
      <c r="C167" s="48" t="str">
        <f>FACILITIES!C43</f>
        <v/>
      </c>
      <c r="D167" s="49">
        <v>2023.0</v>
      </c>
      <c r="E167" s="50"/>
      <c r="F167" s="51" t="str">
        <f t="shared" si="1"/>
        <v/>
      </c>
      <c r="G167" s="52"/>
      <c r="H167" s="51" t="s">
        <v>78</v>
      </c>
      <c r="I167" s="53"/>
      <c r="J167" s="53"/>
      <c r="K167" s="51" t="str">
        <f t="shared" si="2"/>
        <v>Pending</v>
      </c>
    </row>
    <row r="168" ht="15.75" customHeight="1">
      <c r="A168" s="48" t="str">
        <f>FACILITIES!A43</f>
        <v>F042</v>
      </c>
      <c r="B168" s="48" t="str">
        <f>FACILITIES!B43</f>
        <v>Công ty cổ phần Thép Thủ Đức - Vnsteel</v>
      </c>
      <c r="C168" s="48" t="str">
        <f>FACILITIES!C43</f>
        <v/>
      </c>
      <c r="D168" s="49">
        <v>2024.0</v>
      </c>
      <c r="E168" s="50"/>
      <c r="F168" s="51" t="str">
        <f t="shared" si="1"/>
        <v/>
      </c>
      <c r="G168" s="52"/>
      <c r="H168" s="51" t="s">
        <v>78</v>
      </c>
      <c r="I168" s="53"/>
      <c r="J168" s="53"/>
      <c r="K168" s="51" t="str">
        <f t="shared" si="2"/>
        <v>Pending</v>
      </c>
    </row>
    <row r="169" ht="15.75" customHeight="1">
      <c r="A169" s="48" t="str">
        <f>FACILITIES!A43</f>
        <v>F042</v>
      </c>
      <c r="B169" s="48" t="str">
        <f>FACILITIES!B43</f>
        <v>Công ty cổ phần Thép Thủ Đức - Vnsteel</v>
      </c>
      <c r="C169" s="48" t="str">
        <f>FACILITIES!C43</f>
        <v/>
      </c>
      <c r="D169" s="49">
        <v>2025.0</v>
      </c>
      <c r="E169" s="50"/>
      <c r="F169" s="51" t="str">
        <f t="shared" si="1"/>
        <v/>
      </c>
      <c r="G169" s="52"/>
      <c r="H169" s="51" t="s">
        <v>78</v>
      </c>
      <c r="I169" s="53"/>
      <c r="J169" s="53"/>
      <c r="K169" s="51" t="str">
        <f t="shared" si="2"/>
        <v>Pending</v>
      </c>
    </row>
    <row r="170" ht="15.75" customHeight="1">
      <c r="A170" s="48" t="str">
        <f>FACILITIES!A44</f>
        <v>F043</v>
      </c>
      <c r="B170" s="48" t="str">
        <f>FACILITIES!B44</f>
        <v>Công ty TNHH thép Tung Ho Việt Nam</v>
      </c>
      <c r="C170" s="48" t="str">
        <f>FACILITIES!C44</f>
        <v/>
      </c>
      <c r="D170" s="49">
        <v>2022.0</v>
      </c>
      <c r="E170" s="50"/>
      <c r="F170" s="51" t="str">
        <f t="shared" si="1"/>
        <v/>
      </c>
      <c r="G170" s="52"/>
      <c r="H170" s="51" t="s">
        <v>78</v>
      </c>
      <c r="I170" s="53"/>
      <c r="J170" s="53"/>
      <c r="K170" s="51" t="str">
        <f t="shared" si="2"/>
        <v>Pending</v>
      </c>
    </row>
    <row r="171" ht="15.75" customHeight="1">
      <c r="A171" s="48" t="str">
        <f>FACILITIES!A44</f>
        <v>F043</v>
      </c>
      <c r="B171" s="48" t="str">
        <f>FACILITIES!B44</f>
        <v>Công ty TNHH thép Tung Ho Việt Nam</v>
      </c>
      <c r="C171" s="48" t="str">
        <f>FACILITIES!C44</f>
        <v/>
      </c>
      <c r="D171" s="49">
        <v>2023.0</v>
      </c>
      <c r="E171" s="50"/>
      <c r="F171" s="51" t="str">
        <f t="shared" si="1"/>
        <v/>
      </c>
      <c r="G171" s="52"/>
      <c r="H171" s="51" t="s">
        <v>78</v>
      </c>
      <c r="I171" s="53"/>
      <c r="J171" s="53"/>
      <c r="K171" s="51" t="str">
        <f t="shared" si="2"/>
        <v>Pending</v>
      </c>
    </row>
    <row r="172" ht="15.75" customHeight="1">
      <c r="A172" s="48" t="str">
        <f>FACILITIES!A44</f>
        <v>F043</v>
      </c>
      <c r="B172" s="48" t="str">
        <f>FACILITIES!B44</f>
        <v>Công ty TNHH thép Tung Ho Việt Nam</v>
      </c>
      <c r="C172" s="48" t="str">
        <f>FACILITIES!C44</f>
        <v/>
      </c>
      <c r="D172" s="49">
        <v>2024.0</v>
      </c>
      <c r="E172" s="50"/>
      <c r="F172" s="51" t="str">
        <f t="shared" si="1"/>
        <v/>
      </c>
      <c r="G172" s="52"/>
      <c r="H172" s="51" t="s">
        <v>78</v>
      </c>
      <c r="I172" s="53"/>
      <c r="J172" s="53"/>
      <c r="K172" s="51" t="str">
        <f t="shared" si="2"/>
        <v>Pending</v>
      </c>
    </row>
    <row r="173" ht="15.75" customHeight="1">
      <c r="A173" s="48" t="str">
        <f>FACILITIES!A44</f>
        <v>F043</v>
      </c>
      <c r="B173" s="48" t="str">
        <f>FACILITIES!B44</f>
        <v>Công ty TNHH thép Tung Ho Việt Nam</v>
      </c>
      <c r="C173" s="48" t="str">
        <f>FACILITIES!C44</f>
        <v/>
      </c>
      <c r="D173" s="49">
        <v>2025.0</v>
      </c>
      <c r="E173" s="50"/>
      <c r="F173" s="51" t="str">
        <f t="shared" si="1"/>
        <v/>
      </c>
      <c r="G173" s="52"/>
      <c r="H173" s="51" t="s">
        <v>78</v>
      </c>
      <c r="I173" s="53"/>
      <c r="J173" s="53"/>
      <c r="K173" s="51" t="str">
        <f t="shared" si="2"/>
        <v>Pending</v>
      </c>
    </row>
    <row r="174" ht="15.75" customHeight="1">
      <c r="A174" s="48" t="str">
        <f>FACILITIES!A45</f>
        <v>F044</v>
      </c>
      <c r="B174" s="48" t="str">
        <f>FACILITIES!B45</f>
        <v>Nhà máy thép Pomina 2</v>
      </c>
      <c r="C174" s="48" t="str">
        <f>FACILITIES!C45</f>
        <v/>
      </c>
      <c r="D174" s="49">
        <v>2022.0</v>
      </c>
      <c r="E174" s="50"/>
      <c r="F174" s="51" t="str">
        <f t="shared" si="1"/>
        <v/>
      </c>
      <c r="G174" s="52"/>
      <c r="H174" s="51" t="s">
        <v>78</v>
      </c>
      <c r="I174" s="53"/>
      <c r="J174" s="53"/>
      <c r="K174" s="51" t="str">
        <f t="shared" si="2"/>
        <v>Pending</v>
      </c>
    </row>
    <row r="175" ht="15.75" customHeight="1">
      <c r="A175" s="48" t="str">
        <f>FACILITIES!A45</f>
        <v>F044</v>
      </c>
      <c r="B175" s="48" t="str">
        <f>FACILITIES!B45</f>
        <v>Nhà máy thép Pomina 2</v>
      </c>
      <c r="C175" s="48" t="str">
        <f>FACILITIES!C45</f>
        <v/>
      </c>
      <c r="D175" s="49">
        <v>2023.0</v>
      </c>
      <c r="E175" s="50"/>
      <c r="F175" s="51" t="str">
        <f t="shared" si="1"/>
        <v/>
      </c>
      <c r="G175" s="52"/>
      <c r="H175" s="51" t="s">
        <v>78</v>
      </c>
      <c r="I175" s="53"/>
      <c r="J175" s="53"/>
      <c r="K175" s="51" t="str">
        <f t="shared" si="2"/>
        <v>Pending</v>
      </c>
    </row>
    <row r="176" ht="15.75" customHeight="1">
      <c r="A176" s="48" t="str">
        <f>FACILITIES!A45</f>
        <v>F044</v>
      </c>
      <c r="B176" s="48" t="str">
        <f>FACILITIES!B45</f>
        <v>Nhà máy thép Pomina 2</v>
      </c>
      <c r="C176" s="48" t="str">
        <f>FACILITIES!C45</f>
        <v/>
      </c>
      <c r="D176" s="49">
        <v>2024.0</v>
      </c>
      <c r="E176" s="50"/>
      <c r="F176" s="51" t="str">
        <f t="shared" si="1"/>
        <v/>
      </c>
      <c r="G176" s="52"/>
      <c r="H176" s="51" t="s">
        <v>78</v>
      </c>
      <c r="I176" s="53"/>
      <c r="J176" s="53"/>
      <c r="K176" s="51" t="str">
        <f t="shared" si="2"/>
        <v>Pending</v>
      </c>
    </row>
    <row r="177" ht="15.75" customHeight="1">
      <c r="A177" s="48" t="str">
        <f>FACILITIES!A45</f>
        <v>F044</v>
      </c>
      <c r="B177" s="48" t="str">
        <f>FACILITIES!B45</f>
        <v>Nhà máy thép Pomina 2</v>
      </c>
      <c r="C177" s="48" t="str">
        <f>FACILITIES!C45</f>
        <v/>
      </c>
      <c r="D177" s="49">
        <v>2025.0</v>
      </c>
      <c r="E177" s="50"/>
      <c r="F177" s="51" t="str">
        <f t="shared" si="1"/>
        <v/>
      </c>
      <c r="G177" s="52"/>
      <c r="H177" s="51" t="s">
        <v>78</v>
      </c>
      <c r="I177" s="53"/>
      <c r="J177" s="53"/>
      <c r="K177" s="51" t="str">
        <f t="shared" si="2"/>
        <v>Pending</v>
      </c>
    </row>
    <row r="178" ht="15.75" customHeight="1">
      <c r="A178" s="48" t="str">
        <f>FACILITIES!A46</f>
        <v>F045</v>
      </c>
      <c r="B178" s="48" t="str">
        <f>FACILITIES!B46</f>
        <v>Công ty TNHH MTV Thép Miền Nam</v>
      </c>
      <c r="C178" s="48" t="str">
        <f>FACILITIES!C46</f>
        <v/>
      </c>
      <c r="D178" s="49">
        <v>2022.0</v>
      </c>
      <c r="E178" s="50"/>
      <c r="F178" s="51" t="str">
        <f t="shared" si="1"/>
        <v/>
      </c>
      <c r="G178" s="52"/>
      <c r="H178" s="51" t="s">
        <v>78</v>
      </c>
      <c r="I178" s="53"/>
      <c r="J178" s="53"/>
      <c r="K178" s="51" t="str">
        <f t="shared" si="2"/>
        <v>Pending</v>
      </c>
    </row>
    <row r="179" ht="15.75" customHeight="1">
      <c r="A179" s="48" t="str">
        <f>FACILITIES!A46</f>
        <v>F045</v>
      </c>
      <c r="B179" s="48" t="str">
        <f>FACILITIES!B46</f>
        <v>Công ty TNHH MTV Thép Miền Nam</v>
      </c>
      <c r="C179" s="48" t="str">
        <f>FACILITIES!C46</f>
        <v/>
      </c>
      <c r="D179" s="49">
        <v>2023.0</v>
      </c>
      <c r="E179" s="50"/>
      <c r="F179" s="51" t="str">
        <f t="shared" si="1"/>
        <v/>
      </c>
      <c r="G179" s="52"/>
      <c r="H179" s="51" t="s">
        <v>78</v>
      </c>
      <c r="I179" s="53"/>
      <c r="J179" s="53"/>
      <c r="K179" s="51" t="str">
        <f t="shared" si="2"/>
        <v>Pending</v>
      </c>
    </row>
    <row r="180" ht="15.75" customHeight="1">
      <c r="A180" s="48" t="str">
        <f>FACILITIES!A46</f>
        <v>F045</v>
      </c>
      <c r="B180" s="48" t="str">
        <f>FACILITIES!B46</f>
        <v>Công ty TNHH MTV Thép Miền Nam</v>
      </c>
      <c r="C180" s="48" t="str">
        <f>FACILITIES!C46</f>
        <v/>
      </c>
      <c r="D180" s="49">
        <v>2024.0</v>
      </c>
      <c r="E180" s="50"/>
      <c r="F180" s="51" t="str">
        <f t="shared" si="1"/>
        <v/>
      </c>
      <c r="G180" s="52"/>
      <c r="H180" s="51" t="s">
        <v>78</v>
      </c>
      <c r="I180" s="53"/>
      <c r="J180" s="53"/>
      <c r="K180" s="51" t="str">
        <f t="shared" si="2"/>
        <v>Pending</v>
      </c>
    </row>
    <row r="181" ht="15.75" customHeight="1">
      <c r="A181" s="48" t="str">
        <f>FACILITIES!A46</f>
        <v>F045</v>
      </c>
      <c r="B181" s="48" t="str">
        <f>FACILITIES!B46</f>
        <v>Công ty TNHH MTV Thép Miền Nam</v>
      </c>
      <c r="C181" s="48" t="str">
        <f>FACILITIES!C46</f>
        <v/>
      </c>
      <c r="D181" s="49">
        <v>2025.0</v>
      </c>
      <c r="E181" s="50"/>
      <c r="F181" s="51" t="str">
        <f t="shared" si="1"/>
        <v/>
      </c>
      <c r="G181" s="52"/>
      <c r="H181" s="51" t="s">
        <v>78</v>
      </c>
      <c r="I181" s="53"/>
      <c r="J181" s="53"/>
      <c r="K181" s="51" t="str">
        <f t="shared" si="2"/>
        <v>Pending</v>
      </c>
    </row>
    <row r="182" ht="15.75" customHeight="1">
      <c r="A182" s="48" t="str">
        <f>FACILITIES!A47</f>
        <v>F046</v>
      </c>
      <c r="B182" s="48" t="str">
        <f>FACILITIES!B47</f>
        <v>Công ty TNHH Posco SS - Vina</v>
      </c>
      <c r="C182" s="48" t="str">
        <f>FACILITIES!C47</f>
        <v/>
      </c>
      <c r="D182" s="49">
        <v>2022.0</v>
      </c>
      <c r="E182" s="50"/>
      <c r="F182" s="51" t="str">
        <f t="shared" si="1"/>
        <v/>
      </c>
      <c r="G182" s="52"/>
      <c r="H182" s="51" t="s">
        <v>78</v>
      </c>
      <c r="I182" s="53"/>
      <c r="J182" s="53"/>
      <c r="K182" s="51" t="str">
        <f t="shared" si="2"/>
        <v>Pending</v>
      </c>
    </row>
    <row r="183" ht="15.75" customHeight="1">
      <c r="A183" s="48" t="str">
        <f>FACILITIES!A47</f>
        <v>F046</v>
      </c>
      <c r="B183" s="48" t="str">
        <f>FACILITIES!B47</f>
        <v>Công ty TNHH Posco SS - Vina</v>
      </c>
      <c r="C183" s="48" t="str">
        <f>FACILITIES!C47</f>
        <v/>
      </c>
      <c r="D183" s="49">
        <v>2023.0</v>
      </c>
      <c r="E183" s="50"/>
      <c r="F183" s="51" t="str">
        <f t="shared" si="1"/>
        <v/>
      </c>
      <c r="G183" s="52"/>
      <c r="H183" s="51" t="s">
        <v>78</v>
      </c>
      <c r="I183" s="53"/>
      <c r="J183" s="53"/>
      <c r="K183" s="51" t="str">
        <f t="shared" si="2"/>
        <v>Pending</v>
      </c>
    </row>
    <row r="184" ht="15.75" customHeight="1">
      <c r="A184" s="48" t="str">
        <f>FACILITIES!A47</f>
        <v>F046</v>
      </c>
      <c r="B184" s="48" t="str">
        <f>FACILITIES!B47</f>
        <v>Công ty TNHH Posco SS - Vina</v>
      </c>
      <c r="C184" s="48" t="str">
        <f>FACILITIES!C47</f>
        <v/>
      </c>
      <c r="D184" s="49">
        <v>2024.0</v>
      </c>
      <c r="E184" s="50"/>
      <c r="F184" s="51" t="str">
        <f t="shared" si="1"/>
        <v/>
      </c>
      <c r="G184" s="52"/>
      <c r="H184" s="51" t="s">
        <v>78</v>
      </c>
      <c r="I184" s="53"/>
      <c r="J184" s="53"/>
      <c r="K184" s="51" t="str">
        <f t="shared" si="2"/>
        <v>Pending</v>
      </c>
    </row>
    <row r="185" ht="15.75" customHeight="1">
      <c r="A185" s="48" t="str">
        <f>FACILITIES!A47</f>
        <v>F046</v>
      </c>
      <c r="B185" s="48" t="str">
        <f>FACILITIES!B47</f>
        <v>Công ty TNHH Posco SS - Vina</v>
      </c>
      <c r="C185" s="48" t="str">
        <f>FACILITIES!C47</f>
        <v/>
      </c>
      <c r="D185" s="49">
        <v>2025.0</v>
      </c>
      <c r="E185" s="50"/>
      <c r="F185" s="51" t="str">
        <f t="shared" si="1"/>
        <v/>
      </c>
      <c r="G185" s="52"/>
      <c r="H185" s="51" t="s">
        <v>78</v>
      </c>
      <c r="I185" s="53"/>
      <c r="J185" s="53"/>
      <c r="K185" s="51" t="str">
        <f t="shared" si="2"/>
        <v>Pending</v>
      </c>
    </row>
    <row r="186" ht="15.75" customHeight="1">
      <c r="A186" s="48" t="str">
        <f>FACILITIES!A48</f>
        <v>F047</v>
      </c>
      <c r="B186" s="48" t="str">
        <f>FACILITIES!B48</f>
        <v>Công ty TNHH Thép Vina Kyoei</v>
      </c>
      <c r="C186" s="48" t="str">
        <f>FACILITIES!C48</f>
        <v/>
      </c>
      <c r="D186" s="49">
        <v>2022.0</v>
      </c>
      <c r="E186" s="50"/>
      <c r="F186" s="51" t="str">
        <f t="shared" si="1"/>
        <v/>
      </c>
      <c r="G186" s="52"/>
      <c r="H186" s="51" t="s">
        <v>78</v>
      </c>
      <c r="I186" s="53"/>
      <c r="J186" s="53"/>
      <c r="K186" s="51" t="str">
        <f t="shared" si="2"/>
        <v>Pending</v>
      </c>
    </row>
    <row r="187" ht="15.75" customHeight="1">
      <c r="A187" s="48" t="str">
        <f>FACILITIES!A48</f>
        <v>F047</v>
      </c>
      <c r="B187" s="48" t="str">
        <f>FACILITIES!B48</f>
        <v>Công ty TNHH Thép Vina Kyoei</v>
      </c>
      <c r="C187" s="48" t="str">
        <f>FACILITIES!C48</f>
        <v/>
      </c>
      <c r="D187" s="49">
        <v>2023.0</v>
      </c>
      <c r="E187" s="50"/>
      <c r="F187" s="51" t="str">
        <f t="shared" si="1"/>
        <v/>
      </c>
      <c r="G187" s="52"/>
      <c r="H187" s="51" t="s">
        <v>78</v>
      </c>
      <c r="I187" s="53"/>
      <c r="J187" s="53"/>
      <c r="K187" s="51" t="str">
        <f t="shared" si="2"/>
        <v>Pending</v>
      </c>
    </row>
    <row r="188" ht="15.75" customHeight="1">
      <c r="A188" s="48" t="str">
        <f>FACILITIES!A48</f>
        <v>F047</v>
      </c>
      <c r="B188" s="48" t="str">
        <f>FACILITIES!B48</f>
        <v>Công ty TNHH Thép Vina Kyoei</v>
      </c>
      <c r="C188" s="48" t="str">
        <f>FACILITIES!C48</f>
        <v/>
      </c>
      <c r="D188" s="49">
        <v>2024.0</v>
      </c>
      <c r="E188" s="50"/>
      <c r="F188" s="51" t="str">
        <f t="shared" si="1"/>
        <v/>
      </c>
      <c r="G188" s="52"/>
      <c r="H188" s="51" t="s">
        <v>78</v>
      </c>
      <c r="I188" s="53"/>
      <c r="J188" s="53"/>
      <c r="K188" s="51" t="str">
        <f t="shared" si="2"/>
        <v>Pending</v>
      </c>
    </row>
    <row r="189" ht="15.75" customHeight="1">
      <c r="A189" s="48" t="str">
        <f>FACILITIES!A48</f>
        <v>F047</v>
      </c>
      <c r="B189" s="48" t="str">
        <f>FACILITIES!B48</f>
        <v>Công ty TNHH Thép Vina Kyoei</v>
      </c>
      <c r="C189" s="48" t="str">
        <f>FACILITIES!C48</f>
        <v/>
      </c>
      <c r="D189" s="49">
        <v>2025.0</v>
      </c>
      <c r="E189" s="50"/>
      <c r="F189" s="51" t="str">
        <f t="shared" si="1"/>
        <v/>
      </c>
      <c r="G189" s="52"/>
      <c r="H189" s="51" t="s">
        <v>78</v>
      </c>
      <c r="I189" s="53"/>
      <c r="J189" s="53"/>
      <c r="K189" s="51" t="str">
        <f t="shared" si="2"/>
        <v>Pending</v>
      </c>
    </row>
    <row r="190" ht="15.75" customHeight="1">
      <c r="A190" s="48" t="str">
        <f>FACILITIES!A49</f>
        <v>F048</v>
      </c>
      <c r="B190" s="48" t="str">
        <f>FACILITIES!B49</f>
        <v>Công ty TNHH thép VAS An Hưng Tường</v>
      </c>
      <c r="C190" s="48" t="str">
        <f>FACILITIES!C49</f>
        <v/>
      </c>
      <c r="D190" s="49">
        <v>2022.0</v>
      </c>
      <c r="E190" s="50"/>
      <c r="F190" s="51" t="str">
        <f t="shared" si="1"/>
        <v/>
      </c>
      <c r="G190" s="52"/>
      <c r="H190" s="51" t="s">
        <v>78</v>
      </c>
      <c r="I190" s="53"/>
      <c r="J190" s="53"/>
      <c r="K190" s="51" t="str">
        <f t="shared" si="2"/>
        <v>Pending</v>
      </c>
    </row>
    <row r="191" ht="15.75" customHeight="1">
      <c r="A191" s="48" t="str">
        <f>FACILITIES!A49</f>
        <v>F048</v>
      </c>
      <c r="B191" s="48" t="str">
        <f>FACILITIES!B49</f>
        <v>Công ty TNHH thép VAS An Hưng Tường</v>
      </c>
      <c r="C191" s="48" t="str">
        <f>FACILITIES!C49</f>
        <v/>
      </c>
      <c r="D191" s="49">
        <v>2023.0</v>
      </c>
      <c r="E191" s="50"/>
      <c r="F191" s="51" t="str">
        <f t="shared" si="1"/>
        <v/>
      </c>
      <c r="G191" s="52"/>
      <c r="H191" s="51" t="s">
        <v>78</v>
      </c>
      <c r="I191" s="53"/>
      <c r="J191" s="53"/>
      <c r="K191" s="51" t="str">
        <f t="shared" si="2"/>
        <v>Pending</v>
      </c>
    </row>
    <row r="192" ht="15.75" customHeight="1">
      <c r="A192" s="48" t="str">
        <f>FACILITIES!A49</f>
        <v>F048</v>
      </c>
      <c r="B192" s="48" t="str">
        <f>FACILITIES!B49</f>
        <v>Công ty TNHH thép VAS An Hưng Tường</v>
      </c>
      <c r="C192" s="48" t="str">
        <f>FACILITIES!C49</f>
        <v/>
      </c>
      <c r="D192" s="49">
        <v>2024.0</v>
      </c>
      <c r="E192" s="50"/>
      <c r="F192" s="51" t="str">
        <f t="shared" si="1"/>
        <v/>
      </c>
      <c r="G192" s="52"/>
      <c r="H192" s="51" t="s">
        <v>78</v>
      </c>
      <c r="I192" s="53"/>
      <c r="J192" s="53"/>
      <c r="K192" s="51" t="str">
        <f t="shared" si="2"/>
        <v>Pending</v>
      </c>
    </row>
    <row r="193" ht="15.75" customHeight="1">
      <c r="A193" s="48" t="str">
        <f>FACILITIES!A49</f>
        <v>F048</v>
      </c>
      <c r="B193" s="48" t="str">
        <f>FACILITIES!B49</f>
        <v>Công ty TNHH thép VAS An Hưng Tường</v>
      </c>
      <c r="C193" s="48" t="str">
        <f>FACILITIES!C49</f>
        <v/>
      </c>
      <c r="D193" s="49">
        <v>2025.0</v>
      </c>
      <c r="E193" s="50"/>
      <c r="F193" s="51" t="str">
        <f t="shared" si="1"/>
        <v/>
      </c>
      <c r="G193" s="52"/>
      <c r="H193" s="51" t="s">
        <v>78</v>
      </c>
      <c r="I193" s="53"/>
      <c r="J193" s="53"/>
      <c r="K193" s="51" t="str">
        <f t="shared" si="2"/>
        <v>Pending</v>
      </c>
    </row>
    <row r="194" ht="15.75" customHeight="1">
      <c r="A194" s="48" t="str">
        <f>FACILITIES!A50</f>
        <v>F049</v>
      </c>
      <c r="B194" s="48" t="str">
        <f>FACILITIES!B50</f>
        <v>Công ty TNHH thép Sa Mi Na</v>
      </c>
      <c r="C194" s="48" t="str">
        <f>FACILITIES!C50</f>
        <v/>
      </c>
      <c r="D194" s="49">
        <v>2022.0</v>
      </c>
      <c r="E194" s="50"/>
      <c r="F194" s="51" t="str">
        <f t="shared" si="1"/>
        <v/>
      </c>
      <c r="G194" s="52"/>
      <c r="H194" s="51" t="s">
        <v>78</v>
      </c>
      <c r="I194" s="53"/>
      <c r="J194" s="53"/>
      <c r="K194" s="51" t="str">
        <f t="shared" si="2"/>
        <v>Pending</v>
      </c>
    </row>
    <row r="195" ht="15.75" customHeight="1">
      <c r="A195" s="48" t="str">
        <f>FACILITIES!A50</f>
        <v>F049</v>
      </c>
      <c r="B195" s="48" t="str">
        <f>FACILITIES!B50</f>
        <v>Công ty TNHH thép Sa Mi Na</v>
      </c>
      <c r="C195" s="48" t="str">
        <f>FACILITIES!C50</f>
        <v/>
      </c>
      <c r="D195" s="49">
        <v>2023.0</v>
      </c>
      <c r="E195" s="50"/>
      <c r="F195" s="51" t="str">
        <f t="shared" si="1"/>
        <v/>
      </c>
      <c r="G195" s="52"/>
      <c r="H195" s="51" t="s">
        <v>78</v>
      </c>
      <c r="I195" s="53"/>
      <c r="J195" s="53"/>
      <c r="K195" s="51" t="str">
        <f t="shared" si="2"/>
        <v>Pending</v>
      </c>
    </row>
    <row r="196" ht="15.75" customHeight="1">
      <c r="A196" s="48" t="str">
        <f>FACILITIES!A50</f>
        <v>F049</v>
      </c>
      <c r="B196" s="48" t="str">
        <f>FACILITIES!B50</f>
        <v>Công ty TNHH thép Sa Mi Na</v>
      </c>
      <c r="C196" s="48" t="str">
        <f>FACILITIES!C50</f>
        <v/>
      </c>
      <c r="D196" s="49">
        <v>2024.0</v>
      </c>
      <c r="E196" s="50"/>
      <c r="F196" s="51" t="str">
        <f t="shared" si="1"/>
        <v/>
      </c>
      <c r="G196" s="52"/>
      <c r="H196" s="51" t="s">
        <v>78</v>
      </c>
      <c r="I196" s="53"/>
      <c r="J196" s="53"/>
      <c r="K196" s="51" t="str">
        <f t="shared" si="2"/>
        <v>Pending</v>
      </c>
    </row>
    <row r="197" ht="15.75" customHeight="1">
      <c r="A197" s="48" t="str">
        <f>FACILITIES!A50</f>
        <v>F049</v>
      </c>
      <c r="B197" s="48" t="str">
        <f>FACILITIES!B50</f>
        <v>Công ty TNHH thép Sa Mi Na</v>
      </c>
      <c r="C197" s="48" t="str">
        <f>FACILITIES!C50</f>
        <v/>
      </c>
      <c r="D197" s="49">
        <v>2025.0</v>
      </c>
      <c r="E197" s="50"/>
      <c r="F197" s="51" t="str">
        <f t="shared" si="1"/>
        <v/>
      </c>
      <c r="G197" s="52"/>
      <c r="H197" s="51" t="s">
        <v>78</v>
      </c>
      <c r="I197" s="53"/>
      <c r="J197" s="53"/>
      <c r="K197" s="51" t="str">
        <f t="shared" si="2"/>
        <v>Pending</v>
      </c>
    </row>
    <row r="198" ht="15.75" customHeight="1">
      <c r="A198" s="48" t="str">
        <f>FACILITIES!A51</f>
        <v>F050</v>
      </c>
      <c r="B198" s="48" t="str">
        <f>FACILITIES!B51</f>
        <v>Công ty cổ phần thép Tuệ Minh</v>
      </c>
      <c r="C198" s="48" t="str">
        <f>FACILITIES!C51</f>
        <v/>
      </c>
      <c r="D198" s="49">
        <v>2022.0</v>
      </c>
      <c r="E198" s="50"/>
      <c r="F198" s="51" t="str">
        <f t="shared" si="1"/>
        <v/>
      </c>
      <c r="G198" s="52"/>
      <c r="H198" s="51" t="s">
        <v>78</v>
      </c>
      <c r="I198" s="53"/>
      <c r="J198" s="53"/>
      <c r="K198" s="51" t="str">
        <f t="shared" si="2"/>
        <v>Pending</v>
      </c>
    </row>
    <row r="199" ht="15.75" customHeight="1">
      <c r="A199" s="48" t="str">
        <f>FACILITIES!A51</f>
        <v>F050</v>
      </c>
      <c r="B199" s="48" t="str">
        <f>FACILITIES!B51</f>
        <v>Công ty cổ phần thép Tuệ Minh</v>
      </c>
      <c r="C199" s="48" t="str">
        <f>FACILITIES!C51</f>
        <v/>
      </c>
      <c r="D199" s="49">
        <v>2023.0</v>
      </c>
      <c r="E199" s="50"/>
      <c r="F199" s="51" t="str">
        <f t="shared" si="1"/>
        <v/>
      </c>
      <c r="G199" s="52"/>
      <c r="H199" s="51" t="s">
        <v>78</v>
      </c>
      <c r="I199" s="53"/>
      <c r="J199" s="53"/>
      <c r="K199" s="51" t="str">
        <f t="shared" si="2"/>
        <v>Pending</v>
      </c>
    </row>
    <row r="200" ht="15.75" customHeight="1">
      <c r="A200" s="48" t="str">
        <f>FACILITIES!A51</f>
        <v>F050</v>
      </c>
      <c r="B200" s="48" t="str">
        <f>FACILITIES!B51</f>
        <v>Công ty cổ phần thép Tuệ Minh</v>
      </c>
      <c r="C200" s="48" t="str">
        <f>FACILITIES!C51</f>
        <v/>
      </c>
      <c r="D200" s="49">
        <v>2024.0</v>
      </c>
      <c r="E200" s="50"/>
      <c r="F200" s="51" t="str">
        <f t="shared" si="1"/>
        <v/>
      </c>
      <c r="G200" s="52"/>
      <c r="H200" s="51" t="s">
        <v>78</v>
      </c>
      <c r="I200" s="53"/>
      <c r="J200" s="53"/>
      <c r="K200" s="51" t="str">
        <f t="shared" si="2"/>
        <v>Pending</v>
      </c>
    </row>
    <row r="201" ht="15.75" customHeight="1">
      <c r="A201" s="48" t="str">
        <f>FACILITIES!A51</f>
        <v>F050</v>
      </c>
      <c r="B201" s="48" t="str">
        <f>FACILITIES!B51</f>
        <v>Công ty cổ phần thép Tuệ Minh</v>
      </c>
      <c r="C201" s="48" t="str">
        <f>FACILITIES!C51</f>
        <v/>
      </c>
      <c r="D201" s="49">
        <v>2025.0</v>
      </c>
      <c r="E201" s="50"/>
      <c r="F201" s="51" t="str">
        <f t="shared" si="1"/>
        <v/>
      </c>
      <c r="G201" s="52"/>
      <c r="H201" s="51" t="s">
        <v>78</v>
      </c>
      <c r="I201" s="53"/>
      <c r="J201" s="53"/>
      <c r="K201" s="51" t="str">
        <f t="shared" si="2"/>
        <v>Pending</v>
      </c>
    </row>
    <row r="202" ht="15.75" customHeight="1">
      <c r="A202" s="48" t="str">
        <f>FACILITIES!A52</f>
        <v>F051</v>
      </c>
      <c r="B202" s="48" t="str">
        <f>FACILITIES!B52</f>
        <v>Công ty cổ phần Sản xuất thép Vina One</v>
      </c>
      <c r="C202" s="48" t="str">
        <f>FACILITIES!C52</f>
        <v/>
      </c>
      <c r="D202" s="49">
        <v>2022.0</v>
      </c>
      <c r="E202" s="50"/>
      <c r="F202" s="51" t="str">
        <f t="shared" si="1"/>
        <v/>
      </c>
      <c r="G202" s="52"/>
      <c r="H202" s="51" t="s">
        <v>78</v>
      </c>
      <c r="I202" s="53"/>
      <c r="J202" s="53"/>
      <c r="K202" s="51" t="str">
        <f t="shared" si="2"/>
        <v>Pending</v>
      </c>
    </row>
    <row r="203" ht="15.75" customHeight="1">
      <c r="A203" s="48" t="str">
        <f>FACILITIES!A52</f>
        <v>F051</v>
      </c>
      <c r="B203" s="48" t="str">
        <f>FACILITIES!B52</f>
        <v>Công ty cổ phần Sản xuất thép Vina One</v>
      </c>
      <c r="C203" s="48" t="str">
        <f>FACILITIES!C52</f>
        <v/>
      </c>
      <c r="D203" s="49">
        <v>2023.0</v>
      </c>
      <c r="E203" s="50"/>
      <c r="F203" s="51" t="str">
        <f t="shared" si="1"/>
        <v/>
      </c>
      <c r="G203" s="52"/>
      <c r="H203" s="51" t="s">
        <v>78</v>
      </c>
      <c r="I203" s="53"/>
      <c r="J203" s="53"/>
      <c r="K203" s="51" t="str">
        <f t="shared" si="2"/>
        <v>Pending</v>
      </c>
    </row>
    <row r="204" ht="15.75" customHeight="1">
      <c r="A204" s="48" t="str">
        <f>FACILITIES!A52</f>
        <v>F051</v>
      </c>
      <c r="B204" s="48" t="str">
        <f>FACILITIES!B52</f>
        <v>Công ty cổ phần Sản xuất thép Vina One</v>
      </c>
      <c r="C204" s="48" t="str">
        <f>FACILITIES!C52</f>
        <v/>
      </c>
      <c r="D204" s="49">
        <v>2024.0</v>
      </c>
      <c r="E204" s="50"/>
      <c r="F204" s="51" t="str">
        <f t="shared" si="1"/>
        <v/>
      </c>
      <c r="G204" s="52"/>
      <c r="H204" s="51" t="s">
        <v>78</v>
      </c>
      <c r="I204" s="53"/>
      <c r="J204" s="53"/>
      <c r="K204" s="51" t="str">
        <f t="shared" si="2"/>
        <v>Pending</v>
      </c>
    </row>
    <row r="205" ht="15.75" customHeight="1">
      <c r="A205" s="48" t="str">
        <f>FACILITIES!A52</f>
        <v>F051</v>
      </c>
      <c r="B205" s="48" t="str">
        <f>FACILITIES!B52</f>
        <v>Công ty cổ phần Sản xuất thép Vina One</v>
      </c>
      <c r="C205" s="48" t="str">
        <f>FACILITIES!C52</f>
        <v/>
      </c>
      <c r="D205" s="49">
        <v>2025.0</v>
      </c>
      <c r="E205" s="50"/>
      <c r="F205" s="51" t="str">
        <f t="shared" si="1"/>
        <v/>
      </c>
      <c r="G205" s="52"/>
      <c r="H205" s="51" t="s">
        <v>78</v>
      </c>
      <c r="I205" s="53"/>
      <c r="J205" s="53"/>
      <c r="K205" s="51" t="str">
        <f t="shared" si="2"/>
        <v>Pending</v>
      </c>
    </row>
    <row r="206" ht="15.75" customHeight="1">
      <c r="A206" s="48" t="str">
        <f>FACILITIES!A53</f>
        <v>F052</v>
      </c>
      <c r="B206" s="48" t="str">
        <f>FACILITIES!B53</f>
        <v>Công ty TNHH MTV thép VAS Nghi Sơn</v>
      </c>
      <c r="C206" s="48" t="str">
        <f>FACILITIES!C53</f>
        <v/>
      </c>
      <c r="D206" s="49">
        <v>2022.0</v>
      </c>
      <c r="E206" s="50"/>
      <c r="F206" s="51" t="str">
        <f t="shared" si="1"/>
        <v/>
      </c>
      <c r="G206" s="52"/>
      <c r="H206" s="51" t="s">
        <v>78</v>
      </c>
      <c r="I206" s="53"/>
      <c r="J206" s="53"/>
      <c r="K206" s="51" t="str">
        <f t="shared" si="2"/>
        <v>Pending</v>
      </c>
    </row>
    <row r="207" ht="15.75" customHeight="1">
      <c r="A207" s="48" t="str">
        <f>FACILITIES!A53</f>
        <v>F052</v>
      </c>
      <c r="B207" s="48" t="str">
        <f>FACILITIES!B53</f>
        <v>Công ty TNHH MTV thép VAS Nghi Sơn</v>
      </c>
      <c r="C207" s="48" t="str">
        <f>FACILITIES!C53</f>
        <v/>
      </c>
      <c r="D207" s="49">
        <v>2023.0</v>
      </c>
      <c r="E207" s="50"/>
      <c r="F207" s="51" t="str">
        <f t="shared" si="1"/>
        <v/>
      </c>
      <c r="G207" s="52"/>
      <c r="H207" s="51" t="s">
        <v>78</v>
      </c>
      <c r="I207" s="53"/>
      <c r="J207" s="53"/>
      <c r="K207" s="51" t="str">
        <f t="shared" si="2"/>
        <v>Pending</v>
      </c>
    </row>
    <row r="208" ht="15.75" customHeight="1">
      <c r="A208" s="48" t="str">
        <f>FACILITIES!A53</f>
        <v>F052</v>
      </c>
      <c r="B208" s="48" t="str">
        <f>FACILITIES!B53</f>
        <v>Công ty TNHH MTV thép VAS Nghi Sơn</v>
      </c>
      <c r="C208" s="48" t="str">
        <f>FACILITIES!C53</f>
        <v/>
      </c>
      <c r="D208" s="49">
        <v>2024.0</v>
      </c>
      <c r="E208" s="50"/>
      <c r="F208" s="51" t="str">
        <f t="shared" si="1"/>
        <v/>
      </c>
      <c r="G208" s="52"/>
      <c r="H208" s="51" t="s">
        <v>78</v>
      </c>
      <c r="I208" s="53"/>
      <c r="J208" s="53"/>
      <c r="K208" s="51" t="str">
        <f t="shared" si="2"/>
        <v>Pending</v>
      </c>
    </row>
    <row r="209" ht="15.75" customHeight="1">
      <c r="A209" s="48" t="str">
        <f>FACILITIES!A53</f>
        <v>F052</v>
      </c>
      <c r="B209" s="48" t="str">
        <f>FACILITIES!B53</f>
        <v>Công ty TNHH MTV thép VAS Nghi Sơn</v>
      </c>
      <c r="C209" s="48" t="str">
        <f>FACILITIES!C53</f>
        <v/>
      </c>
      <c r="D209" s="49">
        <v>2025.0</v>
      </c>
      <c r="E209" s="50"/>
      <c r="F209" s="51" t="str">
        <f t="shared" si="1"/>
        <v/>
      </c>
      <c r="G209" s="52"/>
      <c r="H209" s="51" t="s">
        <v>78</v>
      </c>
      <c r="I209" s="53"/>
      <c r="J209" s="53"/>
      <c r="K209" s="51" t="str">
        <f t="shared" si="2"/>
        <v>Pending</v>
      </c>
    </row>
    <row r="210" ht="15.75" customHeight="1">
      <c r="A210" s="48" t="str">
        <f>FACILITIES!A54</f>
        <v>F053</v>
      </c>
      <c r="B210" s="48" t="str">
        <f>FACILITIES!B54</f>
        <v>Công ty cổ phần Cơ khí Gang thép</v>
      </c>
      <c r="C210" s="48" t="str">
        <f>FACILITIES!C54</f>
        <v/>
      </c>
      <c r="D210" s="49">
        <v>2022.0</v>
      </c>
      <c r="E210" s="50"/>
      <c r="F210" s="51" t="str">
        <f t="shared" si="1"/>
        <v/>
      </c>
      <c r="G210" s="52"/>
      <c r="H210" s="51" t="s">
        <v>78</v>
      </c>
      <c r="I210" s="53"/>
      <c r="J210" s="53"/>
      <c r="K210" s="51" t="str">
        <f t="shared" si="2"/>
        <v>Pending</v>
      </c>
    </row>
    <row r="211" ht="15.75" customHeight="1">
      <c r="A211" s="48" t="str">
        <f>FACILITIES!A54</f>
        <v>F053</v>
      </c>
      <c r="B211" s="48" t="str">
        <f>FACILITIES!B54</f>
        <v>Công ty cổ phần Cơ khí Gang thép</v>
      </c>
      <c r="C211" s="48" t="str">
        <f>FACILITIES!C54</f>
        <v/>
      </c>
      <c r="D211" s="49">
        <v>2023.0</v>
      </c>
      <c r="E211" s="50"/>
      <c r="F211" s="51" t="str">
        <f t="shared" si="1"/>
        <v/>
      </c>
      <c r="G211" s="52"/>
      <c r="H211" s="51" t="s">
        <v>78</v>
      </c>
      <c r="I211" s="53"/>
      <c r="J211" s="53"/>
      <c r="K211" s="51" t="str">
        <f t="shared" si="2"/>
        <v>Pending</v>
      </c>
    </row>
    <row r="212" ht="15.75" customHeight="1">
      <c r="A212" s="48" t="str">
        <f>FACILITIES!A54</f>
        <v>F053</v>
      </c>
      <c r="B212" s="48" t="str">
        <f>FACILITIES!B54</f>
        <v>Công ty cổ phần Cơ khí Gang thép</v>
      </c>
      <c r="C212" s="48" t="str">
        <f>FACILITIES!C54</f>
        <v/>
      </c>
      <c r="D212" s="49">
        <v>2024.0</v>
      </c>
      <c r="E212" s="50"/>
      <c r="F212" s="51" t="str">
        <f t="shared" si="1"/>
        <v/>
      </c>
      <c r="G212" s="52"/>
      <c r="H212" s="51" t="s">
        <v>78</v>
      </c>
      <c r="I212" s="53"/>
      <c r="J212" s="53"/>
      <c r="K212" s="51" t="str">
        <f t="shared" si="2"/>
        <v>Pending</v>
      </c>
    </row>
    <row r="213" ht="15.75" customHeight="1">
      <c r="A213" s="48" t="str">
        <f>FACILITIES!A54</f>
        <v>F053</v>
      </c>
      <c r="B213" s="48" t="str">
        <f>FACILITIES!B54</f>
        <v>Công ty cổ phần Cơ khí Gang thép</v>
      </c>
      <c r="C213" s="48" t="str">
        <f>FACILITIES!C54</f>
        <v/>
      </c>
      <c r="D213" s="49">
        <v>2025.0</v>
      </c>
      <c r="E213" s="50"/>
      <c r="F213" s="51" t="str">
        <f t="shared" si="1"/>
        <v/>
      </c>
      <c r="G213" s="52"/>
      <c r="H213" s="51" t="s">
        <v>78</v>
      </c>
      <c r="I213" s="53"/>
      <c r="J213" s="53"/>
      <c r="K213" s="51" t="str">
        <f t="shared" si="2"/>
        <v>Pending</v>
      </c>
    </row>
    <row r="214" ht="15.75" customHeight="1">
      <c r="A214" s="48" t="str">
        <f>FACILITIES!A55</f>
        <v>F054</v>
      </c>
      <c r="B214" s="48" t="str">
        <f>FACILITIES!B55</f>
        <v>Công ty cổ phần Thép Hòa Phát</v>
      </c>
      <c r="C214" s="48" t="str">
        <f>FACILITIES!C55</f>
        <v/>
      </c>
      <c r="D214" s="49">
        <v>2022.0</v>
      </c>
      <c r="E214" s="50"/>
      <c r="F214" s="51" t="str">
        <f t="shared" si="1"/>
        <v/>
      </c>
      <c r="G214" s="52"/>
      <c r="H214" s="51" t="s">
        <v>78</v>
      </c>
      <c r="I214" s="53"/>
      <c r="J214" s="53"/>
      <c r="K214" s="51" t="str">
        <f t="shared" si="2"/>
        <v>Pending</v>
      </c>
    </row>
    <row r="215" ht="15.75" customHeight="1">
      <c r="A215" s="48" t="str">
        <f>FACILITIES!A55</f>
        <v>F054</v>
      </c>
      <c r="B215" s="48" t="str">
        <f>FACILITIES!B55</f>
        <v>Công ty cổ phần Thép Hòa Phát</v>
      </c>
      <c r="C215" s="48" t="str">
        <f>FACILITIES!C55</f>
        <v/>
      </c>
      <c r="D215" s="49">
        <v>2023.0</v>
      </c>
      <c r="E215" s="50"/>
      <c r="F215" s="51" t="str">
        <f t="shared" si="1"/>
        <v/>
      </c>
      <c r="G215" s="52"/>
      <c r="H215" s="51" t="s">
        <v>78</v>
      </c>
      <c r="I215" s="53"/>
      <c r="J215" s="53"/>
      <c r="K215" s="51" t="str">
        <f t="shared" si="2"/>
        <v>Pending</v>
      </c>
    </row>
    <row r="216" ht="15.75" customHeight="1">
      <c r="A216" s="48" t="str">
        <f>FACILITIES!A55</f>
        <v>F054</v>
      </c>
      <c r="B216" s="48" t="str">
        <f>FACILITIES!B55</f>
        <v>Công ty cổ phần Thép Hòa Phát</v>
      </c>
      <c r="C216" s="48" t="str">
        <f>FACILITIES!C55</f>
        <v/>
      </c>
      <c r="D216" s="49">
        <v>2024.0</v>
      </c>
      <c r="E216" s="50"/>
      <c r="F216" s="51" t="str">
        <f t="shared" si="1"/>
        <v/>
      </c>
      <c r="G216" s="52"/>
      <c r="H216" s="51" t="s">
        <v>78</v>
      </c>
      <c r="I216" s="53"/>
      <c r="J216" s="53"/>
      <c r="K216" s="51" t="str">
        <f t="shared" si="2"/>
        <v>Pending</v>
      </c>
    </row>
    <row r="217" ht="15.75" customHeight="1">
      <c r="A217" s="48" t="str">
        <f>FACILITIES!A55</f>
        <v>F054</v>
      </c>
      <c r="B217" s="48" t="str">
        <f>FACILITIES!B55</f>
        <v>Công ty cổ phần Thép Hòa Phát</v>
      </c>
      <c r="C217" s="48" t="str">
        <f>FACILITIES!C55</f>
        <v/>
      </c>
      <c r="D217" s="49">
        <v>2025.0</v>
      </c>
      <c r="E217" s="50"/>
      <c r="F217" s="51" t="str">
        <f t="shared" si="1"/>
        <v/>
      </c>
      <c r="G217" s="52"/>
      <c r="H217" s="51" t="s">
        <v>78</v>
      </c>
      <c r="I217" s="53"/>
      <c r="J217" s="53"/>
      <c r="K217" s="51" t="str">
        <f t="shared" si="2"/>
        <v>Pending</v>
      </c>
    </row>
    <row r="218" ht="15.75" customHeight="1">
      <c r="A218" s="48" t="str">
        <f>FACILITIES!A56</f>
        <v>F055</v>
      </c>
      <c r="B218" s="48" t="str">
        <f>FACILITIES!B56</f>
        <v>Công ty cổ phần Gang Thép Thái Nguyên</v>
      </c>
      <c r="C218" s="48" t="str">
        <f>FACILITIES!C56</f>
        <v/>
      </c>
      <c r="D218" s="49">
        <v>2022.0</v>
      </c>
      <c r="E218" s="50"/>
      <c r="F218" s="51" t="str">
        <f t="shared" si="1"/>
        <v/>
      </c>
      <c r="G218" s="52"/>
      <c r="H218" s="51" t="s">
        <v>78</v>
      </c>
      <c r="I218" s="53"/>
      <c r="J218" s="53"/>
      <c r="K218" s="51" t="str">
        <f t="shared" si="2"/>
        <v>Pending</v>
      </c>
    </row>
    <row r="219" ht="15.75" customHeight="1">
      <c r="A219" s="48" t="str">
        <f>FACILITIES!A56</f>
        <v>F055</v>
      </c>
      <c r="B219" s="48" t="str">
        <f>FACILITIES!B56</f>
        <v>Công ty cổ phần Gang Thép Thái Nguyên</v>
      </c>
      <c r="C219" s="48" t="str">
        <f>FACILITIES!C56</f>
        <v/>
      </c>
      <c r="D219" s="49">
        <v>2023.0</v>
      </c>
      <c r="E219" s="50"/>
      <c r="F219" s="51" t="str">
        <f t="shared" si="1"/>
        <v/>
      </c>
      <c r="G219" s="52"/>
      <c r="H219" s="51" t="s">
        <v>78</v>
      </c>
      <c r="I219" s="53"/>
      <c r="J219" s="53"/>
      <c r="K219" s="51" t="str">
        <f t="shared" si="2"/>
        <v>Pending</v>
      </c>
    </row>
    <row r="220" ht="15.75" customHeight="1">
      <c r="A220" s="48" t="str">
        <f>FACILITIES!A56</f>
        <v>F055</v>
      </c>
      <c r="B220" s="48" t="str">
        <f>FACILITIES!B56</f>
        <v>Công ty cổ phần Gang Thép Thái Nguyên</v>
      </c>
      <c r="C220" s="48" t="str">
        <f>FACILITIES!C56</f>
        <v/>
      </c>
      <c r="D220" s="49">
        <v>2024.0</v>
      </c>
      <c r="E220" s="50"/>
      <c r="F220" s="51" t="str">
        <f t="shared" si="1"/>
        <v/>
      </c>
      <c r="G220" s="52"/>
      <c r="H220" s="51" t="s">
        <v>78</v>
      </c>
      <c r="I220" s="53"/>
      <c r="J220" s="53"/>
      <c r="K220" s="51" t="str">
        <f t="shared" si="2"/>
        <v>Pending</v>
      </c>
    </row>
    <row r="221" ht="15.75" customHeight="1">
      <c r="A221" s="48" t="str">
        <f>FACILITIES!A56</f>
        <v>F055</v>
      </c>
      <c r="B221" s="48" t="str">
        <f>FACILITIES!B56</f>
        <v>Công ty cổ phần Gang Thép Thái Nguyên</v>
      </c>
      <c r="C221" s="48" t="str">
        <f>FACILITIES!C56</f>
        <v/>
      </c>
      <c r="D221" s="49">
        <v>2025.0</v>
      </c>
      <c r="E221" s="50"/>
      <c r="F221" s="51" t="str">
        <f t="shared" si="1"/>
        <v/>
      </c>
      <c r="G221" s="52"/>
      <c r="H221" s="51" t="s">
        <v>78</v>
      </c>
      <c r="I221" s="53"/>
      <c r="J221" s="53"/>
      <c r="K221" s="51" t="str">
        <f t="shared" si="2"/>
        <v>Pending</v>
      </c>
    </row>
    <row r="222" ht="15.75" customHeight="1">
      <c r="A222" s="48" t="str">
        <f>FACILITIES!A57</f>
        <v>F056</v>
      </c>
      <c r="B222" s="48" t="str">
        <f>FACILITIES!B57</f>
        <v>Công ty cổ phần thép Đà Nẵng</v>
      </c>
      <c r="C222" s="48" t="str">
        <f>FACILITIES!C57</f>
        <v/>
      </c>
      <c r="D222" s="49">
        <v>2022.0</v>
      </c>
      <c r="E222" s="50"/>
      <c r="F222" s="51" t="str">
        <f t="shared" si="1"/>
        <v/>
      </c>
      <c r="G222" s="52"/>
      <c r="H222" s="51" t="s">
        <v>78</v>
      </c>
      <c r="I222" s="53"/>
      <c r="J222" s="53"/>
      <c r="K222" s="51" t="str">
        <f t="shared" si="2"/>
        <v>Pending</v>
      </c>
    </row>
    <row r="223" ht="15.75" customHeight="1">
      <c r="A223" s="48" t="str">
        <f>FACILITIES!A57</f>
        <v>F056</v>
      </c>
      <c r="B223" s="48" t="str">
        <f>FACILITIES!B57</f>
        <v>Công ty cổ phần thép Đà Nẵng</v>
      </c>
      <c r="C223" s="48" t="str">
        <f>FACILITIES!C57</f>
        <v/>
      </c>
      <c r="D223" s="49">
        <v>2023.0</v>
      </c>
      <c r="E223" s="50"/>
      <c r="F223" s="51" t="str">
        <f t="shared" si="1"/>
        <v/>
      </c>
      <c r="G223" s="52"/>
      <c r="H223" s="51" t="s">
        <v>78</v>
      </c>
      <c r="I223" s="53"/>
      <c r="J223" s="53"/>
      <c r="K223" s="51" t="str">
        <f t="shared" si="2"/>
        <v>Pending</v>
      </c>
    </row>
    <row r="224" ht="15.75" customHeight="1">
      <c r="A224" s="48" t="str">
        <f>FACILITIES!A57</f>
        <v>F056</v>
      </c>
      <c r="B224" s="48" t="str">
        <f>FACILITIES!B57</f>
        <v>Công ty cổ phần thép Đà Nẵng</v>
      </c>
      <c r="C224" s="48" t="str">
        <f>FACILITIES!C57</f>
        <v/>
      </c>
      <c r="D224" s="49">
        <v>2024.0</v>
      </c>
      <c r="E224" s="50"/>
      <c r="F224" s="51" t="str">
        <f t="shared" si="1"/>
        <v/>
      </c>
      <c r="G224" s="52"/>
      <c r="H224" s="51" t="s">
        <v>78</v>
      </c>
      <c r="I224" s="53"/>
      <c r="J224" s="53"/>
      <c r="K224" s="51" t="str">
        <f t="shared" si="2"/>
        <v>Pending</v>
      </c>
    </row>
    <row r="225" ht="15.75" customHeight="1">
      <c r="A225" s="48" t="str">
        <f>FACILITIES!A57</f>
        <v>F056</v>
      </c>
      <c r="B225" s="48" t="str">
        <f>FACILITIES!B57</f>
        <v>Công ty cổ phần thép Đà Nẵng</v>
      </c>
      <c r="C225" s="48" t="str">
        <f>FACILITIES!C57</f>
        <v/>
      </c>
      <c r="D225" s="49">
        <v>2025.0</v>
      </c>
      <c r="E225" s="50"/>
      <c r="F225" s="51" t="str">
        <f t="shared" si="1"/>
        <v/>
      </c>
      <c r="G225" s="52"/>
      <c r="H225" s="51" t="s">
        <v>78</v>
      </c>
      <c r="I225" s="53"/>
      <c r="J225" s="53"/>
      <c r="K225" s="51" t="str">
        <f t="shared" si="2"/>
        <v>Pending</v>
      </c>
    </row>
    <row r="226" ht="15.75" customHeight="1">
      <c r="A226" s="48" t="str">
        <f>FACILITIES!A58</f>
        <v>F057</v>
      </c>
      <c r="B226" s="48" t="str">
        <f>FACILITIES!B58</f>
        <v>Công ty cổ phần Thép Vicasa - Vnsteel</v>
      </c>
      <c r="C226" s="48" t="str">
        <f>FACILITIES!C58</f>
        <v/>
      </c>
      <c r="D226" s="49">
        <v>2022.0</v>
      </c>
      <c r="E226" s="50"/>
      <c r="F226" s="51" t="str">
        <f t="shared" si="1"/>
        <v/>
      </c>
      <c r="G226" s="52"/>
      <c r="H226" s="51" t="s">
        <v>78</v>
      </c>
      <c r="I226" s="53"/>
      <c r="J226" s="53"/>
      <c r="K226" s="51" t="str">
        <f t="shared" si="2"/>
        <v>Pending</v>
      </c>
    </row>
    <row r="227" ht="15.75" customHeight="1">
      <c r="A227" s="48" t="str">
        <f>FACILITIES!A58</f>
        <v>F057</v>
      </c>
      <c r="B227" s="48" t="str">
        <f>FACILITIES!B58</f>
        <v>Công ty cổ phần Thép Vicasa - Vnsteel</v>
      </c>
      <c r="C227" s="48" t="str">
        <f>FACILITIES!C58</f>
        <v/>
      </c>
      <c r="D227" s="49">
        <v>2023.0</v>
      </c>
      <c r="E227" s="50"/>
      <c r="F227" s="51" t="str">
        <f t="shared" si="1"/>
        <v/>
      </c>
      <c r="G227" s="52"/>
      <c r="H227" s="51" t="s">
        <v>78</v>
      </c>
      <c r="I227" s="53"/>
      <c r="J227" s="53"/>
      <c r="K227" s="51" t="str">
        <f t="shared" si="2"/>
        <v>Pending</v>
      </c>
    </row>
    <row r="228" ht="15.75" customHeight="1">
      <c r="A228" s="48" t="str">
        <f>FACILITIES!A58</f>
        <v>F057</v>
      </c>
      <c r="B228" s="48" t="str">
        <f>FACILITIES!B58</f>
        <v>Công ty cổ phần Thép Vicasa - Vnsteel</v>
      </c>
      <c r="C228" s="48" t="str">
        <f>FACILITIES!C58</f>
        <v/>
      </c>
      <c r="D228" s="49">
        <v>2024.0</v>
      </c>
      <c r="E228" s="50"/>
      <c r="F228" s="51" t="str">
        <f t="shared" si="1"/>
        <v/>
      </c>
      <c r="G228" s="52"/>
      <c r="H228" s="51" t="s">
        <v>78</v>
      </c>
      <c r="I228" s="53"/>
      <c r="J228" s="53"/>
      <c r="K228" s="51" t="str">
        <f t="shared" si="2"/>
        <v>Pending</v>
      </c>
    </row>
    <row r="229" ht="15.75" customHeight="1">
      <c r="A229" s="48" t="str">
        <f>FACILITIES!A58</f>
        <v>F057</v>
      </c>
      <c r="B229" s="48" t="str">
        <f>FACILITIES!B58</f>
        <v>Công ty cổ phần Thép Vicasa - Vnsteel</v>
      </c>
      <c r="C229" s="48" t="str">
        <f>FACILITIES!C58</f>
        <v/>
      </c>
      <c r="D229" s="49">
        <v>2025.0</v>
      </c>
      <c r="E229" s="50"/>
      <c r="F229" s="51" t="str">
        <f t="shared" si="1"/>
        <v/>
      </c>
      <c r="G229" s="52"/>
      <c r="H229" s="51" t="s">
        <v>78</v>
      </c>
      <c r="I229" s="53"/>
      <c r="J229" s="53"/>
      <c r="K229" s="51" t="str">
        <f t="shared" si="2"/>
        <v>Pending</v>
      </c>
    </row>
    <row r="230" ht="15.75" customHeight="1">
      <c r="A230" s="48" t="str">
        <f>FACILITIES!A59</f>
        <v>F058</v>
      </c>
      <c r="B230" s="48" t="str">
        <f>FACILITIES!B59</f>
        <v>Công ty TNHH thép đặc biệt Shengli Việt Nam</v>
      </c>
      <c r="C230" s="48" t="str">
        <f>FACILITIES!C59</f>
        <v/>
      </c>
      <c r="D230" s="49">
        <v>2022.0</v>
      </c>
      <c r="E230" s="50"/>
      <c r="F230" s="51" t="str">
        <f t="shared" si="1"/>
        <v/>
      </c>
      <c r="G230" s="52"/>
      <c r="H230" s="51" t="s">
        <v>78</v>
      </c>
      <c r="I230" s="53"/>
      <c r="J230" s="53"/>
      <c r="K230" s="51" t="str">
        <f t="shared" si="2"/>
        <v>Pending</v>
      </c>
    </row>
    <row r="231" ht="15.75" customHeight="1">
      <c r="A231" s="48" t="str">
        <f>FACILITIES!A59</f>
        <v>F058</v>
      </c>
      <c r="B231" s="48" t="str">
        <f>FACILITIES!B59</f>
        <v>Công ty TNHH thép đặc biệt Shengli Việt Nam</v>
      </c>
      <c r="C231" s="48" t="str">
        <f>FACILITIES!C59</f>
        <v/>
      </c>
      <c r="D231" s="49">
        <v>2023.0</v>
      </c>
      <c r="E231" s="50"/>
      <c r="F231" s="51" t="str">
        <f t="shared" si="1"/>
        <v/>
      </c>
      <c r="G231" s="52"/>
      <c r="H231" s="51" t="s">
        <v>78</v>
      </c>
      <c r="I231" s="53"/>
      <c r="J231" s="53"/>
      <c r="K231" s="51" t="str">
        <f t="shared" si="2"/>
        <v>Pending</v>
      </c>
    </row>
    <row r="232" ht="15.75" customHeight="1">
      <c r="A232" s="48" t="str">
        <f>FACILITIES!A59</f>
        <v>F058</v>
      </c>
      <c r="B232" s="48" t="str">
        <f>FACILITIES!B59</f>
        <v>Công ty TNHH thép đặc biệt Shengli Việt Nam</v>
      </c>
      <c r="C232" s="48" t="str">
        <f>FACILITIES!C59</f>
        <v/>
      </c>
      <c r="D232" s="49">
        <v>2024.0</v>
      </c>
      <c r="E232" s="50"/>
      <c r="F232" s="51" t="str">
        <f t="shared" si="1"/>
        <v/>
      </c>
      <c r="G232" s="52"/>
      <c r="H232" s="51" t="s">
        <v>78</v>
      </c>
      <c r="I232" s="53"/>
      <c r="J232" s="53"/>
      <c r="K232" s="51" t="str">
        <f t="shared" si="2"/>
        <v>Pending</v>
      </c>
    </row>
    <row r="233" ht="15.75" customHeight="1">
      <c r="A233" s="48" t="str">
        <f>FACILITIES!A59</f>
        <v>F058</v>
      </c>
      <c r="B233" s="48" t="str">
        <f>FACILITIES!B59</f>
        <v>Công ty TNHH thép đặc biệt Shengli Việt Nam</v>
      </c>
      <c r="C233" s="48" t="str">
        <f>FACILITIES!C59</f>
        <v/>
      </c>
      <c r="D233" s="49">
        <v>2025.0</v>
      </c>
      <c r="E233" s="50"/>
      <c r="F233" s="51" t="str">
        <f t="shared" si="1"/>
        <v/>
      </c>
      <c r="G233" s="52"/>
      <c r="H233" s="51" t="s">
        <v>78</v>
      </c>
      <c r="I233" s="53"/>
      <c r="J233" s="53"/>
      <c r="K233" s="51" t="str">
        <f t="shared" si="2"/>
        <v>Pending</v>
      </c>
    </row>
    <row r="234" ht="15.75" customHeight="1">
      <c r="A234" s="48" t="str">
        <f>FACILITIES!A60</f>
        <v>F059</v>
      </c>
      <c r="B234" s="48" t="str">
        <f>FACILITIES!B60</f>
        <v>Công ty cổ phần Luyện kim đen Thái Nguyên</v>
      </c>
      <c r="C234" s="48" t="str">
        <f>FACILITIES!C60</f>
        <v/>
      </c>
      <c r="D234" s="49">
        <v>2022.0</v>
      </c>
      <c r="E234" s="50"/>
      <c r="F234" s="51" t="str">
        <f t="shared" si="1"/>
        <v/>
      </c>
      <c r="G234" s="52"/>
      <c r="H234" s="51" t="s">
        <v>78</v>
      </c>
      <c r="I234" s="53"/>
      <c r="J234" s="53"/>
      <c r="K234" s="51" t="str">
        <f t="shared" si="2"/>
        <v>Pending</v>
      </c>
    </row>
    <row r="235" ht="15.75" customHeight="1">
      <c r="A235" s="48" t="str">
        <f>FACILITIES!A60</f>
        <v>F059</v>
      </c>
      <c r="B235" s="48" t="str">
        <f>FACILITIES!B60</f>
        <v>Công ty cổ phần Luyện kim đen Thái Nguyên</v>
      </c>
      <c r="C235" s="48" t="str">
        <f>FACILITIES!C60</f>
        <v/>
      </c>
      <c r="D235" s="49">
        <v>2023.0</v>
      </c>
      <c r="E235" s="50"/>
      <c r="F235" s="51" t="str">
        <f t="shared" si="1"/>
        <v/>
      </c>
      <c r="G235" s="52"/>
      <c r="H235" s="51" t="s">
        <v>78</v>
      </c>
      <c r="I235" s="53"/>
      <c r="J235" s="53"/>
      <c r="K235" s="51" t="str">
        <f t="shared" si="2"/>
        <v>Pending</v>
      </c>
    </row>
    <row r="236" ht="15.75" customHeight="1">
      <c r="A236" s="48" t="str">
        <f>FACILITIES!A60</f>
        <v>F059</v>
      </c>
      <c r="B236" s="48" t="str">
        <f>FACILITIES!B60</f>
        <v>Công ty cổ phần Luyện kim đen Thái Nguyên</v>
      </c>
      <c r="C236" s="48" t="str">
        <f>FACILITIES!C60</f>
        <v/>
      </c>
      <c r="D236" s="49">
        <v>2024.0</v>
      </c>
      <c r="E236" s="50"/>
      <c r="F236" s="51" t="str">
        <f t="shared" si="1"/>
        <v/>
      </c>
      <c r="G236" s="52"/>
      <c r="H236" s="51" t="s">
        <v>78</v>
      </c>
      <c r="I236" s="53"/>
      <c r="J236" s="53"/>
      <c r="K236" s="51" t="str">
        <f t="shared" si="2"/>
        <v>Pending</v>
      </c>
    </row>
    <row r="237" ht="15.75" customHeight="1">
      <c r="A237" s="48" t="str">
        <f>FACILITIES!A60</f>
        <v>F059</v>
      </c>
      <c r="B237" s="48" t="str">
        <f>FACILITIES!B60</f>
        <v>Công ty cổ phần Luyện kim đen Thái Nguyên</v>
      </c>
      <c r="C237" s="48" t="str">
        <f>FACILITIES!C60</f>
        <v/>
      </c>
      <c r="D237" s="49">
        <v>2025.0</v>
      </c>
      <c r="E237" s="50"/>
      <c r="F237" s="51" t="str">
        <f t="shared" si="1"/>
        <v/>
      </c>
      <c r="G237" s="52"/>
      <c r="H237" s="51" t="s">
        <v>78</v>
      </c>
      <c r="I237" s="53"/>
      <c r="J237" s="53"/>
      <c r="K237" s="51" t="str">
        <f t="shared" si="2"/>
        <v>Pending</v>
      </c>
    </row>
    <row r="238" ht="15.75" customHeight="1">
      <c r="A238" s="48" t="str">
        <f>FACILITIES!A61</f>
        <v>F060</v>
      </c>
      <c r="B238" s="48" t="str">
        <f>FACILITIES!B61</f>
        <v>Công ty Cổ phần Xi măng X18</v>
      </c>
      <c r="C238" s="48" t="str">
        <f>FACILITIES!C61</f>
        <v/>
      </c>
      <c r="D238" s="49">
        <v>2022.0</v>
      </c>
      <c r="E238" s="50"/>
      <c r="F238" s="51" t="str">
        <f t="shared" si="1"/>
        <v/>
      </c>
      <c r="G238" s="52"/>
      <c r="H238" s="51" t="s">
        <v>78</v>
      </c>
      <c r="I238" s="53"/>
      <c r="J238" s="53"/>
      <c r="K238" s="51" t="str">
        <f t="shared" si="2"/>
        <v>Pending</v>
      </c>
    </row>
    <row r="239" ht="15.75" customHeight="1">
      <c r="A239" s="48" t="str">
        <f>FACILITIES!A61</f>
        <v>F060</v>
      </c>
      <c r="B239" s="48" t="str">
        <f>FACILITIES!B61</f>
        <v>Công ty Cổ phần Xi măng X18</v>
      </c>
      <c r="C239" s="48" t="str">
        <f>FACILITIES!C61</f>
        <v/>
      </c>
      <c r="D239" s="49">
        <v>2023.0</v>
      </c>
      <c r="E239" s="50"/>
      <c r="F239" s="51" t="str">
        <f t="shared" si="1"/>
        <v/>
      </c>
      <c r="G239" s="52"/>
      <c r="H239" s="51" t="s">
        <v>78</v>
      </c>
      <c r="I239" s="53"/>
      <c r="J239" s="53"/>
      <c r="K239" s="51" t="str">
        <f t="shared" si="2"/>
        <v>Pending</v>
      </c>
    </row>
    <row r="240" ht="15.75" customHeight="1">
      <c r="A240" s="48" t="str">
        <f>FACILITIES!A61</f>
        <v>F060</v>
      </c>
      <c r="B240" s="48" t="str">
        <f>FACILITIES!B61</f>
        <v>Công ty Cổ phần Xi măng X18</v>
      </c>
      <c r="C240" s="48" t="str">
        <f>FACILITIES!C61</f>
        <v/>
      </c>
      <c r="D240" s="49">
        <v>2024.0</v>
      </c>
      <c r="E240" s="50"/>
      <c r="F240" s="51" t="str">
        <f t="shared" si="1"/>
        <v/>
      </c>
      <c r="G240" s="52"/>
      <c r="H240" s="51" t="s">
        <v>78</v>
      </c>
      <c r="I240" s="53"/>
      <c r="J240" s="53"/>
      <c r="K240" s="51" t="str">
        <f t="shared" si="2"/>
        <v>Pending</v>
      </c>
    </row>
    <row r="241" ht="15.75" customHeight="1">
      <c r="A241" s="48" t="str">
        <f>FACILITIES!A61</f>
        <v>F060</v>
      </c>
      <c r="B241" s="48" t="str">
        <f>FACILITIES!B61</f>
        <v>Công ty Cổ phần Xi măng X18</v>
      </c>
      <c r="C241" s="48" t="str">
        <f>FACILITIES!C61</f>
        <v/>
      </c>
      <c r="D241" s="49">
        <v>2025.0</v>
      </c>
      <c r="E241" s="50"/>
      <c r="F241" s="51" t="str">
        <f t="shared" si="1"/>
        <v/>
      </c>
      <c r="G241" s="52"/>
      <c r="H241" s="51" t="s">
        <v>78</v>
      </c>
      <c r="I241" s="53"/>
      <c r="J241" s="53"/>
      <c r="K241" s="51" t="str">
        <f t="shared" si="2"/>
        <v>Pending</v>
      </c>
    </row>
    <row r="242" ht="15.75" customHeight="1">
      <c r="A242" s="48" t="str">
        <f>FACILITIES!A62</f>
        <v>F061</v>
      </c>
      <c r="B242" s="48" t="str">
        <f>FACILITIES!B62</f>
        <v>Nhà máy Xi măng Trung Sơn (Công ty Cổ phần Xây dựng và Du lịch Bình Minh)</v>
      </c>
      <c r="C242" s="48" t="str">
        <f>FACILITIES!C62</f>
        <v/>
      </c>
      <c r="D242" s="49">
        <v>2022.0</v>
      </c>
      <c r="E242" s="50"/>
      <c r="F242" s="51" t="str">
        <f t="shared" si="1"/>
        <v/>
      </c>
      <c r="G242" s="52"/>
      <c r="H242" s="51" t="s">
        <v>78</v>
      </c>
      <c r="I242" s="53"/>
      <c r="J242" s="53"/>
      <c r="K242" s="51" t="str">
        <f t="shared" si="2"/>
        <v>Pending</v>
      </c>
    </row>
    <row r="243" ht="15.75" customHeight="1">
      <c r="A243" s="48" t="str">
        <f>FACILITIES!A62</f>
        <v>F061</v>
      </c>
      <c r="B243" s="48" t="str">
        <f>FACILITIES!B62</f>
        <v>Nhà máy Xi măng Trung Sơn (Công ty Cổ phần Xây dựng và Du lịch Bình Minh)</v>
      </c>
      <c r="C243" s="48" t="str">
        <f>FACILITIES!C62</f>
        <v/>
      </c>
      <c r="D243" s="49">
        <v>2023.0</v>
      </c>
      <c r="E243" s="50"/>
      <c r="F243" s="51" t="str">
        <f t="shared" si="1"/>
        <v/>
      </c>
      <c r="G243" s="52"/>
      <c r="H243" s="51" t="s">
        <v>78</v>
      </c>
      <c r="I243" s="53"/>
      <c r="J243" s="53"/>
      <c r="K243" s="51" t="str">
        <f t="shared" si="2"/>
        <v>Pending</v>
      </c>
    </row>
    <row r="244" ht="15.75" customHeight="1">
      <c r="A244" s="48" t="str">
        <f>FACILITIES!A62</f>
        <v>F061</v>
      </c>
      <c r="B244" s="48" t="str">
        <f>FACILITIES!B62</f>
        <v>Nhà máy Xi măng Trung Sơn (Công ty Cổ phần Xây dựng và Du lịch Bình Minh)</v>
      </c>
      <c r="C244" s="48" t="str">
        <f>FACILITIES!C62</f>
        <v/>
      </c>
      <c r="D244" s="49">
        <v>2024.0</v>
      </c>
      <c r="E244" s="50"/>
      <c r="F244" s="51" t="str">
        <f t="shared" si="1"/>
        <v/>
      </c>
      <c r="G244" s="52"/>
      <c r="H244" s="51" t="s">
        <v>78</v>
      </c>
      <c r="I244" s="53"/>
      <c r="J244" s="53"/>
      <c r="K244" s="51" t="str">
        <f t="shared" si="2"/>
        <v>Pending</v>
      </c>
    </row>
    <row r="245" ht="15.75" customHeight="1">
      <c r="A245" s="48" t="str">
        <f>FACILITIES!A62</f>
        <v>F061</v>
      </c>
      <c r="B245" s="48" t="str">
        <f>FACILITIES!B62</f>
        <v>Nhà máy Xi măng Trung Sơn (Công ty Cổ phần Xây dựng và Du lịch Bình Minh)</v>
      </c>
      <c r="C245" s="48" t="str">
        <f>FACILITIES!C62</f>
        <v/>
      </c>
      <c r="D245" s="49">
        <v>2025.0</v>
      </c>
      <c r="E245" s="50"/>
      <c r="F245" s="51" t="str">
        <f t="shared" si="1"/>
        <v/>
      </c>
      <c r="G245" s="52"/>
      <c r="H245" s="51" t="s">
        <v>78</v>
      </c>
      <c r="I245" s="53"/>
      <c r="J245" s="53"/>
      <c r="K245" s="51" t="str">
        <f t="shared" si="2"/>
        <v>Pending</v>
      </c>
    </row>
    <row r="246" ht="15.75" customHeight="1">
      <c r="A246" s="48" t="str">
        <f>FACILITIES!A63</f>
        <v>F062</v>
      </c>
      <c r="B246" s="48" t="str">
        <f>FACILITIES!B63</f>
        <v>Nhà máy Xi măng Vĩnh Sơn (Công ty TNHH Xi măng Vĩnh Sơn)</v>
      </c>
      <c r="C246" s="48" t="str">
        <f>FACILITIES!C63</f>
        <v/>
      </c>
      <c r="D246" s="49">
        <v>2022.0</v>
      </c>
      <c r="E246" s="50"/>
      <c r="F246" s="51" t="str">
        <f t="shared" si="1"/>
        <v/>
      </c>
      <c r="G246" s="52"/>
      <c r="H246" s="51" t="s">
        <v>78</v>
      </c>
      <c r="I246" s="53"/>
      <c r="J246" s="53"/>
      <c r="K246" s="51" t="str">
        <f t="shared" si="2"/>
        <v>Pending</v>
      </c>
    </row>
    <row r="247" ht="15.75" customHeight="1">
      <c r="A247" s="48" t="str">
        <f>FACILITIES!A63</f>
        <v>F062</v>
      </c>
      <c r="B247" s="48" t="str">
        <f>FACILITIES!B63</f>
        <v>Nhà máy Xi măng Vĩnh Sơn (Công ty TNHH Xi măng Vĩnh Sơn)</v>
      </c>
      <c r="C247" s="48" t="str">
        <f>FACILITIES!C63</f>
        <v/>
      </c>
      <c r="D247" s="49">
        <v>2023.0</v>
      </c>
      <c r="E247" s="50"/>
      <c r="F247" s="51" t="str">
        <f t="shared" si="1"/>
        <v/>
      </c>
      <c r="G247" s="52"/>
      <c r="H247" s="51" t="s">
        <v>78</v>
      </c>
      <c r="I247" s="53"/>
      <c r="J247" s="53"/>
      <c r="K247" s="51" t="str">
        <f t="shared" si="2"/>
        <v>Pending</v>
      </c>
    </row>
    <row r="248" ht="15.75" customHeight="1">
      <c r="A248" s="48" t="str">
        <f>FACILITIES!A63</f>
        <v>F062</v>
      </c>
      <c r="B248" s="48" t="str">
        <f>FACILITIES!B63</f>
        <v>Nhà máy Xi măng Vĩnh Sơn (Công ty TNHH Xi măng Vĩnh Sơn)</v>
      </c>
      <c r="C248" s="48" t="str">
        <f>FACILITIES!C63</f>
        <v/>
      </c>
      <c r="D248" s="49">
        <v>2024.0</v>
      </c>
      <c r="E248" s="50"/>
      <c r="F248" s="51" t="str">
        <f t="shared" si="1"/>
        <v/>
      </c>
      <c r="G248" s="52"/>
      <c r="H248" s="51" t="s">
        <v>78</v>
      </c>
      <c r="I248" s="53"/>
      <c r="J248" s="53"/>
      <c r="K248" s="51" t="str">
        <f t="shared" si="2"/>
        <v>Pending</v>
      </c>
    </row>
    <row r="249" ht="15.75" customHeight="1">
      <c r="A249" s="48" t="str">
        <f>FACILITIES!A63</f>
        <v>F062</v>
      </c>
      <c r="B249" s="48" t="str">
        <f>FACILITIES!B63</f>
        <v>Nhà máy Xi măng Vĩnh Sơn (Công ty TNHH Xi măng Vĩnh Sơn)</v>
      </c>
      <c r="C249" s="48" t="str">
        <f>FACILITIES!C63</f>
        <v/>
      </c>
      <c r="D249" s="49">
        <v>2025.0</v>
      </c>
      <c r="E249" s="50"/>
      <c r="F249" s="51" t="str">
        <f t="shared" si="1"/>
        <v/>
      </c>
      <c r="G249" s="52"/>
      <c r="H249" s="51" t="s">
        <v>78</v>
      </c>
      <c r="I249" s="53"/>
      <c r="J249" s="53"/>
      <c r="K249" s="51" t="str">
        <f t="shared" si="2"/>
        <v>Pending</v>
      </c>
    </row>
    <row r="250" ht="15.75" customHeight="1">
      <c r="A250" s="48" t="str">
        <f>FACILITIES!A64</f>
        <v>F063</v>
      </c>
      <c r="B250" s="48" t="str">
        <f>FACILITIES!B64</f>
        <v>Công ty Cổ phần Xi măng Mai Sơn</v>
      </c>
      <c r="C250" s="48" t="str">
        <f>FACILITIES!C64</f>
        <v/>
      </c>
      <c r="D250" s="49">
        <v>2022.0</v>
      </c>
      <c r="E250" s="50"/>
      <c r="F250" s="51" t="str">
        <f t="shared" si="1"/>
        <v/>
      </c>
      <c r="G250" s="52"/>
      <c r="H250" s="51" t="s">
        <v>78</v>
      </c>
      <c r="I250" s="53"/>
      <c r="J250" s="53"/>
      <c r="K250" s="51" t="str">
        <f t="shared" si="2"/>
        <v>Pending</v>
      </c>
    </row>
    <row r="251" ht="15.75" customHeight="1">
      <c r="A251" s="48" t="str">
        <f>FACILITIES!A64</f>
        <v>F063</v>
      </c>
      <c r="B251" s="48" t="str">
        <f>FACILITIES!B64</f>
        <v>Công ty Cổ phần Xi măng Mai Sơn</v>
      </c>
      <c r="C251" s="48" t="str">
        <f>FACILITIES!C64</f>
        <v/>
      </c>
      <c r="D251" s="49">
        <v>2023.0</v>
      </c>
      <c r="E251" s="50"/>
      <c r="F251" s="51" t="str">
        <f t="shared" si="1"/>
        <v/>
      </c>
      <c r="G251" s="52"/>
      <c r="H251" s="51" t="s">
        <v>78</v>
      </c>
      <c r="I251" s="53"/>
      <c r="J251" s="53"/>
      <c r="K251" s="51" t="str">
        <f t="shared" si="2"/>
        <v>Pending</v>
      </c>
    </row>
    <row r="252" ht="15.75" customHeight="1">
      <c r="A252" s="48" t="str">
        <f>FACILITIES!A64</f>
        <v>F063</v>
      </c>
      <c r="B252" s="48" t="str">
        <f>FACILITIES!B64</f>
        <v>Công ty Cổ phần Xi măng Mai Sơn</v>
      </c>
      <c r="C252" s="48" t="str">
        <f>FACILITIES!C64</f>
        <v/>
      </c>
      <c r="D252" s="49">
        <v>2024.0</v>
      </c>
      <c r="E252" s="50"/>
      <c r="F252" s="51" t="str">
        <f t="shared" si="1"/>
        <v/>
      </c>
      <c r="G252" s="52"/>
      <c r="H252" s="51" t="s">
        <v>78</v>
      </c>
      <c r="I252" s="53"/>
      <c r="J252" s="53"/>
      <c r="K252" s="51" t="str">
        <f t="shared" si="2"/>
        <v>Pending</v>
      </c>
    </row>
    <row r="253" ht="15.75" customHeight="1">
      <c r="A253" s="48" t="str">
        <f>FACILITIES!A64</f>
        <v>F063</v>
      </c>
      <c r="B253" s="48" t="str">
        <f>FACILITIES!B64</f>
        <v>Công ty Cổ phần Xi măng Mai Sơn</v>
      </c>
      <c r="C253" s="48" t="str">
        <f>FACILITIES!C64</f>
        <v/>
      </c>
      <c r="D253" s="49">
        <v>2025.0</v>
      </c>
      <c r="E253" s="50"/>
      <c r="F253" s="51" t="str">
        <f t="shared" si="1"/>
        <v/>
      </c>
      <c r="G253" s="52"/>
      <c r="H253" s="51" t="s">
        <v>78</v>
      </c>
      <c r="I253" s="53"/>
      <c r="J253" s="53"/>
      <c r="K253" s="51" t="str">
        <f t="shared" si="2"/>
        <v>Pending</v>
      </c>
    </row>
    <row r="254" ht="15.75" customHeight="1">
      <c r="A254" s="48" t="str">
        <f>FACILITIES!A65</f>
        <v>F064</v>
      </c>
      <c r="B254" s="48" t="str">
        <f>FACILITIES!B65</f>
        <v>Nhà máy xi măng Điện Biên</v>
      </c>
      <c r="C254" s="48" t="str">
        <f>FACILITIES!C65</f>
        <v/>
      </c>
      <c r="D254" s="49">
        <v>2022.0</v>
      </c>
      <c r="E254" s="50"/>
      <c r="F254" s="51" t="str">
        <f t="shared" si="1"/>
        <v/>
      </c>
      <c r="G254" s="52"/>
      <c r="H254" s="51" t="s">
        <v>78</v>
      </c>
      <c r="I254" s="53"/>
      <c r="J254" s="53"/>
      <c r="K254" s="51" t="str">
        <f t="shared" si="2"/>
        <v>Pending</v>
      </c>
    </row>
    <row r="255" ht="15.75" customHeight="1">
      <c r="A255" s="48" t="str">
        <f>FACILITIES!A65</f>
        <v>F064</v>
      </c>
      <c r="B255" s="48" t="str">
        <f>FACILITIES!B65</f>
        <v>Nhà máy xi măng Điện Biên</v>
      </c>
      <c r="C255" s="48" t="str">
        <f>FACILITIES!C65</f>
        <v/>
      </c>
      <c r="D255" s="49">
        <v>2023.0</v>
      </c>
      <c r="E255" s="50"/>
      <c r="F255" s="51" t="str">
        <f t="shared" si="1"/>
        <v/>
      </c>
      <c r="G255" s="52"/>
      <c r="H255" s="51" t="s">
        <v>78</v>
      </c>
      <c r="I255" s="53"/>
      <c r="J255" s="53"/>
      <c r="K255" s="51" t="str">
        <f t="shared" si="2"/>
        <v>Pending</v>
      </c>
    </row>
    <row r="256" ht="15.75" customHeight="1">
      <c r="A256" s="48" t="str">
        <f>FACILITIES!A65</f>
        <v>F064</v>
      </c>
      <c r="B256" s="48" t="str">
        <f>FACILITIES!B65</f>
        <v>Nhà máy xi măng Điện Biên</v>
      </c>
      <c r="C256" s="48" t="str">
        <f>FACILITIES!C65</f>
        <v/>
      </c>
      <c r="D256" s="49">
        <v>2024.0</v>
      </c>
      <c r="E256" s="50"/>
      <c r="F256" s="51" t="str">
        <f t="shared" si="1"/>
        <v/>
      </c>
      <c r="G256" s="52"/>
      <c r="H256" s="51" t="s">
        <v>78</v>
      </c>
      <c r="I256" s="53"/>
      <c r="J256" s="53"/>
      <c r="K256" s="51" t="str">
        <f t="shared" si="2"/>
        <v>Pending</v>
      </c>
    </row>
    <row r="257" ht="15.75" customHeight="1">
      <c r="A257" s="48" t="str">
        <f>FACILITIES!A65</f>
        <v>F064</v>
      </c>
      <c r="B257" s="48" t="str">
        <f>FACILITIES!B65</f>
        <v>Nhà máy xi măng Điện Biên</v>
      </c>
      <c r="C257" s="48" t="str">
        <f>FACILITIES!C65</f>
        <v/>
      </c>
      <c r="D257" s="49">
        <v>2025.0</v>
      </c>
      <c r="E257" s="50"/>
      <c r="F257" s="51" t="str">
        <f t="shared" si="1"/>
        <v/>
      </c>
      <c r="G257" s="52"/>
      <c r="H257" s="51" t="s">
        <v>78</v>
      </c>
      <c r="I257" s="53"/>
      <c r="J257" s="53"/>
      <c r="K257" s="51" t="str">
        <f t="shared" si="2"/>
        <v>Pending</v>
      </c>
    </row>
    <row r="258" ht="15.75" customHeight="1">
      <c r="A258" s="48" t="str">
        <f>FACILITIES!A66</f>
        <v>F065</v>
      </c>
      <c r="B258" s="48" t="str">
        <f>FACILITIES!B66</f>
        <v>Nhà máy Xi măng Yên Bái, Công ty Cổ phần Xi măng và Khoáng sản Yên Bái</v>
      </c>
      <c r="C258" s="48" t="str">
        <f>FACILITIES!C66</f>
        <v/>
      </c>
      <c r="D258" s="49">
        <v>2022.0</v>
      </c>
      <c r="E258" s="50"/>
      <c r="F258" s="51" t="str">
        <f t="shared" si="1"/>
        <v/>
      </c>
      <c r="G258" s="52"/>
      <c r="H258" s="51" t="s">
        <v>78</v>
      </c>
      <c r="I258" s="53"/>
      <c r="J258" s="53"/>
      <c r="K258" s="51" t="str">
        <f t="shared" si="2"/>
        <v>Pending</v>
      </c>
    </row>
    <row r="259" ht="15.75" customHeight="1">
      <c r="A259" s="48" t="str">
        <f>FACILITIES!A66</f>
        <v>F065</v>
      </c>
      <c r="B259" s="48" t="str">
        <f>FACILITIES!B66</f>
        <v>Nhà máy Xi măng Yên Bái, Công ty Cổ phần Xi măng và Khoáng sản Yên Bái</v>
      </c>
      <c r="C259" s="48" t="str">
        <f>FACILITIES!C66</f>
        <v/>
      </c>
      <c r="D259" s="49">
        <v>2023.0</v>
      </c>
      <c r="E259" s="50"/>
      <c r="F259" s="51" t="str">
        <f t="shared" si="1"/>
        <v/>
      </c>
      <c r="G259" s="52"/>
      <c r="H259" s="51" t="s">
        <v>78</v>
      </c>
      <c r="I259" s="53"/>
      <c r="J259" s="53"/>
      <c r="K259" s="51" t="str">
        <f t="shared" si="2"/>
        <v>Pending</v>
      </c>
    </row>
    <row r="260" ht="15.75" customHeight="1">
      <c r="A260" s="48" t="str">
        <f>FACILITIES!A66</f>
        <v>F065</v>
      </c>
      <c r="B260" s="48" t="str">
        <f>FACILITIES!B66</f>
        <v>Nhà máy Xi măng Yên Bái, Công ty Cổ phần Xi măng và Khoáng sản Yên Bái</v>
      </c>
      <c r="C260" s="48" t="str">
        <f>FACILITIES!C66</f>
        <v/>
      </c>
      <c r="D260" s="49">
        <v>2024.0</v>
      </c>
      <c r="E260" s="50"/>
      <c r="F260" s="51" t="str">
        <f t="shared" si="1"/>
        <v/>
      </c>
      <c r="G260" s="52"/>
      <c r="H260" s="51" t="s">
        <v>78</v>
      </c>
      <c r="I260" s="53"/>
      <c r="J260" s="53"/>
      <c r="K260" s="51" t="str">
        <f t="shared" si="2"/>
        <v>Pending</v>
      </c>
    </row>
    <row r="261" ht="15.75" customHeight="1">
      <c r="A261" s="48" t="str">
        <f>FACILITIES!A66</f>
        <v>F065</v>
      </c>
      <c r="B261" s="48" t="str">
        <f>FACILITIES!B66</f>
        <v>Nhà máy Xi măng Yên Bái, Công ty Cổ phần Xi măng và Khoáng sản Yên Bái</v>
      </c>
      <c r="C261" s="48" t="str">
        <f>FACILITIES!C66</f>
        <v/>
      </c>
      <c r="D261" s="49">
        <v>2025.0</v>
      </c>
      <c r="E261" s="50"/>
      <c r="F261" s="51" t="str">
        <f t="shared" si="1"/>
        <v/>
      </c>
      <c r="G261" s="52"/>
      <c r="H261" s="51" t="s">
        <v>78</v>
      </c>
      <c r="I261" s="53"/>
      <c r="J261" s="53"/>
      <c r="K261" s="51" t="str">
        <f t="shared" si="2"/>
        <v>Pending</v>
      </c>
    </row>
    <row r="262" ht="15.75" customHeight="1">
      <c r="A262" s="48" t="str">
        <f>FACILITIES!A67</f>
        <v>F066</v>
      </c>
      <c r="B262" s="48" t="str">
        <f>FACILITIES!B67</f>
        <v>Nhà máy Xi măng Yên Bình, Công ty Cổ phần Xi măng Yên Bình</v>
      </c>
      <c r="C262" s="48" t="str">
        <f>FACILITIES!C67</f>
        <v/>
      </c>
      <c r="D262" s="49">
        <v>2022.0</v>
      </c>
      <c r="E262" s="50"/>
      <c r="F262" s="51" t="str">
        <f t="shared" si="1"/>
        <v/>
      </c>
      <c r="G262" s="52"/>
      <c r="H262" s="51" t="s">
        <v>78</v>
      </c>
      <c r="I262" s="53"/>
      <c r="J262" s="53"/>
      <c r="K262" s="51" t="str">
        <f t="shared" si="2"/>
        <v>Pending</v>
      </c>
    </row>
    <row r="263" ht="15.75" customHeight="1">
      <c r="A263" s="48" t="str">
        <f>FACILITIES!A67</f>
        <v>F066</v>
      </c>
      <c r="B263" s="48" t="str">
        <f>FACILITIES!B67</f>
        <v>Nhà máy Xi măng Yên Bình, Công ty Cổ phần Xi măng Yên Bình</v>
      </c>
      <c r="C263" s="48" t="str">
        <f>FACILITIES!C67</f>
        <v/>
      </c>
      <c r="D263" s="49">
        <v>2023.0</v>
      </c>
      <c r="E263" s="50"/>
      <c r="F263" s="51" t="str">
        <f t="shared" si="1"/>
        <v/>
      </c>
      <c r="G263" s="52"/>
      <c r="H263" s="51" t="s">
        <v>78</v>
      </c>
      <c r="I263" s="53"/>
      <c r="J263" s="53"/>
      <c r="K263" s="51" t="str">
        <f t="shared" si="2"/>
        <v>Pending</v>
      </c>
    </row>
    <row r="264" ht="15.75" customHeight="1">
      <c r="A264" s="48" t="str">
        <f>FACILITIES!A67</f>
        <v>F066</v>
      </c>
      <c r="B264" s="48" t="str">
        <f>FACILITIES!B67</f>
        <v>Nhà máy Xi măng Yên Bình, Công ty Cổ phần Xi măng Yên Bình</v>
      </c>
      <c r="C264" s="48" t="str">
        <f>FACILITIES!C67</f>
        <v/>
      </c>
      <c r="D264" s="49">
        <v>2024.0</v>
      </c>
      <c r="E264" s="50"/>
      <c r="F264" s="51" t="str">
        <f t="shared" si="1"/>
        <v/>
      </c>
      <c r="G264" s="52"/>
      <c r="H264" s="51" t="s">
        <v>78</v>
      </c>
      <c r="I264" s="53"/>
      <c r="J264" s="53"/>
      <c r="K264" s="51" t="str">
        <f t="shared" si="2"/>
        <v>Pending</v>
      </c>
    </row>
    <row r="265" ht="15.75" customHeight="1">
      <c r="A265" s="48" t="str">
        <f>FACILITIES!A67</f>
        <v>F066</v>
      </c>
      <c r="B265" s="48" t="str">
        <f>FACILITIES!B67</f>
        <v>Nhà máy Xi măng Yên Bình, Công ty Cổ phần Xi măng Yên Bình</v>
      </c>
      <c r="C265" s="48" t="str">
        <f>FACILITIES!C67</f>
        <v/>
      </c>
      <c r="D265" s="49">
        <v>2025.0</v>
      </c>
      <c r="E265" s="50"/>
      <c r="F265" s="51" t="str">
        <f t="shared" si="1"/>
        <v/>
      </c>
      <c r="G265" s="52"/>
      <c r="H265" s="51" t="s">
        <v>78</v>
      </c>
      <c r="I265" s="53"/>
      <c r="J265" s="53"/>
      <c r="K265" s="51" t="str">
        <f t="shared" si="2"/>
        <v>Pending</v>
      </c>
    </row>
    <row r="266" ht="15.75" customHeight="1">
      <c r="A266" s="48" t="str">
        <f>FACILITIES!A68</f>
        <v>F067</v>
      </c>
      <c r="B266" s="48" t="str">
        <f>FACILITIES!B68</f>
        <v>Công ty cổ phần xi măng Phú Thọ</v>
      </c>
      <c r="C266" s="48" t="str">
        <f>FACILITIES!C68</f>
        <v/>
      </c>
      <c r="D266" s="49">
        <v>2022.0</v>
      </c>
      <c r="E266" s="50"/>
      <c r="F266" s="51" t="str">
        <f t="shared" si="1"/>
        <v/>
      </c>
      <c r="G266" s="52"/>
      <c r="H266" s="51" t="s">
        <v>78</v>
      </c>
      <c r="I266" s="53"/>
      <c r="J266" s="53"/>
      <c r="K266" s="51" t="str">
        <f t="shared" si="2"/>
        <v>Pending</v>
      </c>
    </row>
    <row r="267" ht="15.75" customHeight="1">
      <c r="A267" s="48" t="str">
        <f>FACILITIES!A68</f>
        <v>F067</v>
      </c>
      <c r="B267" s="48" t="str">
        <f>FACILITIES!B68</f>
        <v>Công ty cổ phần xi măng Phú Thọ</v>
      </c>
      <c r="C267" s="48" t="str">
        <f>FACILITIES!C68</f>
        <v/>
      </c>
      <c r="D267" s="49">
        <v>2023.0</v>
      </c>
      <c r="E267" s="50"/>
      <c r="F267" s="51" t="str">
        <f t="shared" si="1"/>
        <v/>
      </c>
      <c r="G267" s="52"/>
      <c r="H267" s="51" t="s">
        <v>78</v>
      </c>
      <c r="I267" s="53"/>
      <c r="J267" s="53"/>
      <c r="K267" s="51" t="str">
        <f t="shared" si="2"/>
        <v>Pending</v>
      </c>
    </row>
    <row r="268" ht="15.75" customHeight="1">
      <c r="A268" s="48" t="str">
        <f>FACILITIES!A68</f>
        <v>F067</v>
      </c>
      <c r="B268" s="48" t="str">
        <f>FACILITIES!B68</f>
        <v>Công ty cổ phần xi măng Phú Thọ</v>
      </c>
      <c r="C268" s="48" t="str">
        <f>FACILITIES!C68</f>
        <v/>
      </c>
      <c r="D268" s="49">
        <v>2024.0</v>
      </c>
      <c r="E268" s="50"/>
      <c r="F268" s="51" t="str">
        <f t="shared" si="1"/>
        <v/>
      </c>
      <c r="G268" s="52"/>
      <c r="H268" s="51" t="s">
        <v>78</v>
      </c>
      <c r="I268" s="53"/>
      <c r="J268" s="53"/>
      <c r="K268" s="51" t="str">
        <f t="shared" si="2"/>
        <v>Pending</v>
      </c>
    </row>
    <row r="269" ht="15.75" customHeight="1">
      <c r="A269" s="48" t="str">
        <f>FACILITIES!A68</f>
        <v>F067</v>
      </c>
      <c r="B269" s="48" t="str">
        <f>FACILITIES!B68</f>
        <v>Công ty cổ phần xi măng Phú Thọ</v>
      </c>
      <c r="C269" s="48" t="str">
        <f>FACILITIES!C68</f>
        <v/>
      </c>
      <c r="D269" s="49">
        <v>2025.0</v>
      </c>
      <c r="E269" s="50"/>
      <c r="F269" s="51" t="str">
        <f t="shared" si="1"/>
        <v/>
      </c>
      <c r="G269" s="52"/>
      <c r="H269" s="51" t="s">
        <v>78</v>
      </c>
      <c r="I269" s="53"/>
      <c r="J269" s="53"/>
      <c r="K269" s="51" t="str">
        <f t="shared" si="2"/>
        <v>Pending</v>
      </c>
    </row>
    <row r="270" ht="15.75" customHeight="1">
      <c r="A270" s="48" t="str">
        <f>FACILITIES!A69</f>
        <v>F068</v>
      </c>
      <c r="B270" s="48" t="str">
        <f>FACILITIES!B69</f>
        <v>Công ty cổ phần xi măng VIMCEM Sông Thao</v>
      </c>
      <c r="C270" s="48" t="str">
        <f>FACILITIES!C69</f>
        <v/>
      </c>
      <c r="D270" s="49">
        <v>2022.0</v>
      </c>
      <c r="E270" s="50"/>
      <c r="F270" s="51" t="str">
        <f t="shared" si="1"/>
        <v/>
      </c>
      <c r="G270" s="52"/>
      <c r="H270" s="51" t="s">
        <v>78</v>
      </c>
      <c r="I270" s="53"/>
      <c r="J270" s="53"/>
      <c r="K270" s="51" t="str">
        <f t="shared" si="2"/>
        <v>Pending</v>
      </c>
    </row>
    <row r="271" ht="15.75" customHeight="1">
      <c r="A271" s="48" t="str">
        <f>FACILITIES!A69</f>
        <v>F068</v>
      </c>
      <c r="B271" s="48" t="str">
        <f>FACILITIES!B69</f>
        <v>Công ty cổ phần xi măng VIMCEM Sông Thao</v>
      </c>
      <c r="C271" s="48" t="str">
        <f>FACILITIES!C69</f>
        <v/>
      </c>
      <c r="D271" s="49">
        <v>2023.0</v>
      </c>
      <c r="E271" s="50"/>
      <c r="F271" s="51" t="str">
        <f t="shared" si="1"/>
        <v/>
      </c>
      <c r="G271" s="52"/>
      <c r="H271" s="51" t="s">
        <v>78</v>
      </c>
      <c r="I271" s="53"/>
      <c r="J271" s="53"/>
      <c r="K271" s="51" t="str">
        <f t="shared" si="2"/>
        <v>Pending</v>
      </c>
    </row>
    <row r="272" ht="15.75" customHeight="1">
      <c r="A272" s="48" t="str">
        <f>FACILITIES!A69</f>
        <v>F068</v>
      </c>
      <c r="B272" s="48" t="str">
        <f>FACILITIES!B69</f>
        <v>Công ty cổ phần xi măng VIMCEM Sông Thao</v>
      </c>
      <c r="C272" s="48" t="str">
        <f>FACILITIES!C69</f>
        <v/>
      </c>
      <c r="D272" s="49">
        <v>2024.0</v>
      </c>
      <c r="E272" s="50"/>
      <c r="F272" s="51" t="str">
        <f t="shared" si="1"/>
        <v/>
      </c>
      <c r="G272" s="52"/>
      <c r="H272" s="51" t="s">
        <v>78</v>
      </c>
      <c r="I272" s="53"/>
      <c r="J272" s="53"/>
      <c r="K272" s="51" t="str">
        <f t="shared" si="2"/>
        <v>Pending</v>
      </c>
    </row>
    <row r="273" ht="15.75" customHeight="1">
      <c r="A273" s="48" t="str">
        <f>FACILITIES!A69</f>
        <v>F068</v>
      </c>
      <c r="B273" s="48" t="str">
        <f>FACILITIES!B69</f>
        <v>Công ty cổ phần xi măng VIMCEM Sông Thao</v>
      </c>
      <c r="C273" s="48" t="str">
        <f>FACILITIES!C69</f>
        <v/>
      </c>
      <c r="D273" s="49">
        <v>2025.0</v>
      </c>
      <c r="E273" s="50"/>
      <c r="F273" s="51" t="str">
        <f t="shared" si="1"/>
        <v/>
      </c>
      <c r="G273" s="52"/>
      <c r="H273" s="51" t="s">
        <v>78</v>
      </c>
      <c r="I273" s="53"/>
      <c r="J273" s="53"/>
      <c r="K273" s="51" t="str">
        <f t="shared" si="2"/>
        <v>Pending</v>
      </c>
    </row>
    <row r="274" ht="15.75" customHeight="1">
      <c r="A274" s="48" t="str">
        <f>FACILITIES!A70</f>
        <v>F069</v>
      </c>
      <c r="B274" s="48" t="str">
        <f>FACILITIES!B70</f>
        <v>Nhà máy xi măng Tuyên Quang, Công ty cổ phần xi măng Tuyên Quang</v>
      </c>
      <c r="C274" s="48" t="str">
        <f>FACILITIES!C70</f>
        <v/>
      </c>
      <c r="D274" s="49">
        <v>2022.0</v>
      </c>
      <c r="E274" s="50"/>
      <c r="F274" s="51" t="str">
        <f t="shared" si="1"/>
        <v/>
      </c>
      <c r="G274" s="52"/>
      <c r="H274" s="51" t="s">
        <v>78</v>
      </c>
      <c r="I274" s="53"/>
      <c r="J274" s="53"/>
      <c r="K274" s="51" t="str">
        <f t="shared" si="2"/>
        <v>Pending</v>
      </c>
    </row>
    <row r="275" ht="15.75" customHeight="1">
      <c r="A275" s="48" t="str">
        <f>FACILITIES!A70</f>
        <v>F069</v>
      </c>
      <c r="B275" s="48" t="str">
        <f>FACILITIES!B70</f>
        <v>Nhà máy xi măng Tuyên Quang, Công ty cổ phần xi măng Tuyên Quang</v>
      </c>
      <c r="C275" s="48" t="str">
        <f>FACILITIES!C70</f>
        <v/>
      </c>
      <c r="D275" s="49">
        <v>2023.0</v>
      </c>
      <c r="E275" s="50"/>
      <c r="F275" s="51" t="str">
        <f t="shared" si="1"/>
        <v/>
      </c>
      <c r="G275" s="52"/>
      <c r="H275" s="51" t="s">
        <v>78</v>
      </c>
      <c r="I275" s="53"/>
      <c r="J275" s="53"/>
      <c r="K275" s="51" t="str">
        <f t="shared" si="2"/>
        <v>Pending</v>
      </c>
    </row>
    <row r="276" ht="15.75" customHeight="1">
      <c r="A276" s="48" t="str">
        <f>FACILITIES!A70</f>
        <v>F069</v>
      </c>
      <c r="B276" s="48" t="str">
        <f>FACILITIES!B70</f>
        <v>Nhà máy xi măng Tuyên Quang, Công ty cổ phần xi măng Tuyên Quang</v>
      </c>
      <c r="C276" s="48" t="str">
        <f>FACILITIES!C70</f>
        <v/>
      </c>
      <c r="D276" s="49">
        <v>2024.0</v>
      </c>
      <c r="E276" s="50"/>
      <c r="F276" s="51" t="str">
        <f t="shared" si="1"/>
        <v/>
      </c>
      <c r="G276" s="52"/>
      <c r="H276" s="51" t="s">
        <v>78</v>
      </c>
      <c r="I276" s="53"/>
      <c r="J276" s="53"/>
      <c r="K276" s="51" t="str">
        <f t="shared" si="2"/>
        <v>Pending</v>
      </c>
    </row>
    <row r="277" ht="15.75" customHeight="1">
      <c r="A277" s="48" t="str">
        <f>FACILITIES!A70</f>
        <v>F069</v>
      </c>
      <c r="B277" s="48" t="str">
        <f>FACILITIES!B70</f>
        <v>Nhà máy xi măng Tuyên Quang, Công ty cổ phần xi măng Tuyên Quang</v>
      </c>
      <c r="C277" s="48" t="str">
        <f>FACILITIES!C70</f>
        <v/>
      </c>
      <c r="D277" s="49">
        <v>2025.0</v>
      </c>
      <c r="E277" s="50"/>
      <c r="F277" s="51" t="str">
        <f t="shared" si="1"/>
        <v/>
      </c>
      <c r="G277" s="52"/>
      <c r="H277" s="51" t="s">
        <v>78</v>
      </c>
      <c r="I277" s="53"/>
      <c r="J277" s="53"/>
      <c r="K277" s="51" t="str">
        <f t="shared" si="2"/>
        <v>Pending</v>
      </c>
    </row>
    <row r="278" ht="15.75" customHeight="1">
      <c r="A278" s="48" t="str">
        <f>FACILITIES!A71</f>
        <v>F070</v>
      </c>
      <c r="B278" s="48" t="str">
        <f>FACILITIES!B71</f>
        <v>Nhà máy xi măng Tân Quang, Công ty cổ phần xi măng Tân Quang- VVMI, Tổng công ty công nghiệp mỏ Việt Bắc TKV</v>
      </c>
      <c r="C278" s="48" t="str">
        <f>FACILITIES!C71</f>
        <v/>
      </c>
      <c r="D278" s="49">
        <v>2022.0</v>
      </c>
      <c r="E278" s="50"/>
      <c r="F278" s="51" t="str">
        <f t="shared" si="1"/>
        <v/>
      </c>
      <c r="G278" s="52"/>
      <c r="H278" s="51" t="s">
        <v>78</v>
      </c>
      <c r="I278" s="53"/>
      <c r="J278" s="53"/>
      <c r="K278" s="51" t="str">
        <f t="shared" si="2"/>
        <v>Pending</v>
      </c>
    </row>
    <row r="279" ht="15.75" customHeight="1">
      <c r="A279" s="48" t="str">
        <f>FACILITIES!A71</f>
        <v>F070</v>
      </c>
      <c r="B279" s="48" t="str">
        <f>FACILITIES!B71</f>
        <v>Nhà máy xi măng Tân Quang, Công ty cổ phần xi măng Tân Quang- VVMI, Tổng công ty công nghiệp mỏ Việt Bắc TKV</v>
      </c>
      <c r="C279" s="48" t="str">
        <f>FACILITIES!C71</f>
        <v/>
      </c>
      <c r="D279" s="49">
        <v>2023.0</v>
      </c>
      <c r="E279" s="50"/>
      <c r="F279" s="51" t="str">
        <f t="shared" si="1"/>
        <v/>
      </c>
      <c r="G279" s="52"/>
      <c r="H279" s="51" t="s">
        <v>78</v>
      </c>
      <c r="I279" s="53"/>
      <c r="J279" s="53"/>
      <c r="K279" s="51" t="str">
        <f t="shared" si="2"/>
        <v>Pending</v>
      </c>
    </row>
    <row r="280" ht="15.75" customHeight="1">
      <c r="A280" s="48" t="str">
        <f>FACILITIES!A71</f>
        <v>F070</v>
      </c>
      <c r="B280" s="48" t="str">
        <f>FACILITIES!B71</f>
        <v>Nhà máy xi măng Tân Quang, Công ty cổ phần xi măng Tân Quang- VVMI, Tổng công ty công nghiệp mỏ Việt Bắc TKV</v>
      </c>
      <c r="C280" s="48" t="str">
        <f>FACILITIES!C71</f>
        <v/>
      </c>
      <c r="D280" s="49">
        <v>2024.0</v>
      </c>
      <c r="E280" s="50"/>
      <c r="F280" s="51" t="str">
        <f t="shared" si="1"/>
        <v/>
      </c>
      <c r="G280" s="52"/>
      <c r="H280" s="51" t="s">
        <v>78</v>
      </c>
      <c r="I280" s="53"/>
      <c r="J280" s="53"/>
      <c r="K280" s="51" t="str">
        <f t="shared" si="2"/>
        <v>Pending</v>
      </c>
    </row>
    <row r="281" ht="15.75" customHeight="1">
      <c r="A281" s="48" t="str">
        <f>FACILITIES!A71</f>
        <v>F070</v>
      </c>
      <c r="B281" s="48" t="str">
        <f>FACILITIES!B71</f>
        <v>Nhà máy xi măng Tân Quang, Công ty cổ phần xi măng Tân Quang- VVMI, Tổng công ty công nghiệp mỏ Việt Bắc TKV</v>
      </c>
      <c r="C281" s="48" t="str">
        <f>FACILITIES!C71</f>
        <v/>
      </c>
      <c r="D281" s="49">
        <v>2025.0</v>
      </c>
      <c r="E281" s="50"/>
      <c r="F281" s="51" t="str">
        <f t="shared" si="1"/>
        <v/>
      </c>
      <c r="G281" s="52"/>
      <c r="H281" s="51" t="s">
        <v>78</v>
      </c>
      <c r="I281" s="53"/>
      <c r="J281" s="53"/>
      <c r="K281" s="51" t="str">
        <f t="shared" si="2"/>
        <v>Pending</v>
      </c>
    </row>
    <row r="282" ht="15.75" customHeight="1">
      <c r="A282" s="48" t="str">
        <f>FACILITIES!A72</f>
        <v>F071</v>
      </c>
      <c r="B282" s="48" t="str">
        <f>FACILITIES!B72</f>
        <v>Nhà máy sản xuất Xi măng Quán Triều, Công ty Cổ phần Xi măng Quán Triều</v>
      </c>
      <c r="C282" s="48" t="str">
        <f>FACILITIES!C72</f>
        <v/>
      </c>
      <c r="D282" s="49">
        <v>2022.0</v>
      </c>
      <c r="E282" s="50"/>
      <c r="F282" s="51" t="str">
        <f t="shared" si="1"/>
        <v/>
      </c>
      <c r="G282" s="52"/>
      <c r="H282" s="51" t="s">
        <v>78</v>
      </c>
      <c r="I282" s="53"/>
      <c r="J282" s="53"/>
      <c r="K282" s="51" t="str">
        <f t="shared" si="2"/>
        <v>Pending</v>
      </c>
    </row>
    <row r="283" ht="15.75" customHeight="1">
      <c r="A283" s="48" t="str">
        <f>FACILITIES!A72</f>
        <v>F071</v>
      </c>
      <c r="B283" s="48" t="str">
        <f>FACILITIES!B72</f>
        <v>Nhà máy sản xuất Xi măng Quán Triều, Công ty Cổ phần Xi măng Quán Triều</v>
      </c>
      <c r="C283" s="48" t="str">
        <f>FACILITIES!C72</f>
        <v/>
      </c>
      <c r="D283" s="49">
        <v>2023.0</v>
      </c>
      <c r="E283" s="50"/>
      <c r="F283" s="51" t="str">
        <f t="shared" si="1"/>
        <v/>
      </c>
      <c r="G283" s="52"/>
      <c r="H283" s="51" t="s">
        <v>78</v>
      </c>
      <c r="I283" s="53"/>
      <c r="J283" s="53"/>
      <c r="K283" s="51" t="str">
        <f t="shared" si="2"/>
        <v>Pending</v>
      </c>
    </row>
    <row r="284" ht="15.75" customHeight="1">
      <c r="A284" s="48" t="str">
        <f>FACILITIES!A72</f>
        <v>F071</v>
      </c>
      <c r="B284" s="48" t="str">
        <f>FACILITIES!B72</f>
        <v>Nhà máy sản xuất Xi măng Quán Triều, Công ty Cổ phần Xi măng Quán Triều</v>
      </c>
      <c r="C284" s="48" t="str">
        <f>FACILITIES!C72</f>
        <v/>
      </c>
      <c r="D284" s="49">
        <v>2024.0</v>
      </c>
      <c r="E284" s="50"/>
      <c r="F284" s="51" t="str">
        <f t="shared" si="1"/>
        <v/>
      </c>
      <c r="G284" s="52"/>
      <c r="H284" s="51" t="s">
        <v>78</v>
      </c>
      <c r="I284" s="53"/>
      <c r="J284" s="53"/>
      <c r="K284" s="51" t="str">
        <f t="shared" si="2"/>
        <v>Pending</v>
      </c>
    </row>
    <row r="285" ht="15.75" customHeight="1">
      <c r="A285" s="48" t="str">
        <f>FACILITIES!A72</f>
        <v>F071</v>
      </c>
      <c r="B285" s="48" t="str">
        <f>FACILITIES!B72</f>
        <v>Nhà máy sản xuất Xi măng Quán Triều, Công ty Cổ phần Xi măng Quán Triều</v>
      </c>
      <c r="C285" s="48" t="str">
        <f>FACILITIES!C72</f>
        <v/>
      </c>
      <c r="D285" s="49">
        <v>2025.0</v>
      </c>
      <c r="E285" s="50"/>
      <c r="F285" s="51" t="str">
        <f t="shared" si="1"/>
        <v/>
      </c>
      <c r="G285" s="52"/>
      <c r="H285" s="51" t="s">
        <v>78</v>
      </c>
      <c r="I285" s="53"/>
      <c r="J285" s="53"/>
      <c r="K285" s="51" t="str">
        <f t="shared" si="2"/>
        <v>Pending</v>
      </c>
    </row>
    <row r="286" ht="15.75" customHeight="1">
      <c r="A286" s="48" t="str">
        <f>FACILITIES!A73</f>
        <v>F072</v>
      </c>
      <c r="B286" s="48" t="str">
        <f>FACILITIES!B73</f>
        <v>Nhà máy sản xuất Xi măng La Hiên, Công ty cổ phần Xi măng La Hiên</v>
      </c>
      <c r="C286" s="48" t="str">
        <f>FACILITIES!C73</f>
        <v/>
      </c>
      <c r="D286" s="49">
        <v>2022.0</v>
      </c>
      <c r="E286" s="50"/>
      <c r="F286" s="51" t="str">
        <f t="shared" si="1"/>
        <v/>
      </c>
      <c r="G286" s="52"/>
      <c r="H286" s="51" t="s">
        <v>78</v>
      </c>
      <c r="I286" s="53"/>
      <c r="J286" s="53"/>
      <c r="K286" s="51" t="str">
        <f t="shared" si="2"/>
        <v>Pending</v>
      </c>
    </row>
    <row r="287" ht="15.75" customHeight="1">
      <c r="A287" s="48" t="str">
        <f>FACILITIES!A73</f>
        <v>F072</v>
      </c>
      <c r="B287" s="48" t="str">
        <f>FACILITIES!B73</f>
        <v>Nhà máy sản xuất Xi măng La Hiên, Công ty cổ phần Xi măng La Hiên</v>
      </c>
      <c r="C287" s="48" t="str">
        <f>FACILITIES!C73</f>
        <v/>
      </c>
      <c r="D287" s="49">
        <v>2023.0</v>
      </c>
      <c r="E287" s="50"/>
      <c r="F287" s="51" t="str">
        <f t="shared" si="1"/>
        <v/>
      </c>
      <c r="G287" s="52"/>
      <c r="H287" s="51" t="s">
        <v>78</v>
      </c>
      <c r="I287" s="53"/>
      <c r="J287" s="53"/>
      <c r="K287" s="51" t="str">
        <f t="shared" si="2"/>
        <v>Pending</v>
      </c>
    </row>
    <row r="288" ht="15.75" customHeight="1">
      <c r="A288" s="48" t="str">
        <f>FACILITIES!A73</f>
        <v>F072</v>
      </c>
      <c r="B288" s="48" t="str">
        <f>FACILITIES!B73</f>
        <v>Nhà máy sản xuất Xi măng La Hiên, Công ty cổ phần Xi măng La Hiên</v>
      </c>
      <c r="C288" s="48" t="str">
        <f>FACILITIES!C73</f>
        <v/>
      </c>
      <c r="D288" s="49">
        <v>2024.0</v>
      </c>
      <c r="E288" s="50"/>
      <c r="F288" s="51" t="str">
        <f t="shared" si="1"/>
        <v/>
      </c>
      <c r="G288" s="52"/>
      <c r="H288" s="51" t="s">
        <v>78</v>
      </c>
      <c r="I288" s="53"/>
      <c r="J288" s="53"/>
      <c r="K288" s="51" t="str">
        <f t="shared" si="2"/>
        <v>Pending</v>
      </c>
    </row>
    <row r="289" ht="15.75" customHeight="1">
      <c r="A289" s="48" t="str">
        <f>FACILITIES!A73</f>
        <v>F072</v>
      </c>
      <c r="B289" s="48" t="str">
        <f>FACILITIES!B73</f>
        <v>Nhà máy sản xuất Xi măng La Hiên, Công ty cổ phần Xi măng La Hiên</v>
      </c>
      <c r="C289" s="48" t="str">
        <f>FACILITIES!C73</f>
        <v/>
      </c>
      <c r="D289" s="49">
        <v>2025.0</v>
      </c>
      <c r="E289" s="50"/>
      <c r="F289" s="51" t="str">
        <f t="shared" si="1"/>
        <v/>
      </c>
      <c r="G289" s="52"/>
      <c r="H289" s="51" t="s">
        <v>78</v>
      </c>
      <c r="I289" s="53"/>
      <c r="J289" s="53"/>
      <c r="K289" s="51" t="str">
        <f t="shared" si="2"/>
        <v>Pending</v>
      </c>
    </row>
    <row r="290" ht="15.75" customHeight="1">
      <c r="A290" s="48" t="str">
        <f>FACILITIES!A74</f>
        <v>F073</v>
      </c>
      <c r="B290" s="48" t="str">
        <f>FACILITIES!B74</f>
        <v>Nhà máy sản xuất Xi măng Quang Sơn, Công ty cổ phần Xi măng Quang Sơn</v>
      </c>
      <c r="C290" s="48" t="str">
        <f>FACILITIES!C74</f>
        <v/>
      </c>
      <c r="D290" s="49">
        <v>2022.0</v>
      </c>
      <c r="E290" s="50"/>
      <c r="F290" s="51" t="str">
        <f t="shared" si="1"/>
        <v/>
      </c>
      <c r="G290" s="52"/>
      <c r="H290" s="51" t="s">
        <v>78</v>
      </c>
      <c r="I290" s="53"/>
      <c r="J290" s="53"/>
      <c r="K290" s="51" t="str">
        <f t="shared" si="2"/>
        <v>Pending</v>
      </c>
    </row>
    <row r="291" ht="15.75" customHeight="1">
      <c r="A291" s="48" t="str">
        <f>FACILITIES!A74</f>
        <v>F073</v>
      </c>
      <c r="B291" s="48" t="str">
        <f>FACILITIES!B74</f>
        <v>Nhà máy sản xuất Xi măng Quang Sơn, Công ty cổ phần Xi măng Quang Sơn</v>
      </c>
      <c r="C291" s="48" t="str">
        <f>FACILITIES!C74</f>
        <v/>
      </c>
      <c r="D291" s="49">
        <v>2023.0</v>
      </c>
      <c r="E291" s="50"/>
      <c r="F291" s="51" t="str">
        <f t="shared" si="1"/>
        <v/>
      </c>
      <c r="G291" s="52"/>
      <c r="H291" s="51" t="s">
        <v>78</v>
      </c>
      <c r="I291" s="53"/>
      <c r="J291" s="53"/>
      <c r="K291" s="51" t="str">
        <f t="shared" si="2"/>
        <v>Pending</v>
      </c>
    </row>
    <row r="292" ht="15.75" customHeight="1">
      <c r="A292" s="48" t="str">
        <f>FACILITIES!A74</f>
        <v>F073</v>
      </c>
      <c r="B292" s="48" t="str">
        <f>FACILITIES!B74</f>
        <v>Nhà máy sản xuất Xi măng Quang Sơn, Công ty cổ phần Xi măng Quang Sơn</v>
      </c>
      <c r="C292" s="48" t="str">
        <f>FACILITIES!C74</f>
        <v/>
      </c>
      <c r="D292" s="49">
        <v>2024.0</v>
      </c>
      <c r="E292" s="50"/>
      <c r="F292" s="51" t="str">
        <f t="shared" si="1"/>
        <v/>
      </c>
      <c r="G292" s="52"/>
      <c r="H292" s="51" t="s">
        <v>78</v>
      </c>
      <c r="I292" s="53"/>
      <c r="J292" s="53"/>
      <c r="K292" s="51" t="str">
        <f t="shared" si="2"/>
        <v>Pending</v>
      </c>
    </row>
    <row r="293" ht="15.75" customHeight="1">
      <c r="A293" s="48" t="str">
        <f>FACILITIES!A74</f>
        <v>F073</v>
      </c>
      <c r="B293" s="48" t="str">
        <f>FACILITIES!B74</f>
        <v>Nhà máy sản xuất Xi măng Quang Sơn, Công ty cổ phần Xi măng Quang Sơn</v>
      </c>
      <c r="C293" s="48" t="str">
        <f>FACILITIES!C74</f>
        <v/>
      </c>
      <c r="D293" s="49">
        <v>2025.0</v>
      </c>
      <c r="E293" s="50"/>
      <c r="F293" s="51" t="str">
        <f t="shared" si="1"/>
        <v/>
      </c>
      <c r="G293" s="52"/>
      <c r="H293" s="51" t="s">
        <v>78</v>
      </c>
      <c r="I293" s="53"/>
      <c r="J293" s="53"/>
      <c r="K293" s="51" t="str">
        <f t="shared" si="2"/>
        <v>Pending</v>
      </c>
    </row>
    <row r="294" ht="15.75" customHeight="1">
      <c r="A294" s="48" t="str">
        <f>FACILITIES!A75</f>
        <v>F074</v>
      </c>
      <c r="B294" s="48" t="str">
        <f>FACILITIES!B75</f>
        <v>Công ty Cổ phần xi măng Đồng Bành</v>
      </c>
      <c r="C294" s="48" t="str">
        <f>FACILITIES!C75</f>
        <v/>
      </c>
      <c r="D294" s="49">
        <v>2022.0</v>
      </c>
      <c r="E294" s="50"/>
      <c r="F294" s="51" t="str">
        <f t="shared" si="1"/>
        <v/>
      </c>
      <c r="G294" s="52"/>
      <c r="H294" s="51" t="s">
        <v>78</v>
      </c>
      <c r="I294" s="53"/>
      <c r="J294" s="53"/>
      <c r="K294" s="51" t="str">
        <f t="shared" si="2"/>
        <v>Pending</v>
      </c>
    </row>
    <row r="295" ht="15.75" customHeight="1">
      <c r="A295" s="48" t="str">
        <f>FACILITIES!A75</f>
        <v>F074</v>
      </c>
      <c r="B295" s="48" t="str">
        <f>FACILITIES!B75</f>
        <v>Công ty Cổ phần xi măng Đồng Bành</v>
      </c>
      <c r="C295" s="48" t="str">
        <f>FACILITIES!C75</f>
        <v/>
      </c>
      <c r="D295" s="49">
        <v>2023.0</v>
      </c>
      <c r="E295" s="50"/>
      <c r="F295" s="51" t="str">
        <f t="shared" si="1"/>
        <v/>
      </c>
      <c r="G295" s="52"/>
      <c r="H295" s="51" t="s">
        <v>78</v>
      </c>
      <c r="I295" s="53"/>
      <c r="J295" s="53"/>
      <c r="K295" s="51" t="str">
        <f t="shared" si="2"/>
        <v>Pending</v>
      </c>
    </row>
    <row r="296" ht="15.75" customHeight="1">
      <c r="A296" s="48" t="str">
        <f>FACILITIES!A75</f>
        <v>F074</v>
      </c>
      <c r="B296" s="48" t="str">
        <f>FACILITIES!B75</f>
        <v>Công ty Cổ phần xi măng Đồng Bành</v>
      </c>
      <c r="C296" s="48" t="str">
        <f>FACILITIES!C75</f>
        <v/>
      </c>
      <c r="D296" s="49">
        <v>2024.0</v>
      </c>
      <c r="E296" s="50"/>
      <c r="F296" s="51" t="str">
        <f t="shared" si="1"/>
        <v/>
      </c>
      <c r="G296" s="52"/>
      <c r="H296" s="51" t="s">
        <v>78</v>
      </c>
      <c r="I296" s="53"/>
      <c r="J296" s="53"/>
      <c r="K296" s="51" t="str">
        <f t="shared" si="2"/>
        <v>Pending</v>
      </c>
    </row>
    <row r="297" ht="15.75" customHeight="1">
      <c r="A297" s="48" t="str">
        <f>FACILITIES!A75</f>
        <v>F074</v>
      </c>
      <c r="B297" s="48" t="str">
        <f>FACILITIES!B75</f>
        <v>Công ty Cổ phần xi măng Đồng Bành</v>
      </c>
      <c r="C297" s="48" t="str">
        <f>FACILITIES!C75</f>
        <v/>
      </c>
      <c r="D297" s="49">
        <v>2025.0</v>
      </c>
      <c r="E297" s="50"/>
      <c r="F297" s="51" t="str">
        <f t="shared" si="1"/>
        <v/>
      </c>
      <c r="G297" s="52"/>
      <c r="H297" s="51" t="s">
        <v>78</v>
      </c>
      <c r="I297" s="53"/>
      <c r="J297" s="53"/>
      <c r="K297" s="51" t="str">
        <f t="shared" si="2"/>
        <v>Pending</v>
      </c>
    </row>
    <row r="298" ht="15.75" customHeight="1">
      <c r="A298" s="48" t="str">
        <f>FACILITIES!A76</f>
        <v>F075</v>
      </c>
      <c r="B298" s="48" t="str">
        <f>FACILITIES!B76</f>
        <v>Công ty Cổ phần Xi măng Hồng Phong</v>
      </c>
      <c r="C298" s="48" t="str">
        <f>FACILITIES!C76</f>
        <v/>
      </c>
      <c r="D298" s="49">
        <v>2022.0</v>
      </c>
      <c r="E298" s="50"/>
      <c r="F298" s="51" t="str">
        <f t="shared" si="1"/>
        <v/>
      </c>
      <c r="G298" s="52"/>
      <c r="H298" s="51" t="s">
        <v>78</v>
      </c>
      <c r="I298" s="53"/>
      <c r="J298" s="53"/>
      <c r="K298" s="51" t="str">
        <f t="shared" si="2"/>
        <v>Pending</v>
      </c>
    </row>
    <row r="299" ht="15.75" customHeight="1">
      <c r="A299" s="48" t="str">
        <f>FACILITIES!A76</f>
        <v>F075</v>
      </c>
      <c r="B299" s="48" t="str">
        <f>FACILITIES!B76</f>
        <v>Công ty Cổ phần Xi măng Hồng Phong</v>
      </c>
      <c r="C299" s="48" t="str">
        <f>FACILITIES!C76</f>
        <v/>
      </c>
      <c r="D299" s="49">
        <v>2023.0</v>
      </c>
      <c r="E299" s="50"/>
      <c r="F299" s="51" t="str">
        <f t="shared" si="1"/>
        <v/>
      </c>
      <c r="G299" s="52"/>
      <c r="H299" s="51" t="s">
        <v>78</v>
      </c>
      <c r="I299" s="53"/>
      <c r="J299" s="53"/>
      <c r="K299" s="51" t="str">
        <f t="shared" si="2"/>
        <v>Pending</v>
      </c>
    </row>
    <row r="300" ht="15.75" customHeight="1">
      <c r="A300" s="48" t="str">
        <f>FACILITIES!A76</f>
        <v>F075</v>
      </c>
      <c r="B300" s="48" t="str">
        <f>FACILITIES!B76</f>
        <v>Công ty Cổ phần Xi măng Hồng Phong</v>
      </c>
      <c r="C300" s="48" t="str">
        <f>FACILITIES!C76</f>
        <v/>
      </c>
      <c r="D300" s="49">
        <v>2024.0</v>
      </c>
      <c r="E300" s="50"/>
      <c r="F300" s="51" t="str">
        <f t="shared" si="1"/>
        <v/>
      </c>
      <c r="G300" s="52"/>
      <c r="H300" s="51" t="s">
        <v>78</v>
      </c>
      <c r="I300" s="53"/>
      <c r="J300" s="53"/>
      <c r="K300" s="51" t="str">
        <f t="shared" si="2"/>
        <v>Pending</v>
      </c>
    </row>
    <row r="301" ht="15.75" customHeight="1">
      <c r="A301" s="48" t="str">
        <f>FACILITIES!A76</f>
        <v>F075</v>
      </c>
      <c r="B301" s="48" t="str">
        <f>FACILITIES!B76</f>
        <v>Công ty Cổ phần Xi măng Hồng Phong</v>
      </c>
      <c r="C301" s="48" t="str">
        <f>FACILITIES!C76</f>
        <v/>
      </c>
      <c r="D301" s="49">
        <v>2025.0</v>
      </c>
      <c r="E301" s="50"/>
      <c r="F301" s="51" t="str">
        <f t="shared" si="1"/>
        <v/>
      </c>
      <c r="G301" s="52"/>
      <c r="H301" s="51" t="s">
        <v>78</v>
      </c>
      <c r="I301" s="53"/>
      <c r="J301" s="53"/>
      <c r="K301" s="51" t="str">
        <f t="shared" si="2"/>
        <v>Pending</v>
      </c>
    </row>
    <row r="302" ht="15.75" customHeight="1">
      <c r="A302" s="48" t="str">
        <f>FACILITIES!A77</f>
        <v>F076</v>
      </c>
      <c r="B302" s="48" t="str">
        <f>FACILITIES!B77</f>
        <v>Nhà máy xi măng Cẩm Phả, Công ty Cổ phần Xi măng Cẩm Phả</v>
      </c>
      <c r="C302" s="48" t="str">
        <f>FACILITIES!C77</f>
        <v/>
      </c>
      <c r="D302" s="49">
        <v>2022.0</v>
      </c>
      <c r="E302" s="50"/>
      <c r="F302" s="51" t="str">
        <f t="shared" si="1"/>
        <v/>
      </c>
      <c r="G302" s="52"/>
      <c r="H302" s="51" t="s">
        <v>78</v>
      </c>
      <c r="I302" s="53"/>
      <c r="J302" s="53"/>
      <c r="K302" s="51" t="str">
        <f t="shared" si="2"/>
        <v>Pending</v>
      </c>
    </row>
    <row r="303" ht="15.75" customHeight="1">
      <c r="A303" s="48" t="str">
        <f>FACILITIES!A77</f>
        <v>F076</v>
      </c>
      <c r="B303" s="48" t="str">
        <f>FACILITIES!B77</f>
        <v>Nhà máy xi măng Cẩm Phả, Công ty Cổ phần Xi măng Cẩm Phả</v>
      </c>
      <c r="C303" s="48" t="str">
        <f>FACILITIES!C77</f>
        <v/>
      </c>
      <c r="D303" s="49">
        <v>2023.0</v>
      </c>
      <c r="E303" s="50"/>
      <c r="F303" s="51" t="str">
        <f t="shared" si="1"/>
        <v/>
      </c>
      <c r="G303" s="52"/>
      <c r="H303" s="51" t="s">
        <v>78</v>
      </c>
      <c r="I303" s="53"/>
      <c r="J303" s="53"/>
      <c r="K303" s="51" t="str">
        <f t="shared" si="2"/>
        <v>Pending</v>
      </c>
    </row>
    <row r="304" ht="15.75" customHeight="1">
      <c r="A304" s="48" t="str">
        <f>FACILITIES!A77</f>
        <v>F076</v>
      </c>
      <c r="B304" s="48" t="str">
        <f>FACILITIES!B77</f>
        <v>Nhà máy xi măng Cẩm Phả, Công ty Cổ phần Xi măng Cẩm Phả</v>
      </c>
      <c r="C304" s="48" t="str">
        <f>FACILITIES!C77</f>
        <v/>
      </c>
      <c r="D304" s="49">
        <v>2024.0</v>
      </c>
      <c r="E304" s="50"/>
      <c r="F304" s="51" t="str">
        <f t="shared" si="1"/>
        <v/>
      </c>
      <c r="G304" s="52"/>
      <c r="H304" s="51" t="s">
        <v>78</v>
      </c>
      <c r="I304" s="53"/>
      <c r="J304" s="53"/>
      <c r="K304" s="51" t="str">
        <f t="shared" si="2"/>
        <v>Pending</v>
      </c>
    </row>
    <row r="305" ht="15.75" customHeight="1">
      <c r="A305" s="48" t="str">
        <f>FACILITIES!A77</f>
        <v>F076</v>
      </c>
      <c r="B305" s="48" t="str">
        <f>FACILITIES!B77</f>
        <v>Nhà máy xi măng Cẩm Phả, Công ty Cổ phần Xi măng Cẩm Phả</v>
      </c>
      <c r="C305" s="48" t="str">
        <f>FACILITIES!C77</f>
        <v/>
      </c>
      <c r="D305" s="49">
        <v>2025.0</v>
      </c>
      <c r="E305" s="50"/>
      <c r="F305" s="51" t="str">
        <f t="shared" si="1"/>
        <v/>
      </c>
      <c r="G305" s="52"/>
      <c r="H305" s="51" t="s">
        <v>78</v>
      </c>
      <c r="I305" s="53"/>
      <c r="J305" s="53"/>
      <c r="K305" s="51" t="str">
        <f t="shared" si="2"/>
        <v>Pending</v>
      </c>
    </row>
    <row r="306" ht="15.75" customHeight="1">
      <c r="A306" s="48" t="str">
        <f>FACILITIES!A78</f>
        <v>F077</v>
      </c>
      <c r="B306" s="48" t="str">
        <f>FACILITIES!B78</f>
        <v>Công ty Cổ phần Xi măng và Xây dựng Quảng Ninh, Nhà máy xi măng Lam Thạch</v>
      </c>
      <c r="C306" s="48" t="str">
        <f>FACILITIES!C78</f>
        <v/>
      </c>
      <c r="D306" s="49">
        <v>2022.0</v>
      </c>
      <c r="E306" s="50"/>
      <c r="F306" s="51" t="str">
        <f t="shared" si="1"/>
        <v/>
      </c>
      <c r="G306" s="52"/>
      <c r="H306" s="51" t="s">
        <v>78</v>
      </c>
      <c r="I306" s="53"/>
      <c r="J306" s="53"/>
      <c r="K306" s="51" t="str">
        <f t="shared" si="2"/>
        <v>Pending</v>
      </c>
    </row>
    <row r="307" ht="15.75" customHeight="1">
      <c r="A307" s="48" t="str">
        <f>FACILITIES!A78</f>
        <v>F077</v>
      </c>
      <c r="B307" s="48" t="str">
        <f>FACILITIES!B78</f>
        <v>Công ty Cổ phần Xi măng và Xây dựng Quảng Ninh, Nhà máy xi măng Lam Thạch</v>
      </c>
      <c r="C307" s="48" t="str">
        <f>FACILITIES!C78</f>
        <v/>
      </c>
      <c r="D307" s="49">
        <v>2023.0</v>
      </c>
      <c r="E307" s="50"/>
      <c r="F307" s="51" t="str">
        <f t="shared" si="1"/>
        <v/>
      </c>
      <c r="G307" s="52"/>
      <c r="H307" s="51" t="s">
        <v>78</v>
      </c>
      <c r="I307" s="53"/>
      <c r="J307" s="53"/>
      <c r="K307" s="51" t="str">
        <f t="shared" si="2"/>
        <v>Pending</v>
      </c>
    </row>
    <row r="308" ht="15.75" customHeight="1">
      <c r="A308" s="48" t="str">
        <f>FACILITIES!A78</f>
        <v>F077</v>
      </c>
      <c r="B308" s="48" t="str">
        <f>FACILITIES!B78</f>
        <v>Công ty Cổ phần Xi măng và Xây dựng Quảng Ninh, Nhà máy xi măng Lam Thạch</v>
      </c>
      <c r="C308" s="48" t="str">
        <f>FACILITIES!C78</f>
        <v/>
      </c>
      <c r="D308" s="49">
        <v>2024.0</v>
      </c>
      <c r="E308" s="50"/>
      <c r="F308" s="51" t="str">
        <f t="shared" si="1"/>
        <v/>
      </c>
      <c r="G308" s="52"/>
      <c r="H308" s="51" t="s">
        <v>78</v>
      </c>
      <c r="I308" s="53"/>
      <c r="J308" s="53"/>
      <c r="K308" s="51" t="str">
        <f t="shared" si="2"/>
        <v>Pending</v>
      </c>
    </row>
    <row r="309" ht="15.75" customHeight="1">
      <c r="A309" s="48" t="str">
        <f>FACILITIES!A78</f>
        <v>F077</v>
      </c>
      <c r="B309" s="48" t="str">
        <f>FACILITIES!B78</f>
        <v>Công ty Cổ phần Xi măng và Xây dựng Quảng Ninh, Nhà máy xi măng Lam Thạch</v>
      </c>
      <c r="C309" s="48" t="str">
        <f>FACILITIES!C78</f>
        <v/>
      </c>
      <c r="D309" s="49">
        <v>2025.0</v>
      </c>
      <c r="E309" s="50"/>
      <c r="F309" s="51" t="str">
        <f t="shared" si="1"/>
        <v/>
      </c>
      <c r="G309" s="52"/>
      <c r="H309" s="51" t="s">
        <v>78</v>
      </c>
      <c r="I309" s="53"/>
      <c r="J309" s="53"/>
      <c r="K309" s="51" t="str">
        <f t="shared" si="2"/>
        <v>Pending</v>
      </c>
    </row>
    <row r="310" ht="15.75" customHeight="1">
      <c r="A310" s="48" t="str">
        <f>FACILITIES!A79</f>
        <v>F078</v>
      </c>
      <c r="B310" s="48" t="str">
        <f>FACILITIES!B79</f>
        <v>Công ty Cổ phần Xi măng Hạ Long</v>
      </c>
      <c r="C310" s="48" t="str">
        <f>FACILITIES!C79</f>
        <v/>
      </c>
      <c r="D310" s="49">
        <v>2022.0</v>
      </c>
      <c r="E310" s="50"/>
      <c r="F310" s="51" t="str">
        <f t="shared" si="1"/>
        <v/>
      </c>
      <c r="G310" s="52"/>
      <c r="H310" s="51" t="s">
        <v>78</v>
      </c>
      <c r="I310" s="53"/>
      <c r="J310" s="53"/>
      <c r="K310" s="51" t="str">
        <f t="shared" si="2"/>
        <v>Pending</v>
      </c>
    </row>
    <row r="311" ht="15.75" customHeight="1">
      <c r="A311" s="48" t="str">
        <f>FACILITIES!A79</f>
        <v>F078</v>
      </c>
      <c r="B311" s="48" t="str">
        <f>FACILITIES!B79</f>
        <v>Công ty Cổ phần Xi măng Hạ Long</v>
      </c>
      <c r="C311" s="48" t="str">
        <f>FACILITIES!C79</f>
        <v/>
      </c>
      <c r="D311" s="49">
        <v>2023.0</v>
      </c>
      <c r="E311" s="50"/>
      <c r="F311" s="51" t="str">
        <f t="shared" si="1"/>
        <v/>
      </c>
      <c r="G311" s="52"/>
      <c r="H311" s="51" t="s">
        <v>78</v>
      </c>
      <c r="I311" s="53"/>
      <c r="J311" s="53"/>
      <c r="K311" s="51" t="str">
        <f t="shared" si="2"/>
        <v>Pending</v>
      </c>
    </row>
    <row r="312" ht="15.75" customHeight="1">
      <c r="A312" s="48" t="str">
        <f>FACILITIES!A79</f>
        <v>F078</v>
      </c>
      <c r="B312" s="48" t="str">
        <f>FACILITIES!B79</f>
        <v>Công ty Cổ phần Xi măng Hạ Long</v>
      </c>
      <c r="C312" s="48" t="str">
        <f>FACILITIES!C79</f>
        <v/>
      </c>
      <c r="D312" s="49">
        <v>2024.0</v>
      </c>
      <c r="E312" s="50"/>
      <c r="F312" s="51" t="str">
        <f t="shared" si="1"/>
        <v/>
      </c>
      <c r="G312" s="52"/>
      <c r="H312" s="51" t="s">
        <v>78</v>
      </c>
      <c r="I312" s="53"/>
      <c r="J312" s="53"/>
      <c r="K312" s="51" t="str">
        <f t="shared" si="2"/>
        <v>Pending</v>
      </c>
    </row>
    <row r="313" ht="15.75" customHeight="1">
      <c r="A313" s="48" t="str">
        <f>FACILITIES!A79</f>
        <v>F078</v>
      </c>
      <c r="B313" s="48" t="str">
        <f>FACILITIES!B79</f>
        <v>Công ty Cổ phần Xi măng Hạ Long</v>
      </c>
      <c r="C313" s="48" t="str">
        <f>FACILITIES!C79</f>
        <v/>
      </c>
      <c r="D313" s="49">
        <v>2025.0</v>
      </c>
      <c r="E313" s="50"/>
      <c r="F313" s="51" t="str">
        <f t="shared" si="1"/>
        <v/>
      </c>
      <c r="G313" s="52"/>
      <c r="H313" s="51" t="s">
        <v>78</v>
      </c>
      <c r="I313" s="53"/>
      <c r="J313" s="53"/>
      <c r="K313" s="51" t="str">
        <f t="shared" si="2"/>
        <v>Pending</v>
      </c>
    </row>
    <row r="314" ht="15.75" customHeight="1">
      <c r="A314" s="48" t="str">
        <f>FACILITIES!A80</f>
        <v>F079</v>
      </c>
      <c r="B314" s="48" t="str">
        <f>FACILITIES!B80</f>
        <v>Công ty Cổ phần Xi măng Thăng Long</v>
      </c>
      <c r="C314" s="48" t="str">
        <f>FACILITIES!C80</f>
        <v/>
      </c>
      <c r="D314" s="49">
        <v>2022.0</v>
      </c>
      <c r="E314" s="50"/>
      <c r="F314" s="51" t="str">
        <f t="shared" si="1"/>
        <v/>
      </c>
      <c r="G314" s="52"/>
      <c r="H314" s="51" t="s">
        <v>78</v>
      </c>
      <c r="I314" s="53"/>
      <c r="J314" s="53"/>
      <c r="K314" s="51" t="str">
        <f t="shared" si="2"/>
        <v>Pending</v>
      </c>
    </row>
    <row r="315" ht="15.75" customHeight="1">
      <c r="A315" s="48" t="str">
        <f>FACILITIES!A80</f>
        <v>F079</v>
      </c>
      <c r="B315" s="48" t="str">
        <f>FACILITIES!B80</f>
        <v>Công ty Cổ phần Xi măng Thăng Long</v>
      </c>
      <c r="C315" s="48" t="str">
        <f>FACILITIES!C80</f>
        <v/>
      </c>
      <c r="D315" s="49">
        <v>2023.0</v>
      </c>
      <c r="E315" s="50"/>
      <c r="F315" s="51" t="str">
        <f t="shared" si="1"/>
        <v/>
      </c>
      <c r="G315" s="52"/>
      <c r="H315" s="51" t="s">
        <v>78</v>
      </c>
      <c r="I315" s="53"/>
      <c r="J315" s="53"/>
      <c r="K315" s="51" t="str">
        <f t="shared" si="2"/>
        <v>Pending</v>
      </c>
    </row>
    <row r="316" ht="15.75" customHeight="1">
      <c r="A316" s="48" t="str">
        <f>FACILITIES!A80</f>
        <v>F079</v>
      </c>
      <c r="B316" s="48" t="str">
        <f>FACILITIES!B80</f>
        <v>Công ty Cổ phần Xi măng Thăng Long</v>
      </c>
      <c r="C316" s="48" t="str">
        <f>FACILITIES!C80</f>
        <v/>
      </c>
      <c r="D316" s="49">
        <v>2024.0</v>
      </c>
      <c r="E316" s="50"/>
      <c r="F316" s="51" t="str">
        <f t="shared" si="1"/>
        <v/>
      </c>
      <c r="G316" s="52"/>
      <c r="H316" s="51" t="s">
        <v>78</v>
      </c>
      <c r="I316" s="53"/>
      <c r="J316" s="53"/>
      <c r="K316" s="51" t="str">
        <f t="shared" si="2"/>
        <v>Pending</v>
      </c>
    </row>
    <row r="317" ht="15.75" customHeight="1">
      <c r="A317" s="48" t="str">
        <f>FACILITIES!A80</f>
        <v>F079</v>
      </c>
      <c r="B317" s="48" t="str">
        <f>FACILITIES!B80</f>
        <v>Công ty Cổ phần Xi măng Thăng Long</v>
      </c>
      <c r="C317" s="48" t="str">
        <f>FACILITIES!C80</f>
        <v/>
      </c>
      <c r="D317" s="49">
        <v>2025.0</v>
      </c>
      <c r="E317" s="50"/>
      <c r="F317" s="51" t="str">
        <f t="shared" si="1"/>
        <v/>
      </c>
      <c r="G317" s="52"/>
      <c r="H317" s="51" t="s">
        <v>78</v>
      </c>
      <c r="I317" s="53"/>
      <c r="J317" s="53"/>
      <c r="K317" s="51" t="str">
        <f t="shared" si="2"/>
        <v>Pending</v>
      </c>
    </row>
    <row r="318" ht="15.75" customHeight="1">
      <c r="A318" s="48" t="str">
        <f>FACILITIES!A81</f>
        <v>F080</v>
      </c>
      <c r="B318" s="48" t="str">
        <f>FACILITIES!B81</f>
        <v>Nhà máy xi măng Bút Sơn, Công ty Cổ phần Xi măng Vicem Bút Sơn</v>
      </c>
      <c r="C318" s="48" t="str">
        <f>FACILITIES!C81</f>
        <v/>
      </c>
      <c r="D318" s="49">
        <v>2022.0</v>
      </c>
      <c r="E318" s="50"/>
      <c r="F318" s="51" t="str">
        <f t="shared" si="1"/>
        <v/>
      </c>
      <c r="G318" s="52"/>
      <c r="H318" s="51" t="s">
        <v>78</v>
      </c>
      <c r="I318" s="53"/>
      <c r="J318" s="53"/>
      <c r="K318" s="51" t="str">
        <f t="shared" si="2"/>
        <v>Pending</v>
      </c>
    </row>
    <row r="319" ht="15.75" customHeight="1">
      <c r="A319" s="48" t="str">
        <f>FACILITIES!A81</f>
        <v>F080</v>
      </c>
      <c r="B319" s="48" t="str">
        <f>FACILITIES!B81</f>
        <v>Nhà máy xi măng Bút Sơn, Công ty Cổ phần Xi măng Vicem Bút Sơn</v>
      </c>
      <c r="C319" s="48" t="str">
        <f>FACILITIES!C81</f>
        <v/>
      </c>
      <c r="D319" s="49">
        <v>2023.0</v>
      </c>
      <c r="E319" s="50"/>
      <c r="F319" s="51" t="str">
        <f t="shared" si="1"/>
        <v/>
      </c>
      <c r="G319" s="52"/>
      <c r="H319" s="51" t="s">
        <v>78</v>
      </c>
      <c r="I319" s="53"/>
      <c r="J319" s="53"/>
      <c r="K319" s="51" t="str">
        <f t="shared" si="2"/>
        <v>Pending</v>
      </c>
    </row>
    <row r="320" ht="15.75" customHeight="1">
      <c r="A320" s="48" t="str">
        <f>FACILITIES!A81</f>
        <v>F080</v>
      </c>
      <c r="B320" s="48" t="str">
        <f>FACILITIES!B81</f>
        <v>Nhà máy xi măng Bút Sơn, Công ty Cổ phần Xi măng Vicem Bút Sơn</v>
      </c>
      <c r="C320" s="48" t="str">
        <f>FACILITIES!C81</f>
        <v/>
      </c>
      <c r="D320" s="49">
        <v>2024.0</v>
      </c>
      <c r="E320" s="50"/>
      <c r="F320" s="51" t="str">
        <f t="shared" si="1"/>
        <v/>
      </c>
      <c r="G320" s="52"/>
      <c r="H320" s="51" t="s">
        <v>78</v>
      </c>
      <c r="I320" s="53"/>
      <c r="J320" s="53"/>
      <c r="K320" s="51" t="str">
        <f t="shared" si="2"/>
        <v>Pending</v>
      </c>
    </row>
    <row r="321" ht="15.75" customHeight="1">
      <c r="A321" s="48" t="str">
        <f>FACILITIES!A81</f>
        <v>F080</v>
      </c>
      <c r="B321" s="48" t="str">
        <f>FACILITIES!B81</f>
        <v>Nhà máy xi măng Bút Sơn, Công ty Cổ phần Xi măng Vicem Bút Sơn</v>
      </c>
      <c r="C321" s="48" t="str">
        <f>FACILITIES!C81</f>
        <v/>
      </c>
      <c r="D321" s="49">
        <v>2025.0</v>
      </c>
      <c r="E321" s="50"/>
      <c r="F321" s="51" t="str">
        <f t="shared" si="1"/>
        <v/>
      </c>
      <c r="G321" s="52"/>
      <c r="H321" s="51" t="s">
        <v>78</v>
      </c>
      <c r="I321" s="53"/>
      <c r="J321" s="53"/>
      <c r="K321" s="51" t="str">
        <f t="shared" si="2"/>
        <v>Pending</v>
      </c>
    </row>
    <row r="322" ht="15.75" customHeight="1">
      <c r="A322" s="48" t="str">
        <f>FACILITIES!A82</f>
        <v>F081</v>
      </c>
      <c r="B322" s="48" t="str">
        <f>FACILITIES!B82</f>
        <v>Nhà máy xi măng Hoàng Long, Công ty Cổ phần Xi măng Hoàng Long</v>
      </c>
      <c r="C322" s="48" t="str">
        <f>FACILITIES!C82</f>
        <v/>
      </c>
      <c r="D322" s="49">
        <v>2022.0</v>
      </c>
      <c r="E322" s="50"/>
      <c r="F322" s="51" t="str">
        <f t="shared" si="1"/>
        <v/>
      </c>
      <c r="G322" s="52"/>
      <c r="H322" s="51" t="s">
        <v>78</v>
      </c>
      <c r="I322" s="53"/>
      <c r="J322" s="53"/>
      <c r="K322" s="51" t="str">
        <f t="shared" si="2"/>
        <v>Pending</v>
      </c>
    </row>
    <row r="323" ht="15.75" customHeight="1">
      <c r="A323" s="48" t="str">
        <f>FACILITIES!A82</f>
        <v>F081</v>
      </c>
      <c r="B323" s="48" t="str">
        <f>FACILITIES!B82</f>
        <v>Nhà máy xi măng Hoàng Long, Công ty Cổ phần Xi măng Hoàng Long</v>
      </c>
      <c r="C323" s="48" t="str">
        <f>FACILITIES!C82</f>
        <v/>
      </c>
      <c r="D323" s="49">
        <v>2023.0</v>
      </c>
      <c r="E323" s="50"/>
      <c r="F323" s="51" t="str">
        <f t="shared" si="1"/>
        <v/>
      </c>
      <c r="G323" s="52"/>
      <c r="H323" s="51" t="s">
        <v>78</v>
      </c>
      <c r="I323" s="53"/>
      <c r="J323" s="53"/>
      <c r="K323" s="51" t="str">
        <f t="shared" si="2"/>
        <v>Pending</v>
      </c>
    </row>
    <row r="324" ht="15.75" customHeight="1">
      <c r="A324" s="48" t="str">
        <f>FACILITIES!A82</f>
        <v>F081</v>
      </c>
      <c r="B324" s="48" t="str">
        <f>FACILITIES!B82</f>
        <v>Nhà máy xi măng Hoàng Long, Công ty Cổ phần Xi măng Hoàng Long</v>
      </c>
      <c r="C324" s="48" t="str">
        <f>FACILITIES!C82</f>
        <v/>
      </c>
      <c r="D324" s="49">
        <v>2024.0</v>
      </c>
      <c r="E324" s="50"/>
      <c r="F324" s="51" t="str">
        <f t="shared" si="1"/>
        <v/>
      </c>
      <c r="G324" s="52"/>
      <c r="H324" s="51" t="s">
        <v>78</v>
      </c>
      <c r="I324" s="53"/>
      <c r="J324" s="53"/>
      <c r="K324" s="51" t="str">
        <f t="shared" si="2"/>
        <v>Pending</v>
      </c>
    </row>
    <row r="325" ht="15.75" customHeight="1">
      <c r="A325" s="48" t="str">
        <f>FACILITIES!A82</f>
        <v>F081</v>
      </c>
      <c r="B325" s="48" t="str">
        <f>FACILITIES!B82</f>
        <v>Nhà máy xi măng Hoàng Long, Công ty Cổ phần Xi măng Hoàng Long</v>
      </c>
      <c r="C325" s="48" t="str">
        <f>FACILITIES!C82</f>
        <v/>
      </c>
      <c r="D325" s="49">
        <v>2025.0</v>
      </c>
      <c r="E325" s="50"/>
      <c r="F325" s="51" t="str">
        <f t="shared" si="1"/>
        <v/>
      </c>
      <c r="G325" s="52"/>
      <c r="H325" s="51" t="s">
        <v>78</v>
      </c>
      <c r="I325" s="53"/>
      <c r="J325" s="53"/>
      <c r="K325" s="51" t="str">
        <f t="shared" si="2"/>
        <v>Pending</v>
      </c>
    </row>
    <row r="326" ht="15.75" customHeight="1">
      <c r="A326" s="48" t="str">
        <f>FACILITIES!A83</f>
        <v>F082</v>
      </c>
      <c r="B326" s="48" t="str">
        <f>FACILITIES!B83</f>
        <v>Nhà máy xi măng Thành Thắng, Công ty Cổ phần Xi măng Thành Thắng</v>
      </c>
      <c r="C326" s="48" t="str">
        <f>FACILITIES!C83</f>
        <v/>
      </c>
      <c r="D326" s="49">
        <v>2022.0</v>
      </c>
      <c r="E326" s="50"/>
      <c r="F326" s="51" t="str">
        <f t="shared" si="1"/>
        <v/>
      </c>
      <c r="G326" s="52"/>
      <c r="H326" s="51" t="s">
        <v>78</v>
      </c>
      <c r="I326" s="53"/>
      <c r="J326" s="53"/>
      <c r="K326" s="51" t="str">
        <f t="shared" si="2"/>
        <v>Pending</v>
      </c>
    </row>
    <row r="327" ht="15.75" customHeight="1">
      <c r="A327" s="48" t="str">
        <f>FACILITIES!A83</f>
        <v>F082</v>
      </c>
      <c r="B327" s="48" t="str">
        <f>FACILITIES!B83</f>
        <v>Nhà máy xi măng Thành Thắng, Công ty Cổ phần Xi măng Thành Thắng</v>
      </c>
      <c r="C327" s="48" t="str">
        <f>FACILITIES!C83</f>
        <v/>
      </c>
      <c r="D327" s="49">
        <v>2023.0</v>
      </c>
      <c r="E327" s="50"/>
      <c r="F327" s="51" t="str">
        <f t="shared" si="1"/>
        <v/>
      </c>
      <c r="G327" s="52"/>
      <c r="H327" s="51" t="s">
        <v>78</v>
      </c>
      <c r="I327" s="53"/>
      <c r="J327" s="53"/>
      <c r="K327" s="51" t="str">
        <f t="shared" si="2"/>
        <v>Pending</v>
      </c>
    </row>
    <row r="328" ht="15.75" customHeight="1">
      <c r="A328" s="48" t="str">
        <f>FACILITIES!A83</f>
        <v>F082</v>
      </c>
      <c r="B328" s="48" t="str">
        <f>FACILITIES!B83</f>
        <v>Nhà máy xi măng Thành Thắng, Công ty Cổ phần Xi măng Thành Thắng</v>
      </c>
      <c r="C328" s="48" t="str">
        <f>FACILITIES!C83</f>
        <v/>
      </c>
      <c r="D328" s="49">
        <v>2024.0</v>
      </c>
      <c r="E328" s="50"/>
      <c r="F328" s="51" t="str">
        <f t="shared" si="1"/>
        <v/>
      </c>
      <c r="G328" s="52"/>
      <c r="H328" s="51" t="s">
        <v>78</v>
      </c>
      <c r="I328" s="53"/>
      <c r="J328" s="53"/>
      <c r="K328" s="51" t="str">
        <f t="shared" si="2"/>
        <v>Pending</v>
      </c>
    </row>
    <row r="329" ht="15.75" customHeight="1">
      <c r="A329" s="48" t="str">
        <f>FACILITIES!A83</f>
        <v>F082</v>
      </c>
      <c r="B329" s="48" t="str">
        <f>FACILITIES!B83</f>
        <v>Nhà máy xi măng Thành Thắng, Công ty Cổ phần Xi măng Thành Thắng</v>
      </c>
      <c r="C329" s="48" t="str">
        <f>FACILITIES!C83</f>
        <v/>
      </c>
      <c r="D329" s="49">
        <v>2025.0</v>
      </c>
      <c r="E329" s="50"/>
      <c r="F329" s="51" t="str">
        <f t="shared" si="1"/>
        <v/>
      </c>
      <c r="G329" s="52"/>
      <c r="H329" s="51" t="s">
        <v>78</v>
      </c>
      <c r="I329" s="53"/>
      <c r="J329" s="53"/>
      <c r="K329" s="51" t="str">
        <f t="shared" si="2"/>
        <v>Pending</v>
      </c>
    </row>
    <row r="330" ht="15.75" customHeight="1">
      <c r="A330" s="48" t="str">
        <f>FACILITIES!A84</f>
        <v>F083</v>
      </c>
      <c r="B330" s="48" t="str">
        <f>FACILITIES!B84</f>
        <v>Nhà máy Xi măng Vissai Hà Nam - DC2, Tập đoàn The Vissai</v>
      </c>
      <c r="C330" s="48" t="str">
        <f>FACILITIES!C84</f>
        <v/>
      </c>
      <c r="D330" s="49">
        <v>2022.0</v>
      </c>
      <c r="E330" s="50"/>
      <c r="F330" s="51" t="str">
        <f t="shared" si="1"/>
        <v/>
      </c>
      <c r="G330" s="52"/>
      <c r="H330" s="51" t="s">
        <v>78</v>
      </c>
      <c r="I330" s="53"/>
      <c r="J330" s="53"/>
      <c r="K330" s="51" t="str">
        <f t="shared" si="2"/>
        <v>Pending</v>
      </c>
    </row>
    <row r="331" ht="15.75" customHeight="1">
      <c r="A331" s="48" t="str">
        <f>FACILITIES!A84</f>
        <v>F083</v>
      </c>
      <c r="B331" s="48" t="str">
        <f>FACILITIES!B84</f>
        <v>Nhà máy Xi măng Vissai Hà Nam - DC2, Tập đoàn The Vissai</v>
      </c>
      <c r="C331" s="48" t="str">
        <f>FACILITIES!C84</f>
        <v/>
      </c>
      <c r="D331" s="49">
        <v>2023.0</v>
      </c>
      <c r="E331" s="50"/>
      <c r="F331" s="51" t="str">
        <f t="shared" si="1"/>
        <v/>
      </c>
      <c r="G331" s="52"/>
      <c r="H331" s="51" t="s">
        <v>78</v>
      </c>
      <c r="I331" s="53"/>
      <c r="J331" s="53"/>
      <c r="K331" s="51" t="str">
        <f t="shared" si="2"/>
        <v>Pending</v>
      </c>
    </row>
    <row r="332" ht="15.75" customHeight="1">
      <c r="A332" s="48" t="str">
        <f>FACILITIES!A84</f>
        <v>F083</v>
      </c>
      <c r="B332" s="48" t="str">
        <f>FACILITIES!B84</f>
        <v>Nhà máy Xi măng Vissai Hà Nam - DC2, Tập đoàn The Vissai</v>
      </c>
      <c r="C332" s="48" t="str">
        <f>FACILITIES!C84</f>
        <v/>
      </c>
      <c r="D332" s="49">
        <v>2024.0</v>
      </c>
      <c r="E332" s="50"/>
      <c r="F332" s="51" t="str">
        <f t="shared" si="1"/>
        <v/>
      </c>
      <c r="G332" s="52"/>
      <c r="H332" s="51" t="s">
        <v>78</v>
      </c>
      <c r="I332" s="53"/>
      <c r="J332" s="53"/>
      <c r="K332" s="51" t="str">
        <f t="shared" si="2"/>
        <v>Pending</v>
      </c>
    </row>
    <row r="333" ht="15.75" customHeight="1">
      <c r="A333" s="48" t="str">
        <f>FACILITIES!A84</f>
        <v>F083</v>
      </c>
      <c r="B333" s="48" t="str">
        <f>FACILITIES!B84</f>
        <v>Nhà máy Xi măng Vissai Hà Nam - DC2, Tập đoàn The Vissai</v>
      </c>
      <c r="C333" s="48" t="str">
        <f>FACILITIES!C84</f>
        <v/>
      </c>
      <c r="D333" s="49">
        <v>2025.0</v>
      </c>
      <c r="E333" s="50"/>
      <c r="F333" s="51" t="str">
        <f t="shared" si="1"/>
        <v/>
      </c>
      <c r="G333" s="52"/>
      <c r="H333" s="51" t="s">
        <v>78</v>
      </c>
      <c r="I333" s="53"/>
      <c r="J333" s="53"/>
      <c r="K333" s="51" t="str">
        <f t="shared" si="2"/>
        <v>Pending</v>
      </c>
    </row>
    <row r="334" ht="15.75" customHeight="1">
      <c r="A334" s="48" t="str">
        <f>FACILITIES!A85</f>
        <v>F084</v>
      </c>
      <c r="B334" s="48" t="str">
        <f>FACILITIES!B85</f>
        <v>Nhà máy Xi măng Xuân Thành, Công ty Cổ phần Xi măng Xuân Thành</v>
      </c>
      <c r="C334" s="48" t="str">
        <f>FACILITIES!C85</f>
        <v/>
      </c>
      <c r="D334" s="49">
        <v>2022.0</v>
      </c>
      <c r="E334" s="50"/>
      <c r="F334" s="51" t="str">
        <f t="shared" si="1"/>
        <v/>
      </c>
      <c r="G334" s="52"/>
      <c r="H334" s="51" t="s">
        <v>78</v>
      </c>
      <c r="I334" s="53"/>
      <c r="J334" s="53"/>
      <c r="K334" s="51" t="str">
        <f t="shared" si="2"/>
        <v>Pending</v>
      </c>
    </row>
    <row r="335" ht="15.75" customHeight="1">
      <c r="A335" s="48" t="str">
        <f>FACILITIES!A85</f>
        <v>F084</v>
      </c>
      <c r="B335" s="48" t="str">
        <f>FACILITIES!B85</f>
        <v>Nhà máy Xi măng Xuân Thành, Công ty Cổ phần Xi măng Xuân Thành</v>
      </c>
      <c r="C335" s="48" t="str">
        <f>FACILITIES!C85</f>
        <v/>
      </c>
      <c r="D335" s="49">
        <v>2023.0</v>
      </c>
      <c r="E335" s="50"/>
      <c r="F335" s="51" t="str">
        <f t="shared" si="1"/>
        <v/>
      </c>
      <c r="G335" s="52"/>
      <c r="H335" s="51" t="s">
        <v>78</v>
      </c>
      <c r="I335" s="53"/>
      <c r="J335" s="53"/>
      <c r="K335" s="51" t="str">
        <f t="shared" si="2"/>
        <v>Pending</v>
      </c>
    </row>
    <row r="336" ht="15.75" customHeight="1">
      <c r="A336" s="48" t="str">
        <f>FACILITIES!A85</f>
        <v>F084</v>
      </c>
      <c r="B336" s="48" t="str">
        <f>FACILITIES!B85</f>
        <v>Nhà máy Xi măng Xuân Thành, Công ty Cổ phần Xi măng Xuân Thành</v>
      </c>
      <c r="C336" s="48" t="str">
        <f>FACILITIES!C85</f>
        <v/>
      </c>
      <c r="D336" s="49">
        <v>2024.0</v>
      </c>
      <c r="E336" s="50"/>
      <c r="F336" s="51" t="str">
        <f t="shared" si="1"/>
        <v/>
      </c>
      <c r="G336" s="52"/>
      <c r="H336" s="51" t="s">
        <v>78</v>
      </c>
      <c r="I336" s="53"/>
      <c r="J336" s="53"/>
      <c r="K336" s="51" t="str">
        <f t="shared" si="2"/>
        <v>Pending</v>
      </c>
    </row>
    <row r="337" ht="15.75" customHeight="1">
      <c r="A337" s="48" t="str">
        <f>FACILITIES!A85</f>
        <v>F084</v>
      </c>
      <c r="B337" s="48" t="str">
        <f>FACILITIES!B85</f>
        <v>Nhà máy Xi măng Xuân Thành, Công ty Cổ phần Xi măng Xuân Thành</v>
      </c>
      <c r="C337" s="48" t="str">
        <f>FACILITIES!C85</f>
        <v/>
      </c>
      <c r="D337" s="49">
        <v>2025.0</v>
      </c>
      <c r="E337" s="50"/>
      <c r="F337" s="51" t="str">
        <f t="shared" si="1"/>
        <v/>
      </c>
      <c r="G337" s="52"/>
      <c r="H337" s="51" t="s">
        <v>78</v>
      </c>
      <c r="I337" s="53"/>
      <c r="J337" s="53"/>
      <c r="K337" s="51" t="str">
        <f t="shared" si="2"/>
        <v>Pending</v>
      </c>
    </row>
    <row r="338" ht="15.75" customHeight="1">
      <c r="A338" s="48" t="str">
        <f>FACILITIES!A86</f>
        <v>F085</v>
      </c>
      <c r="B338" s="48" t="str">
        <f>FACILITIES!B86</f>
        <v>Dây chuyền 2 Nhà máy clinker, Tập đoàn The Vissai</v>
      </c>
      <c r="C338" s="48" t="str">
        <f>FACILITIES!C86</f>
        <v/>
      </c>
      <c r="D338" s="49">
        <v>2022.0</v>
      </c>
      <c r="E338" s="50"/>
      <c r="F338" s="51" t="str">
        <f t="shared" si="1"/>
        <v/>
      </c>
      <c r="G338" s="52"/>
      <c r="H338" s="51" t="s">
        <v>78</v>
      </c>
      <c r="I338" s="53"/>
      <c r="J338" s="53"/>
      <c r="K338" s="51" t="str">
        <f t="shared" si="2"/>
        <v>Pending</v>
      </c>
    </row>
    <row r="339" ht="15.75" customHeight="1">
      <c r="A339" s="48" t="str">
        <f>FACILITIES!A86</f>
        <v>F085</v>
      </c>
      <c r="B339" s="48" t="str">
        <f>FACILITIES!B86</f>
        <v>Dây chuyền 2 Nhà máy clinker, Tập đoàn The Vissai</v>
      </c>
      <c r="C339" s="48" t="str">
        <f>FACILITIES!C86</f>
        <v/>
      </c>
      <c r="D339" s="49">
        <v>2023.0</v>
      </c>
      <c r="E339" s="50"/>
      <c r="F339" s="51" t="str">
        <f t="shared" si="1"/>
        <v/>
      </c>
      <c r="G339" s="52"/>
      <c r="H339" s="51" t="s">
        <v>78</v>
      </c>
      <c r="I339" s="53"/>
      <c r="J339" s="53"/>
      <c r="K339" s="51" t="str">
        <f t="shared" si="2"/>
        <v>Pending</v>
      </c>
    </row>
    <row r="340" ht="15.75" customHeight="1">
      <c r="A340" s="48" t="str">
        <f>FACILITIES!A86</f>
        <v>F085</v>
      </c>
      <c r="B340" s="48" t="str">
        <f>FACILITIES!B86</f>
        <v>Dây chuyền 2 Nhà máy clinker, Tập đoàn The Vissai</v>
      </c>
      <c r="C340" s="48" t="str">
        <f>FACILITIES!C86</f>
        <v/>
      </c>
      <c r="D340" s="49">
        <v>2024.0</v>
      </c>
      <c r="E340" s="50"/>
      <c r="F340" s="51" t="str">
        <f t="shared" si="1"/>
        <v/>
      </c>
      <c r="G340" s="52"/>
      <c r="H340" s="51" t="s">
        <v>78</v>
      </c>
      <c r="I340" s="53"/>
      <c r="J340" s="53"/>
      <c r="K340" s="51" t="str">
        <f t="shared" si="2"/>
        <v>Pending</v>
      </c>
    </row>
    <row r="341" ht="15.75" customHeight="1">
      <c r="A341" s="48" t="str">
        <f>FACILITIES!A86</f>
        <v>F085</v>
      </c>
      <c r="B341" s="48" t="str">
        <f>FACILITIES!B86</f>
        <v>Dây chuyền 2 Nhà máy clinker, Tập đoàn The Vissai</v>
      </c>
      <c r="C341" s="48" t="str">
        <f>FACILITIES!C86</f>
        <v/>
      </c>
      <c r="D341" s="49">
        <v>2025.0</v>
      </c>
      <c r="E341" s="50"/>
      <c r="F341" s="51" t="str">
        <f t="shared" si="1"/>
        <v/>
      </c>
      <c r="G341" s="52"/>
      <c r="H341" s="51" t="s">
        <v>78</v>
      </c>
      <c r="I341" s="53"/>
      <c r="J341" s="53"/>
      <c r="K341" s="51" t="str">
        <f t="shared" si="2"/>
        <v>Pending</v>
      </c>
    </row>
    <row r="342" ht="15.75" customHeight="1">
      <c r="A342" s="48" t="str">
        <f>FACILITIES!A87</f>
        <v>F086</v>
      </c>
      <c r="B342" s="48" t="str">
        <f>FACILITIES!B87</f>
        <v>Công ty TNHH MTV Xi măng Vicem Hoàng Thạch</v>
      </c>
      <c r="C342" s="48" t="str">
        <f>FACILITIES!C87</f>
        <v/>
      </c>
      <c r="D342" s="49">
        <v>2022.0</v>
      </c>
      <c r="E342" s="50"/>
      <c r="F342" s="51" t="str">
        <f t="shared" si="1"/>
        <v/>
      </c>
      <c r="G342" s="52"/>
      <c r="H342" s="51" t="s">
        <v>78</v>
      </c>
      <c r="I342" s="53"/>
      <c r="J342" s="53"/>
      <c r="K342" s="51" t="str">
        <f t="shared" si="2"/>
        <v>Pending</v>
      </c>
    </row>
    <row r="343" ht="15.75" customHeight="1">
      <c r="A343" s="48" t="str">
        <f>FACILITIES!A87</f>
        <v>F086</v>
      </c>
      <c r="B343" s="48" t="str">
        <f>FACILITIES!B87</f>
        <v>Công ty TNHH MTV Xi măng Vicem Hoàng Thạch</v>
      </c>
      <c r="C343" s="48" t="str">
        <f>FACILITIES!C87</f>
        <v/>
      </c>
      <c r="D343" s="49">
        <v>2023.0</v>
      </c>
      <c r="E343" s="50"/>
      <c r="F343" s="51" t="str">
        <f t="shared" si="1"/>
        <v/>
      </c>
      <c r="G343" s="52"/>
      <c r="H343" s="51" t="s">
        <v>78</v>
      </c>
      <c r="I343" s="53"/>
      <c r="J343" s="53"/>
      <c r="K343" s="51" t="str">
        <f t="shared" si="2"/>
        <v>Pending</v>
      </c>
    </row>
    <row r="344" ht="15.75" customHeight="1">
      <c r="A344" s="48" t="str">
        <f>FACILITIES!A87</f>
        <v>F086</v>
      </c>
      <c r="B344" s="48" t="str">
        <f>FACILITIES!B87</f>
        <v>Công ty TNHH MTV Xi măng Vicem Hoàng Thạch</v>
      </c>
      <c r="C344" s="48" t="str">
        <f>FACILITIES!C87</f>
        <v/>
      </c>
      <c r="D344" s="49">
        <v>2024.0</v>
      </c>
      <c r="E344" s="50"/>
      <c r="F344" s="51" t="str">
        <f t="shared" si="1"/>
        <v/>
      </c>
      <c r="G344" s="52"/>
      <c r="H344" s="51" t="s">
        <v>78</v>
      </c>
      <c r="I344" s="53"/>
      <c r="J344" s="53"/>
      <c r="K344" s="51" t="str">
        <f t="shared" si="2"/>
        <v>Pending</v>
      </c>
    </row>
    <row r="345" ht="15.75" customHeight="1">
      <c r="A345" s="48" t="str">
        <f>FACILITIES!A87</f>
        <v>F086</v>
      </c>
      <c r="B345" s="48" t="str">
        <f>FACILITIES!B87</f>
        <v>Công ty TNHH MTV Xi măng Vicem Hoàng Thạch</v>
      </c>
      <c r="C345" s="48" t="str">
        <f>FACILITIES!C87</f>
        <v/>
      </c>
      <c r="D345" s="49">
        <v>2025.0</v>
      </c>
      <c r="E345" s="50"/>
      <c r="F345" s="51" t="str">
        <f t="shared" si="1"/>
        <v/>
      </c>
      <c r="G345" s="52"/>
      <c r="H345" s="51" t="s">
        <v>78</v>
      </c>
      <c r="I345" s="53"/>
      <c r="J345" s="53"/>
      <c r="K345" s="51" t="str">
        <f t="shared" si="2"/>
        <v>Pending</v>
      </c>
    </row>
    <row r="346" ht="15.75" customHeight="1">
      <c r="A346" s="48" t="str">
        <f>FACILITIES!A88</f>
        <v>F087</v>
      </c>
      <c r="B346" s="48" t="str">
        <f>FACILITIES!B88</f>
        <v>Công ty TNHH sản xuất vật liệu xây dựng Thành Công III</v>
      </c>
      <c r="C346" s="48" t="str">
        <f>FACILITIES!C88</f>
        <v/>
      </c>
      <c r="D346" s="49">
        <v>2022.0</v>
      </c>
      <c r="E346" s="50"/>
      <c r="F346" s="51" t="str">
        <f t="shared" si="1"/>
        <v/>
      </c>
      <c r="G346" s="52"/>
      <c r="H346" s="51" t="s">
        <v>78</v>
      </c>
      <c r="I346" s="53"/>
      <c r="J346" s="53"/>
      <c r="K346" s="51" t="str">
        <f t="shared" si="2"/>
        <v>Pending</v>
      </c>
    </row>
    <row r="347" ht="15.75" customHeight="1">
      <c r="A347" s="48" t="str">
        <f>FACILITIES!A88</f>
        <v>F087</v>
      </c>
      <c r="B347" s="48" t="str">
        <f>FACILITIES!B88</f>
        <v>Công ty TNHH sản xuất vật liệu xây dựng Thành Công III</v>
      </c>
      <c r="C347" s="48" t="str">
        <f>FACILITIES!C88</f>
        <v/>
      </c>
      <c r="D347" s="49">
        <v>2023.0</v>
      </c>
      <c r="E347" s="50"/>
      <c r="F347" s="51" t="str">
        <f t="shared" si="1"/>
        <v/>
      </c>
      <c r="G347" s="52"/>
      <c r="H347" s="51" t="s">
        <v>78</v>
      </c>
      <c r="I347" s="53"/>
      <c r="J347" s="53"/>
      <c r="K347" s="51" t="str">
        <f t="shared" si="2"/>
        <v>Pending</v>
      </c>
    </row>
    <row r="348" ht="15.75" customHeight="1">
      <c r="A348" s="48" t="str">
        <f>FACILITIES!A88</f>
        <v>F087</v>
      </c>
      <c r="B348" s="48" t="str">
        <f>FACILITIES!B88</f>
        <v>Công ty TNHH sản xuất vật liệu xây dựng Thành Công III</v>
      </c>
      <c r="C348" s="48" t="str">
        <f>FACILITIES!C88</f>
        <v/>
      </c>
      <c r="D348" s="49">
        <v>2024.0</v>
      </c>
      <c r="E348" s="50"/>
      <c r="F348" s="51" t="str">
        <f t="shared" si="1"/>
        <v/>
      </c>
      <c r="G348" s="52"/>
      <c r="H348" s="51" t="s">
        <v>78</v>
      </c>
      <c r="I348" s="53"/>
      <c r="J348" s="53"/>
      <c r="K348" s="51" t="str">
        <f t="shared" si="2"/>
        <v>Pending</v>
      </c>
    </row>
    <row r="349" ht="15.75" customHeight="1">
      <c r="A349" s="48" t="str">
        <f>FACILITIES!A88</f>
        <v>F087</v>
      </c>
      <c r="B349" s="48" t="str">
        <f>FACILITIES!B88</f>
        <v>Công ty TNHH sản xuất vật liệu xây dựng Thành Công III</v>
      </c>
      <c r="C349" s="48" t="str">
        <f>FACILITIES!C88</f>
        <v/>
      </c>
      <c r="D349" s="49">
        <v>2025.0</v>
      </c>
      <c r="E349" s="50"/>
      <c r="F349" s="51" t="str">
        <f t="shared" si="1"/>
        <v/>
      </c>
      <c r="G349" s="52"/>
      <c r="H349" s="51" t="s">
        <v>78</v>
      </c>
      <c r="I349" s="53"/>
      <c r="J349" s="53"/>
      <c r="K349" s="51" t="str">
        <f t="shared" si="2"/>
        <v>Pending</v>
      </c>
    </row>
    <row r="350" ht="15.75" customHeight="1">
      <c r="A350" s="48" t="str">
        <f>FACILITIES!A89</f>
        <v>F088</v>
      </c>
      <c r="B350" s="48" t="str">
        <f>FACILITIES!B89</f>
        <v>Nhà máy Xi măng Chinfon, Công ty Xi măng Chinfon</v>
      </c>
      <c r="C350" s="48" t="str">
        <f>FACILITIES!C89</f>
        <v/>
      </c>
      <c r="D350" s="49">
        <v>2022.0</v>
      </c>
      <c r="E350" s="50"/>
      <c r="F350" s="51" t="str">
        <f t="shared" si="1"/>
        <v/>
      </c>
      <c r="G350" s="52"/>
      <c r="H350" s="51" t="s">
        <v>78</v>
      </c>
      <c r="I350" s="53"/>
      <c r="J350" s="53"/>
      <c r="K350" s="51" t="str">
        <f t="shared" si="2"/>
        <v>Pending</v>
      </c>
    </row>
    <row r="351" ht="15.75" customHeight="1">
      <c r="A351" s="48" t="str">
        <f>FACILITIES!A89</f>
        <v>F088</v>
      </c>
      <c r="B351" s="48" t="str">
        <f>FACILITIES!B89</f>
        <v>Nhà máy Xi măng Chinfon, Công ty Xi măng Chinfon</v>
      </c>
      <c r="C351" s="48" t="str">
        <f>FACILITIES!C89</f>
        <v/>
      </c>
      <c r="D351" s="49">
        <v>2023.0</v>
      </c>
      <c r="E351" s="50"/>
      <c r="F351" s="51" t="str">
        <f t="shared" si="1"/>
        <v/>
      </c>
      <c r="G351" s="52"/>
      <c r="H351" s="51" t="s">
        <v>78</v>
      </c>
      <c r="I351" s="53"/>
      <c r="J351" s="53"/>
      <c r="K351" s="51" t="str">
        <f t="shared" si="2"/>
        <v>Pending</v>
      </c>
    </row>
    <row r="352" ht="15.75" customHeight="1">
      <c r="A352" s="48" t="str">
        <f>FACILITIES!A89</f>
        <v>F088</v>
      </c>
      <c r="B352" s="48" t="str">
        <f>FACILITIES!B89</f>
        <v>Nhà máy Xi măng Chinfon, Công ty Xi măng Chinfon</v>
      </c>
      <c r="C352" s="48" t="str">
        <f>FACILITIES!C89</f>
        <v/>
      </c>
      <c r="D352" s="49">
        <v>2024.0</v>
      </c>
      <c r="E352" s="50"/>
      <c r="F352" s="51" t="str">
        <f t="shared" si="1"/>
        <v/>
      </c>
      <c r="G352" s="52"/>
      <c r="H352" s="51" t="s">
        <v>78</v>
      </c>
      <c r="I352" s="53"/>
      <c r="J352" s="53"/>
      <c r="K352" s="51" t="str">
        <f t="shared" si="2"/>
        <v>Pending</v>
      </c>
    </row>
    <row r="353" ht="15.75" customHeight="1">
      <c r="A353" s="48" t="str">
        <f>FACILITIES!A89</f>
        <v>F088</v>
      </c>
      <c r="B353" s="48" t="str">
        <f>FACILITIES!B89</f>
        <v>Nhà máy Xi măng Chinfon, Công ty Xi măng Chinfon</v>
      </c>
      <c r="C353" s="48" t="str">
        <f>FACILITIES!C89</f>
        <v/>
      </c>
      <c r="D353" s="49">
        <v>2025.0</v>
      </c>
      <c r="E353" s="50"/>
      <c r="F353" s="51" t="str">
        <f t="shared" si="1"/>
        <v/>
      </c>
      <c r="G353" s="52"/>
      <c r="H353" s="51" t="s">
        <v>78</v>
      </c>
      <c r="I353" s="53"/>
      <c r="J353" s="53"/>
      <c r="K353" s="51" t="str">
        <f t="shared" si="2"/>
        <v>Pending</v>
      </c>
    </row>
    <row r="354" ht="15.75" customHeight="1">
      <c r="A354" s="48" t="str">
        <f>FACILITIES!A90</f>
        <v>F089</v>
      </c>
      <c r="B354" s="48" t="str">
        <f>FACILITIES!B90</f>
        <v>Nhà máy xi măng Hải Phòng, Công ty TNHH MTV Vicem Hải Phòng</v>
      </c>
      <c r="C354" s="48" t="str">
        <f>FACILITIES!C90</f>
        <v/>
      </c>
      <c r="D354" s="49">
        <v>2022.0</v>
      </c>
      <c r="E354" s="50"/>
      <c r="F354" s="51" t="str">
        <f t="shared" si="1"/>
        <v/>
      </c>
      <c r="G354" s="52"/>
      <c r="H354" s="51" t="s">
        <v>78</v>
      </c>
      <c r="I354" s="53"/>
      <c r="J354" s="53"/>
      <c r="K354" s="51" t="str">
        <f t="shared" si="2"/>
        <v>Pending</v>
      </c>
    </row>
    <row r="355" ht="15.75" customHeight="1">
      <c r="A355" s="48" t="str">
        <f>FACILITIES!A90</f>
        <v>F089</v>
      </c>
      <c r="B355" s="48" t="str">
        <f>FACILITIES!B90</f>
        <v>Nhà máy xi măng Hải Phòng, Công ty TNHH MTV Vicem Hải Phòng</v>
      </c>
      <c r="C355" s="48" t="str">
        <f>FACILITIES!C90</f>
        <v/>
      </c>
      <c r="D355" s="49">
        <v>2023.0</v>
      </c>
      <c r="E355" s="50"/>
      <c r="F355" s="51" t="str">
        <f t="shared" si="1"/>
        <v/>
      </c>
      <c r="G355" s="52"/>
      <c r="H355" s="51" t="s">
        <v>78</v>
      </c>
      <c r="I355" s="53"/>
      <c r="J355" s="53"/>
      <c r="K355" s="51" t="str">
        <f t="shared" si="2"/>
        <v>Pending</v>
      </c>
    </row>
    <row r="356" ht="15.75" customHeight="1">
      <c r="A356" s="48" t="str">
        <f>FACILITIES!A90</f>
        <v>F089</v>
      </c>
      <c r="B356" s="48" t="str">
        <f>FACILITIES!B90</f>
        <v>Nhà máy xi măng Hải Phòng, Công ty TNHH MTV Vicem Hải Phòng</v>
      </c>
      <c r="C356" s="48" t="str">
        <f>FACILITIES!C90</f>
        <v/>
      </c>
      <c r="D356" s="49">
        <v>2024.0</v>
      </c>
      <c r="E356" s="50"/>
      <c r="F356" s="51" t="str">
        <f t="shared" si="1"/>
        <v/>
      </c>
      <c r="G356" s="52"/>
      <c r="H356" s="51" t="s">
        <v>78</v>
      </c>
      <c r="I356" s="53"/>
      <c r="J356" s="53"/>
      <c r="K356" s="51" t="str">
        <f t="shared" si="2"/>
        <v>Pending</v>
      </c>
    </row>
    <row r="357" ht="15.75" customHeight="1">
      <c r="A357" s="48" t="str">
        <f>FACILITIES!A90</f>
        <v>F089</v>
      </c>
      <c r="B357" s="48" t="str">
        <f>FACILITIES!B90</f>
        <v>Nhà máy xi măng Hải Phòng, Công ty TNHH MTV Vicem Hải Phòng</v>
      </c>
      <c r="C357" s="48" t="str">
        <f>FACILITIES!C90</f>
        <v/>
      </c>
      <c r="D357" s="49">
        <v>2025.0</v>
      </c>
      <c r="E357" s="50"/>
      <c r="F357" s="51" t="str">
        <f t="shared" si="1"/>
        <v/>
      </c>
      <c r="G357" s="52"/>
      <c r="H357" s="51" t="s">
        <v>78</v>
      </c>
      <c r="I357" s="53"/>
      <c r="J357" s="53"/>
      <c r="K357" s="51" t="str">
        <f t="shared" si="2"/>
        <v>Pending</v>
      </c>
    </row>
    <row r="358" ht="15.75" customHeight="1">
      <c r="A358" s="48" t="str">
        <f>FACILITIES!A91</f>
        <v>F090</v>
      </c>
      <c r="B358" s="48" t="str">
        <f>FACILITIES!B91</f>
        <v>Nhà máy Xi măng Vissai Ninh Bình, Tập đoàn The Vissai</v>
      </c>
      <c r="C358" s="48" t="str">
        <f>FACILITIES!C91</f>
        <v/>
      </c>
      <c r="D358" s="49">
        <v>2022.0</v>
      </c>
      <c r="E358" s="50"/>
      <c r="F358" s="51" t="str">
        <f t="shared" si="1"/>
        <v/>
      </c>
      <c r="G358" s="52"/>
      <c r="H358" s="51" t="s">
        <v>78</v>
      </c>
      <c r="I358" s="53"/>
      <c r="J358" s="53"/>
      <c r="K358" s="51" t="str">
        <f t="shared" si="2"/>
        <v>Pending</v>
      </c>
    </row>
    <row r="359" ht="15.75" customHeight="1">
      <c r="A359" s="48" t="str">
        <f>FACILITIES!A91</f>
        <v>F090</v>
      </c>
      <c r="B359" s="48" t="str">
        <f>FACILITIES!B91</f>
        <v>Nhà máy Xi măng Vissai Ninh Bình, Tập đoàn The Vissai</v>
      </c>
      <c r="C359" s="48" t="str">
        <f>FACILITIES!C91</f>
        <v/>
      </c>
      <c r="D359" s="49">
        <v>2023.0</v>
      </c>
      <c r="E359" s="50"/>
      <c r="F359" s="51" t="str">
        <f t="shared" si="1"/>
        <v/>
      </c>
      <c r="G359" s="52"/>
      <c r="H359" s="51" t="s">
        <v>78</v>
      </c>
      <c r="I359" s="53"/>
      <c r="J359" s="53"/>
      <c r="K359" s="51" t="str">
        <f t="shared" si="2"/>
        <v>Pending</v>
      </c>
    </row>
    <row r="360" ht="15.75" customHeight="1">
      <c r="A360" s="48" t="str">
        <f>FACILITIES!A91</f>
        <v>F090</v>
      </c>
      <c r="B360" s="48" t="str">
        <f>FACILITIES!B91</f>
        <v>Nhà máy Xi măng Vissai Ninh Bình, Tập đoàn The Vissai</v>
      </c>
      <c r="C360" s="48" t="str">
        <f>FACILITIES!C91</f>
        <v/>
      </c>
      <c r="D360" s="49">
        <v>2024.0</v>
      </c>
      <c r="E360" s="50"/>
      <c r="F360" s="51" t="str">
        <f t="shared" si="1"/>
        <v/>
      </c>
      <c r="G360" s="52"/>
      <c r="H360" s="51" t="s">
        <v>78</v>
      </c>
      <c r="I360" s="53"/>
      <c r="J360" s="53"/>
      <c r="K360" s="51" t="str">
        <f t="shared" si="2"/>
        <v>Pending</v>
      </c>
    </row>
    <row r="361" ht="15.75" customHeight="1">
      <c r="A361" s="48" t="str">
        <f>FACILITIES!A91</f>
        <v>F090</v>
      </c>
      <c r="B361" s="48" t="str">
        <f>FACILITIES!B91</f>
        <v>Nhà máy Xi măng Vissai Ninh Bình, Tập đoàn The Vissai</v>
      </c>
      <c r="C361" s="48" t="str">
        <f>FACILITIES!C91</f>
        <v/>
      </c>
      <c r="D361" s="49">
        <v>2025.0</v>
      </c>
      <c r="E361" s="50"/>
      <c r="F361" s="51" t="str">
        <f t="shared" si="1"/>
        <v/>
      </c>
      <c r="G361" s="52"/>
      <c r="H361" s="51" t="s">
        <v>78</v>
      </c>
      <c r="I361" s="53"/>
      <c r="J361" s="53"/>
      <c r="K361" s="51" t="str">
        <f t="shared" si="2"/>
        <v>Pending</v>
      </c>
    </row>
    <row r="362" ht="15.75" customHeight="1">
      <c r="A362" s="48" t="str">
        <f>FACILITIES!A92</f>
        <v>F091</v>
      </c>
      <c r="B362" s="48" t="str">
        <f>FACILITIES!B92</f>
        <v>Công ty VICEM xi măng Tam Điệp</v>
      </c>
      <c r="C362" s="48" t="str">
        <f>FACILITIES!C92</f>
        <v/>
      </c>
      <c r="D362" s="49">
        <v>2022.0</v>
      </c>
      <c r="E362" s="50"/>
      <c r="F362" s="51" t="str">
        <f t="shared" si="1"/>
        <v/>
      </c>
      <c r="G362" s="52"/>
      <c r="H362" s="51" t="s">
        <v>78</v>
      </c>
      <c r="I362" s="53"/>
      <c r="J362" s="53"/>
      <c r="K362" s="51" t="str">
        <f t="shared" si="2"/>
        <v>Pending</v>
      </c>
    </row>
    <row r="363" ht="15.75" customHeight="1">
      <c r="A363" s="48" t="str">
        <f>FACILITIES!A92</f>
        <v>F091</v>
      </c>
      <c r="B363" s="48" t="str">
        <f>FACILITIES!B92</f>
        <v>Công ty VICEM xi măng Tam Điệp</v>
      </c>
      <c r="C363" s="48" t="str">
        <f>FACILITIES!C92</f>
        <v/>
      </c>
      <c r="D363" s="49">
        <v>2023.0</v>
      </c>
      <c r="E363" s="50"/>
      <c r="F363" s="51" t="str">
        <f t="shared" si="1"/>
        <v/>
      </c>
      <c r="G363" s="52"/>
      <c r="H363" s="51" t="s">
        <v>78</v>
      </c>
      <c r="I363" s="53"/>
      <c r="J363" s="53"/>
      <c r="K363" s="51" t="str">
        <f t="shared" si="2"/>
        <v>Pending</v>
      </c>
    </row>
    <row r="364" ht="15.75" customHeight="1">
      <c r="A364" s="48" t="str">
        <f>FACILITIES!A92</f>
        <v>F091</v>
      </c>
      <c r="B364" s="48" t="str">
        <f>FACILITIES!B92</f>
        <v>Công ty VICEM xi măng Tam Điệp</v>
      </c>
      <c r="C364" s="48" t="str">
        <f>FACILITIES!C92</f>
        <v/>
      </c>
      <c r="D364" s="49">
        <v>2024.0</v>
      </c>
      <c r="E364" s="50"/>
      <c r="F364" s="51" t="str">
        <f t="shared" si="1"/>
        <v/>
      </c>
      <c r="G364" s="52"/>
      <c r="H364" s="51" t="s">
        <v>78</v>
      </c>
      <c r="I364" s="53"/>
      <c r="J364" s="53"/>
      <c r="K364" s="51" t="str">
        <f t="shared" si="2"/>
        <v>Pending</v>
      </c>
    </row>
    <row r="365" ht="15.75" customHeight="1">
      <c r="A365" s="48" t="str">
        <f>FACILITIES!A92</f>
        <v>F091</v>
      </c>
      <c r="B365" s="48" t="str">
        <f>FACILITIES!B92</f>
        <v>Công ty VICEM xi măng Tam Điệp</v>
      </c>
      <c r="C365" s="48" t="str">
        <f>FACILITIES!C92</f>
        <v/>
      </c>
      <c r="D365" s="49">
        <v>2025.0</v>
      </c>
      <c r="E365" s="50"/>
      <c r="F365" s="51" t="str">
        <f t="shared" si="1"/>
        <v/>
      </c>
      <c r="G365" s="52"/>
      <c r="H365" s="51" t="s">
        <v>78</v>
      </c>
      <c r="I365" s="53"/>
      <c r="J365" s="53"/>
      <c r="K365" s="51" t="str">
        <f t="shared" si="2"/>
        <v>Pending</v>
      </c>
    </row>
    <row r="366" ht="15.75" customHeight="1">
      <c r="A366" s="48" t="str">
        <f>FACILITIES!A93</f>
        <v>F092</v>
      </c>
      <c r="B366" s="48" t="str">
        <f>FACILITIES!B93</f>
        <v>Nhà máy Xi măng Bỉm Sơn, Công ty Cổ phần Xi măng Bỉm Sơn</v>
      </c>
      <c r="C366" s="48" t="str">
        <f>FACILITIES!C93</f>
        <v/>
      </c>
      <c r="D366" s="49">
        <v>2022.0</v>
      </c>
      <c r="E366" s="50"/>
      <c r="F366" s="51" t="str">
        <f t="shared" si="1"/>
        <v/>
      </c>
      <c r="G366" s="52"/>
      <c r="H366" s="51" t="s">
        <v>78</v>
      </c>
      <c r="I366" s="53"/>
      <c r="J366" s="53"/>
      <c r="K366" s="51" t="str">
        <f t="shared" si="2"/>
        <v>Pending</v>
      </c>
    </row>
    <row r="367" ht="15.75" customHeight="1">
      <c r="A367" s="48" t="str">
        <f>FACILITIES!A93</f>
        <v>F092</v>
      </c>
      <c r="B367" s="48" t="str">
        <f>FACILITIES!B93</f>
        <v>Nhà máy Xi măng Bỉm Sơn, Công ty Cổ phần Xi măng Bỉm Sơn</v>
      </c>
      <c r="C367" s="48" t="str">
        <f>FACILITIES!C93</f>
        <v/>
      </c>
      <c r="D367" s="49">
        <v>2023.0</v>
      </c>
      <c r="E367" s="50"/>
      <c r="F367" s="51" t="str">
        <f t="shared" si="1"/>
        <v/>
      </c>
      <c r="G367" s="52"/>
      <c r="H367" s="51" t="s">
        <v>78</v>
      </c>
      <c r="I367" s="53"/>
      <c r="J367" s="53"/>
      <c r="K367" s="51" t="str">
        <f t="shared" si="2"/>
        <v>Pending</v>
      </c>
    </row>
    <row r="368" ht="15.75" customHeight="1">
      <c r="A368" s="48" t="str">
        <f>FACILITIES!A93</f>
        <v>F092</v>
      </c>
      <c r="B368" s="48" t="str">
        <f>FACILITIES!B93</f>
        <v>Nhà máy Xi măng Bỉm Sơn, Công ty Cổ phần Xi măng Bỉm Sơn</v>
      </c>
      <c r="C368" s="48" t="str">
        <f>FACILITIES!C93</f>
        <v/>
      </c>
      <c r="D368" s="49">
        <v>2024.0</v>
      </c>
      <c r="E368" s="50"/>
      <c r="F368" s="51" t="str">
        <f t="shared" si="1"/>
        <v/>
      </c>
      <c r="G368" s="52"/>
      <c r="H368" s="51" t="s">
        <v>78</v>
      </c>
      <c r="I368" s="53"/>
      <c r="J368" s="53"/>
      <c r="K368" s="51" t="str">
        <f t="shared" si="2"/>
        <v>Pending</v>
      </c>
    </row>
    <row r="369" ht="15.75" customHeight="1">
      <c r="A369" s="48" t="str">
        <f>FACILITIES!A93</f>
        <v>F092</v>
      </c>
      <c r="B369" s="48" t="str">
        <f>FACILITIES!B93</f>
        <v>Nhà máy Xi măng Bỉm Sơn, Công ty Cổ phần Xi măng Bỉm Sơn</v>
      </c>
      <c r="C369" s="48" t="str">
        <f>FACILITIES!C93</f>
        <v/>
      </c>
      <c r="D369" s="49">
        <v>2025.0</v>
      </c>
      <c r="E369" s="50"/>
      <c r="F369" s="51" t="str">
        <f t="shared" si="1"/>
        <v/>
      </c>
      <c r="G369" s="52"/>
      <c r="H369" s="51" t="s">
        <v>78</v>
      </c>
      <c r="I369" s="53"/>
      <c r="J369" s="53"/>
      <c r="K369" s="51" t="str">
        <f t="shared" si="2"/>
        <v>Pending</v>
      </c>
    </row>
    <row r="370" ht="15.75" customHeight="1">
      <c r="A370" s="48" t="str">
        <f>FACILITIES!A94</f>
        <v>F093</v>
      </c>
      <c r="B370" s="48" t="str">
        <f>FACILITIES!B94</f>
        <v>Nhà máy Xi măng Long Son, Công ty TNHH Long Sơn</v>
      </c>
      <c r="C370" s="48" t="str">
        <f>FACILITIES!C94</f>
        <v/>
      </c>
      <c r="D370" s="49">
        <v>2022.0</v>
      </c>
      <c r="E370" s="50"/>
      <c r="F370" s="51" t="str">
        <f t="shared" si="1"/>
        <v/>
      </c>
      <c r="G370" s="52"/>
      <c r="H370" s="51" t="s">
        <v>78</v>
      </c>
      <c r="I370" s="53"/>
      <c r="J370" s="53"/>
      <c r="K370" s="51" t="str">
        <f t="shared" si="2"/>
        <v>Pending</v>
      </c>
    </row>
    <row r="371" ht="15.75" customHeight="1">
      <c r="A371" s="48" t="str">
        <f>FACILITIES!A94</f>
        <v>F093</v>
      </c>
      <c r="B371" s="48" t="str">
        <f>FACILITIES!B94</f>
        <v>Nhà máy Xi măng Long Son, Công ty TNHH Long Sơn</v>
      </c>
      <c r="C371" s="48" t="str">
        <f>FACILITIES!C94</f>
        <v/>
      </c>
      <c r="D371" s="49">
        <v>2023.0</v>
      </c>
      <c r="E371" s="50"/>
      <c r="F371" s="51" t="str">
        <f t="shared" si="1"/>
        <v/>
      </c>
      <c r="G371" s="52"/>
      <c r="H371" s="51" t="s">
        <v>78</v>
      </c>
      <c r="I371" s="53"/>
      <c r="J371" s="53"/>
      <c r="K371" s="51" t="str">
        <f t="shared" si="2"/>
        <v>Pending</v>
      </c>
    </row>
    <row r="372" ht="15.75" customHeight="1">
      <c r="A372" s="48" t="str">
        <f>FACILITIES!A94</f>
        <v>F093</v>
      </c>
      <c r="B372" s="48" t="str">
        <f>FACILITIES!B94</f>
        <v>Nhà máy Xi măng Long Son, Công ty TNHH Long Sơn</v>
      </c>
      <c r="C372" s="48" t="str">
        <f>FACILITIES!C94</f>
        <v/>
      </c>
      <c r="D372" s="49">
        <v>2024.0</v>
      </c>
      <c r="E372" s="50"/>
      <c r="F372" s="51" t="str">
        <f t="shared" si="1"/>
        <v/>
      </c>
      <c r="G372" s="52"/>
      <c r="H372" s="51" t="s">
        <v>78</v>
      </c>
      <c r="I372" s="53"/>
      <c r="J372" s="53"/>
      <c r="K372" s="51" t="str">
        <f t="shared" si="2"/>
        <v>Pending</v>
      </c>
    </row>
    <row r="373" ht="15.75" customHeight="1">
      <c r="A373" s="48" t="str">
        <f>FACILITIES!A94</f>
        <v>F093</v>
      </c>
      <c r="B373" s="48" t="str">
        <f>FACILITIES!B94</f>
        <v>Nhà máy Xi măng Long Son, Công ty TNHH Long Sơn</v>
      </c>
      <c r="C373" s="48" t="str">
        <f>FACILITIES!C94</f>
        <v/>
      </c>
      <c r="D373" s="49">
        <v>2025.0</v>
      </c>
      <c r="E373" s="50"/>
      <c r="F373" s="51" t="str">
        <f t="shared" si="1"/>
        <v/>
      </c>
      <c r="G373" s="52"/>
      <c r="H373" s="51" t="s">
        <v>78</v>
      </c>
      <c r="I373" s="53"/>
      <c r="J373" s="53"/>
      <c r="K373" s="51" t="str">
        <f t="shared" si="2"/>
        <v>Pending</v>
      </c>
    </row>
    <row r="374" ht="15.75" customHeight="1">
      <c r="A374" s="48" t="str">
        <f>FACILITIES!A95</f>
        <v>F094</v>
      </c>
      <c r="B374" s="48" t="str">
        <f>FACILITIES!B95</f>
        <v>Nhà máy Xi măng Công Thanh, Tập đoàn Công Thanh</v>
      </c>
      <c r="C374" s="48" t="str">
        <f>FACILITIES!C95</f>
        <v/>
      </c>
      <c r="D374" s="49">
        <v>2022.0</v>
      </c>
      <c r="E374" s="50"/>
      <c r="F374" s="51" t="str">
        <f t="shared" si="1"/>
        <v/>
      </c>
      <c r="G374" s="52"/>
      <c r="H374" s="51" t="s">
        <v>78</v>
      </c>
      <c r="I374" s="53"/>
      <c r="J374" s="53"/>
      <c r="K374" s="51" t="str">
        <f t="shared" si="2"/>
        <v>Pending</v>
      </c>
    </row>
    <row r="375" ht="15.75" customHeight="1">
      <c r="A375" s="48" t="str">
        <f>FACILITIES!A95</f>
        <v>F094</v>
      </c>
      <c r="B375" s="48" t="str">
        <f>FACILITIES!B95</f>
        <v>Nhà máy Xi măng Công Thanh, Tập đoàn Công Thanh</v>
      </c>
      <c r="C375" s="48" t="str">
        <f>FACILITIES!C95</f>
        <v/>
      </c>
      <c r="D375" s="49">
        <v>2023.0</v>
      </c>
      <c r="E375" s="50"/>
      <c r="F375" s="51" t="str">
        <f t="shared" si="1"/>
        <v/>
      </c>
      <c r="G375" s="52"/>
      <c r="H375" s="51" t="s">
        <v>78</v>
      </c>
      <c r="I375" s="53"/>
      <c r="J375" s="53"/>
      <c r="K375" s="51" t="str">
        <f t="shared" si="2"/>
        <v>Pending</v>
      </c>
    </row>
    <row r="376" ht="15.75" customHeight="1">
      <c r="A376" s="48" t="str">
        <f>FACILITIES!A95</f>
        <v>F094</v>
      </c>
      <c r="B376" s="48" t="str">
        <f>FACILITIES!B95</f>
        <v>Nhà máy Xi măng Công Thanh, Tập đoàn Công Thanh</v>
      </c>
      <c r="C376" s="48" t="str">
        <f>FACILITIES!C95</f>
        <v/>
      </c>
      <c r="D376" s="49">
        <v>2024.0</v>
      </c>
      <c r="E376" s="50"/>
      <c r="F376" s="51" t="str">
        <f t="shared" si="1"/>
        <v/>
      </c>
      <c r="G376" s="52"/>
      <c r="H376" s="51" t="s">
        <v>78</v>
      </c>
      <c r="I376" s="53"/>
      <c r="J376" s="53"/>
      <c r="K376" s="51" t="str">
        <f t="shared" si="2"/>
        <v>Pending</v>
      </c>
    </row>
    <row r="377" ht="15.75" customHeight="1">
      <c r="A377" s="48" t="str">
        <f>FACILITIES!A95</f>
        <v>F094</v>
      </c>
      <c r="B377" s="48" t="str">
        <f>FACILITIES!B95</f>
        <v>Nhà máy Xi măng Công Thanh, Tập đoàn Công Thanh</v>
      </c>
      <c r="C377" s="48" t="str">
        <f>FACILITIES!C95</f>
        <v/>
      </c>
      <c r="D377" s="49">
        <v>2025.0</v>
      </c>
      <c r="E377" s="50"/>
      <c r="F377" s="51" t="str">
        <f t="shared" si="1"/>
        <v/>
      </c>
      <c r="G377" s="52"/>
      <c r="H377" s="51" t="s">
        <v>78</v>
      </c>
      <c r="I377" s="53"/>
      <c r="J377" s="53"/>
      <c r="K377" s="51" t="str">
        <f t="shared" si="2"/>
        <v>Pending</v>
      </c>
    </row>
    <row r="378" ht="15.75" customHeight="1">
      <c r="A378" s="48" t="str">
        <f>FACILITIES!A96</f>
        <v>F095</v>
      </c>
      <c r="B378" s="48" t="str">
        <f>FACILITIES!B96</f>
        <v>Nhà máy Xi măng Nghi Sơn 2, Công ty Xi măng Nghi Sơn</v>
      </c>
      <c r="C378" s="48" t="str">
        <f>FACILITIES!C96</f>
        <v/>
      </c>
      <c r="D378" s="49">
        <v>2022.0</v>
      </c>
      <c r="E378" s="50"/>
      <c r="F378" s="51" t="str">
        <f t="shared" si="1"/>
        <v/>
      </c>
      <c r="G378" s="52"/>
      <c r="H378" s="51" t="s">
        <v>78</v>
      </c>
      <c r="I378" s="53"/>
      <c r="J378" s="53"/>
      <c r="K378" s="51" t="str">
        <f t="shared" si="2"/>
        <v>Pending</v>
      </c>
    </row>
    <row r="379" ht="15.75" customHeight="1">
      <c r="A379" s="48" t="str">
        <f>FACILITIES!A96</f>
        <v>F095</v>
      </c>
      <c r="B379" s="48" t="str">
        <f>FACILITIES!B96</f>
        <v>Nhà máy Xi măng Nghi Sơn 2, Công ty Xi măng Nghi Sơn</v>
      </c>
      <c r="C379" s="48" t="str">
        <f>FACILITIES!C96</f>
        <v/>
      </c>
      <c r="D379" s="49">
        <v>2023.0</v>
      </c>
      <c r="E379" s="50"/>
      <c r="F379" s="51" t="str">
        <f t="shared" si="1"/>
        <v/>
      </c>
      <c r="G379" s="52"/>
      <c r="H379" s="51" t="s">
        <v>78</v>
      </c>
      <c r="I379" s="53"/>
      <c r="J379" s="53"/>
      <c r="K379" s="51" t="str">
        <f t="shared" si="2"/>
        <v>Pending</v>
      </c>
    </row>
    <row r="380" ht="15.75" customHeight="1">
      <c r="A380" s="48" t="str">
        <f>FACILITIES!A96</f>
        <v>F095</v>
      </c>
      <c r="B380" s="48" t="str">
        <f>FACILITIES!B96</f>
        <v>Nhà máy Xi măng Nghi Sơn 2, Công ty Xi măng Nghi Sơn</v>
      </c>
      <c r="C380" s="48" t="str">
        <f>FACILITIES!C96</f>
        <v/>
      </c>
      <c r="D380" s="49">
        <v>2024.0</v>
      </c>
      <c r="E380" s="50"/>
      <c r="F380" s="51" t="str">
        <f t="shared" si="1"/>
        <v/>
      </c>
      <c r="G380" s="52"/>
      <c r="H380" s="51" t="s">
        <v>78</v>
      </c>
      <c r="I380" s="53"/>
      <c r="J380" s="53"/>
      <c r="K380" s="51" t="str">
        <f t="shared" si="2"/>
        <v>Pending</v>
      </c>
    </row>
    <row r="381" ht="15.75" customHeight="1">
      <c r="A381" s="48" t="str">
        <f>FACILITIES!A96</f>
        <v>F095</v>
      </c>
      <c r="B381" s="48" t="str">
        <f>FACILITIES!B96</f>
        <v>Nhà máy Xi măng Nghi Sơn 2, Công ty Xi măng Nghi Sơn</v>
      </c>
      <c r="C381" s="48" t="str">
        <f>FACILITIES!C96</f>
        <v/>
      </c>
      <c r="D381" s="49">
        <v>2025.0</v>
      </c>
      <c r="E381" s="50"/>
      <c r="F381" s="51" t="str">
        <f t="shared" si="1"/>
        <v/>
      </c>
      <c r="G381" s="52"/>
      <c r="H381" s="51" t="s">
        <v>78</v>
      </c>
      <c r="I381" s="53"/>
      <c r="J381" s="53"/>
      <c r="K381" s="51" t="str">
        <f t="shared" si="2"/>
        <v>Pending</v>
      </c>
    </row>
    <row r="382" ht="15.75" customHeight="1">
      <c r="A382" s="48" t="str">
        <f>FACILITIES!A97</f>
        <v>F096</v>
      </c>
      <c r="B382" s="48" t="str">
        <f>FACILITIES!B97</f>
        <v>Nhà máy Xi măng Tân Thắng, Công ty Xi măng Tân Thắng</v>
      </c>
      <c r="C382" s="48" t="str">
        <f>FACILITIES!C97</f>
        <v/>
      </c>
      <c r="D382" s="49">
        <v>2022.0</v>
      </c>
      <c r="E382" s="50"/>
      <c r="F382" s="51" t="str">
        <f t="shared" si="1"/>
        <v/>
      </c>
      <c r="G382" s="52"/>
      <c r="H382" s="51" t="s">
        <v>78</v>
      </c>
      <c r="I382" s="53"/>
      <c r="J382" s="53"/>
      <c r="K382" s="51" t="str">
        <f t="shared" si="2"/>
        <v>Pending</v>
      </c>
    </row>
    <row r="383" ht="15.75" customHeight="1">
      <c r="A383" s="48" t="str">
        <f>FACILITIES!A97</f>
        <v>F096</v>
      </c>
      <c r="B383" s="48" t="str">
        <f>FACILITIES!B97</f>
        <v>Nhà máy Xi măng Tân Thắng, Công ty Xi măng Tân Thắng</v>
      </c>
      <c r="C383" s="48" t="str">
        <f>FACILITIES!C97</f>
        <v/>
      </c>
      <c r="D383" s="49">
        <v>2023.0</v>
      </c>
      <c r="E383" s="50"/>
      <c r="F383" s="51" t="str">
        <f t="shared" si="1"/>
        <v/>
      </c>
      <c r="G383" s="52"/>
      <c r="H383" s="51" t="s">
        <v>78</v>
      </c>
      <c r="I383" s="53"/>
      <c r="J383" s="53"/>
      <c r="K383" s="51" t="str">
        <f t="shared" si="2"/>
        <v>Pending</v>
      </c>
    </row>
    <row r="384" ht="15.75" customHeight="1">
      <c r="A384" s="48" t="str">
        <f>FACILITIES!A97</f>
        <v>F096</v>
      </c>
      <c r="B384" s="48" t="str">
        <f>FACILITIES!B97</f>
        <v>Nhà máy Xi măng Tân Thắng, Công ty Xi măng Tân Thắng</v>
      </c>
      <c r="C384" s="48" t="str">
        <f>FACILITIES!C97</f>
        <v/>
      </c>
      <c r="D384" s="49">
        <v>2024.0</v>
      </c>
      <c r="E384" s="50"/>
      <c r="F384" s="51" t="str">
        <f t="shared" si="1"/>
        <v/>
      </c>
      <c r="G384" s="52"/>
      <c r="H384" s="51" t="s">
        <v>78</v>
      </c>
      <c r="I384" s="53"/>
      <c r="J384" s="53"/>
      <c r="K384" s="51" t="str">
        <f t="shared" si="2"/>
        <v>Pending</v>
      </c>
    </row>
    <row r="385" ht="15.75" customHeight="1">
      <c r="A385" s="48" t="str">
        <f>FACILITIES!A97</f>
        <v>F096</v>
      </c>
      <c r="B385" s="48" t="str">
        <f>FACILITIES!B97</f>
        <v>Nhà máy Xi măng Tân Thắng, Công ty Xi măng Tân Thắng</v>
      </c>
      <c r="C385" s="48" t="str">
        <f>FACILITIES!C97</f>
        <v/>
      </c>
      <c r="D385" s="49">
        <v>2025.0</v>
      </c>
      <c r="E385" s="50"/>
      <c r="F385" s="51" t="str">
        <f t="shared" si="1"/>
        <v/>
      </c>
      <c r="G385" s="52"/>
      <c r="H385" s="51" t="s">
        <v>78</v>
      </c>
      <c r="I385" s="53"/>
      <c r="J385" s="53"/>
      <c r="K385" s="51" t="str">
        <f t="shared" si="2"/>
        <v>Pending</v>
      </c>
    </row>
    <row r="386" ht="15.75" customHeight="1">
      <c r="A386" s="48" t="str">
        <f>FACILITIES!A98</f>
        <v>F097</v>
      </c>
      <c r="B386" s="48" t="str">
        <f>FACILITIES!B98</f>
        <v>Nhà máy Xi măng Sông Lam 1, Tập đoàn The Vissai</v>
      </c>
      <c r="C386" s="48" t="str">
        <f>FACILITIES!C98</f>
        <v/>
      </c>
      <c r="D386" s="49">
        <v>2022.0</v>
      </c>
      <c r="E386" s="50"/>
      <c r="F386" s="51" t="str">
        <f t="shared" si="1"/>
        <v/>
      </c>
      <c r="G386" s="52"/>
      <c r="H386" s="51" t="s">
        <v>78</v>
      </c>
      <c r="I386" s="53"/>
      <c r="J386" s="53"/>
      <c r="K386" s="51" t="str">
        <f t="shared" si="2"/>
        <v>Pending</v>
      </c>
    </row>
    <row r="387" ht="15.75" customHeight="1">
      <c r="A387" s="48" t="str">
        <f>FACILITIES!A98</f>
        <v>F097</v>
      </c>
      <c r="B387" s="48" t="str">
        <f>FACILITIES!B98</f>
        <v>Nhà máy Xi măng Sông Lam 1, Tập đoàn The Vissai</v>
      </c>
      <c r="C387" s="48" t="str">
        <f>FACILITIES!C98</f>
        <v/>
      </c>
      <c r="D387" s="49">
        <v>2023.0</v>
      </c>
      <c r="E387" s="50"/>
      <c r="F387" s="51" t="str">
        <f t="shared" si="1"/>
        <v/>
      </c>
      <c r="G387" s="52"/>
      <c r="H387" s="51" t="s">
        <v>78</v>
      </c>
      <c r="I387" s="53"/>
      <c r="J387" s="53"/>
      <c r="K387" s="51" t="str">
        <f t="shared" si="2"/>
        <v>Pending</v>
      </c>
    </row>
    <row r="388" ht="15.75" customHeight="1">
      <c r="A388" s="48" t="str">
        <f>FACILITIES!A98</f>
        <v>F097</v>
      </c>
      <c r="B388" s="48" t="str">
        <f>FACILITIES!B98</f>
        <v>Nhà máy Xi măng Sông Lam 1, Tập đoàn The Vissai</v>
      </c>
      <c r="C388" s="48" t="str">
        <f>FACILITIES!C98</f>
        <v/>
      </c>
      <c r="D388" s="49">
        <v>2024.0</v>
      </c>
      <c r="E388" s="50"/>
      <c r="F388" s="51" t="str">
        <f t="shared" si="1"/>
        <v/>
      </c>
      <c r="G388" s="52"/>
      <c r="H388" s="51" t="s">
        <v>78</v>
      </c>
      <c r="I388" s="53"/>
      <c r="J388" s="53"/>
      <c r="K388" s="51" t="str">
        <f t="shared" si="2"/>
        <v>Pending</v>
      </c>
    </row>
    <row r="389" ht="15.75" customHeight="1">
      <c r="A389" s="48" t="str">
        <f>FACILITIES!A98</f>
        <v>F097</v>
      </c>
      <c r="B389" s="48" t="str">
        <f>FACILITIES!B98</f>
        <v>Nhà máy Xi măng Sông Lam 1, Tập đoàn The Vissai</v>
      </c>
      <c r="C389" s="48" t="str">
        <f>FACILITIES!C98</f>
        <v/>
      </c>
      <c r="D389" s="49">
        <v>2025.0</v>
      </c>
      <c r="E389" s="50"/>
      <c r="F389" s="51" t="str">
        <f t="shared" si="1"/>
        <v/>
      </c>
      <c r="G389" s="52"/>
      <c r="H389" s="51" t="s">
        <v>78</v>
      </c>
      <c r="I389" s="53"/>
      <c r="J389" s="53"/>
      <c r="K389" s="51" t="str">
        <f t="shared" si="2"/>
        <v>Pending</v>
      </c>
    </row>
    <row r="390" ht="15.75" customHeight="1">
      <c r="A390" s="48" t="str">
        <f>FACILITIES!A99</f>
        <v>F098</v>
      </c>
      <c r="B390" s="48" t="str">
        <f>FACILITIES!B99</f>
        <v>Nhà máy Xi măng Sông Lam 2, Tập đoàn The Vissai</v>
      </c>
      <c r="C390" s="48" t="str">
        <f>FACILITIES!C99</f>
        <v/>
      </c>
      <c r="D390" s="49">
        <v>2022.0</v>
      </c>
      <c r="E390" s="50"/>
      <c r="F390" s="51" t="str">
        <f t="shared" si="1"/>
        <v/>
      </c>
      <c r="G390" s="52"/>
      <c r="H390" s="51" t="s">
        <v>78</v>
      </c>
      <c r="I390" s="53"/>
      <c r="J390" s="53"/>
      <c r="K390" s="51" t="str">
        <f t="shared" si="2"/>
        <v>Pending</v>
      </c>
    </row>
    <row r="391" ht="15.75" customHeight="1">
      <c r="A391" s="48" t="str">
        <f>FACILITIES!A99</f>
        <v>F098</v>
      </c>
      <c r="B391" s="48" t="str">
        <f>FACILITIES!B99</f>
        <v>Nhà máy Xi măng Sông Lam 2, Tập đoàn The Vissai</v>
      </c>
      <c r="C391" s="48" t="str">
        <f>FACILITIES!C99</f>
        <v/>
      </c>
      <c r="D391" s="49">
        <v>2023.0</v>
      </c>
      <c r="E391" s="50"/>
      <c r="F391" s="51" t="str">
        <f t="shared" si="1"/>
        <v/>
      </c>
      <c r="G391" s="52"/>
      <c r="H391" s="51" t="s">
        <v>78</v>
      </c>
      <c r="I391" s="53"/>
      <c r="J391" s="53"/>
      <c r="K391" s="51" t="str">
        <f t="shared" si="2"/>
        <v>Pending</v>
      </c>
    </row>
    <row r="392" ht="15.75" customHeight="1">
      <c r="A392" s="48" t="str">
        <f>FACILITIES!A99</f>
        <v>F098</v>
      </c>
      <c r="B392" s="48" t="str">
        <f>FACILITIES!B99</f>
        <v>Nhà máy Xi măng Sông Lam 2, Tập đoàn The Vissai</v>
      </c>
      <c r="C392" s="48" t="str">
        <f>FACILITIES!C99</f>
        <v/>
      </c>
      <c r="D392" s="49">
        <v>2024.0</v>
      </c>
      <c r="E392" s="50"/>
      <c r="F392" s="51" t="str">
        <f t="shared" si="1"/>
        <v/>
      </c>
      <c r="G392" s="52"/>
      <c r="H392" s="51" t="s">
        <v>78</v>
      </c>
      <c r="I392" s="53"/>
      <c r="J392" s="53"/>
      <c r="K392" s="51" t="str">
        <f t="shared" si="2"/>
        <v>Pending</v>
      </c>
    </row>
    <row r="393" ht="15.75" customHeight="1">
      <c r="A393" s="48" t="str">
        <f>FACILITIES!A99</f>
        <v>F098</v>
      </c>
      <c r="B393" s="48" t="str">
        <f>FACILITIES!B99</f>
        <v>Nhà máy Xi măng Sông Lam 2, Tập đoàn The Vissai</v>
      </c>
      <c r="C393" s="48" t="str">
        <f>FACILITIES!C99</f>
        <v/>
      </c>
      <c r="D393" s="49">
        <v>2025.0</v>
      </c>
      <c r="E393" s="50"/>
      <c r="F393" s="51" t="str">
        <f t="shared" si="1"/>
        <v/>
      </c>
      <c r="G393" s="52"/>
      <c r="H393" s="51" t="s">
        <v>78</v>
      </c>
      <c r="I393" s="53"/>
      <c r="J393" s="53"/>
      <c r="K393" s="51" t="str">
        <f t="shared" si="2"/>
        <v>Pending</v>
      </c>
    </row>
    <row r="394" ht="15.75" customHeight="1">
      <c r="A394" s="48" t="str">
        <f>FACILITIES!A100</f>
        <v>F099</v>
      </c>
      <c r="B394" s="48" t="str">
        <f>FACILITIES!B100</f>
        <v>Nhà máy Xi măng Công ty Cổ phần Xi măng Vicem Hoàng Mai</v>
      </c>
      <c r="C394" s="48" t="str">
        <f>FACILITIES!C100</f>
        <v/>
      </c>
      <c r="D394" s="49">
        <v>2022.0</v>
      </c>
      <c r="E394" s="50"/>
      <c r="F394" s="51" t="str">
        <f t="shared" si="1"/>
        <v/>
      </c>
      <c r="G394" s="52"/>
      <c r="H394" s="51" t="s">
        <v>78</v>
      </c>
      <c r="I394" s="53"/>
      <c r="J394" s="53"/>
      <c r="K394" s="51" t="str">
        <f t="shared" si="2"/>
        <v>Pending</v>
      </c>
    </row>
    <row r="395" ht="15.75" customHeight="1">
      <c r="A395" s="48" t="str">
        <f>FACILITIES!A100</f>
        <v>F099</v>
      </c>
      <c r="B395" s="48" t="str">
        <f>FACILITIES!B100</f>
        <v>Nhà máy Xi măng Công ty Cổ phần Xi măng Vicem Hoàng Mai</v>
      </c>
      <c r="C395" s="48" t="str">
        <f>FACILITIES!C100</f>
        <v/>
      </c>
      <c r="D395" s="49">
        <v>2023.0</v>
      </c>
      <c r="E395" s="50"/>
      <c r="F395" s="51" t="str">
        <f t="shared" si="1"/>
        <v/>
      </c>
      <c r="G395" s="52"/>
      <c r="H395" s="51" t="s">
        <v>78</v>
      </c>
      <c r="I395" s="53"/>
      <c r="J395" s="53"/>
      <c r="K395" s="51" t="str">
        <f t="shared" si="2"/>
        <v>Pending</v>
      </c>
    </row>
    <row r="396" ht="15.75" customHeight="1">
      <c r="A396" s="48" t="str">
        <f>FACILITIES!A100</f>
        <v>F099</v>
      </c>
      <c r="B396" s="48" t="str">
        <f>FACILITIES!B100</f>
        <v>Nhà máy Xi măng Công ty Cổ phần Xi măng Vicem Hoàng Mai</v>
      </c>
      <c r="C396" s="48" t="str">
        <f>FACILITIES!C100</f>
        <v/>
      </c>
      <c r="D396" s="49">
        <v>2024.0</v>
      </c>
      <c r="E396" s="50"/>
      <c r="F396" s="51" t="str">
        <f t="shared" si="1"/>
        <v/>
      </c>
      <c r="G396" s="52"/>
      <c r="H396" s="51" t="s">
        <v>78</v>
      </c>
      <c r="I396" s="53"/>
      <c r="J396" s="53"/>
      <c r="K396" s="51" t="str">
        <f t="shared" si="2"/>
        <v>Pending</v>
      </c>
    </row>
    <row r="397" ht="15.75" customHeight="1">
      <c r="A397" s="48" t="str">
        <f>FACILITIES!A100</f>
        <v>F099</v>
      </c>
      <c r="B397" s="48" t="str">
        <f>FACILITIES!B100</f>
        <v>Nhà máy Xi măng Công ty Cổ phần Xi măng Vicem Hoàng Mai</v>
      </c>
      <c r="C397" s="48" t="str">
        <f>FACILITIES!C100</f>
        <v/>
      </c>
      <c r="D397" s="49">
        <v>2025.0</v>
      </c>
      <c r="E397" s="50"/>
      <c r="F397" s="51" t="str">
        <f t="shared" si="1"/>
        <v/>
      </c>
      <c r="G397" s="52"/>
      <c r="H397" s="51" t="s">
        <v>78</v>
      </c>
      <c r="I397" s="53"/>
      <c r="J397" s="53"/>
      <c r="K397" s="51" t="str">
        <f t="shared" si="2"/>
        <v>Pending</v>
      </c>
    </row>
    <row r="398" ht="15.75" customHeight="1">
      <c r="A398" s="48" t="str">
        <f>FACILITIES!A101</f>
        <v>F100</v>
      </c>
      <c r="B398" s="48" t="str">
        <f>FACILITIES!B101</f>
        <v>Công ty cổ phần xi măng sông Gianh</v>
      </c>
      <c r="C398" s="48" t="str">
        <f>FACILITIES!C101</f>
        <v/>
      </c>
      <c r="D398" s="49">
        <v>2022.0</v>
      </c>
      <c r="E398" s="50"/>
      <c r="F398" s="51" t="str">
        <f t="shared" si="1"/>
        <v/>
      </c>
      <c r="G398" s="52"/>
      <c r="H398" s="51" t="s">
        <v>78</v>
      </c>
      <c r="I398" s="53"/>
      <c r="J398" s="53"/>
      <c r="K398" s="51" t="str">
        <f t="shared" si="2"/>
        <v>Pending</v>
      </c>
    </row>
    <row r="399" ht="15.75" customHeight="1">
      <c r="A399" s="48" t="str">
        <f>FACILITIES!A101</f>
        <v>F100</v>
      </c>
      <c r="B399" s="48" t="str">
        <f>FACILITIES!B101</f>
        <v>Công ty cổ phần xi măng sông Gianh</v>
      </c>
      <c r="C399" s="48" t="str">
        <f>FACILITIES!C101</f>
        <v/>
      </c>
      <c r="D399" s="49">
        <v>2023.0</v>
      </c>
      <c r="E399" s="50"/>
      <c r="F399" s="51" t="str">
        <f t="shared" si="1"/>
        <v/>
      </c>
      <c r="G399" s="52"/>
      <c r="H399" s="51" t="s">
        <v>78</v>
      </c>
      <c r="I399" s="53"/>
      <c r="J399" s="53"/>
      <c r="K399" s="51" t="str">
        <f t="shared" si="2"/>
        <v>Pending</v>
      </c>
    </row>
    <row r="400" ht="15.75" customHeight="1">
      <c r="A400" s="48" t="str">
        <f>FACILITIES!A101</f>
        <v>F100</v>
      </c>
      <c r="B400" s="48" t="str">
        <f>FACILITIES!B101</f>
        <v>Công ty cổ phần xi măng sông Gianh</v>
      </c>
      <c r="C400" s="48" t="str">
        <f>FACILITIES!C101</f>
        <v/>
      </c>
      <c r="D400" s="49">
        <v>2024.0</v>
      </c>
      <c r="E400" s="50"/>
      <c r="F400" s="51" t="str">
        <f t="shared" si="1"/>
        <v/>
      </c>
      <c r="G400" s="52"/>
      <c r="H400" s="51" t="s">
        <v>78</v>
      </c>
      <c r="I400" s="53"/>
      <c r="J400" s="53"/>
      <c r="K400" s="51" t="str">
        <f t="shared" si="2"/>
        <v>Pending</v>
      </c>
    </row>
    <row r="401" ht="15.75" customHeight="1">
      <c r="A401" s="48" t="str">
        <f>FACILITIES!A101</f>
        <v>F100</v>
      </c>
      <c r="B401" s="48" t="str">
        <f>FACILITIES!B101</f>
        <v>Công ty cổ phần xi măng sông Gianh</v>
      </c>
      <c r="C401" s="48" t="str">
        <f>FACILITIES!C101</f>
        <v/>
      </c>
      <c r="D401" s="49">
        <v>2025.0</v>
      </c>
      <c r="E401" s="50"/>
      <c r="F401" s="51" t="str">
        <f t="shared" si="1"/>
        <v/>
      </c>
      <c r="G401" s="52"/>
      <c r="H401" s="51" t="s">
        <v>78</v>
      </c>
      <c r="I401" s="53"/>
      <c r="J401" s="53"/>
      <c r="K401" s="51" t="str">
        <f t="shared" si="2"/>
        <v>Pending</v>
      </c>
    </row>
    <row r="402" ht="15.75" customHeight="1">
      <c r="A402" s="48" t="str">
        <f>FACILITIES!A102</f>
        <v>F101</v>
      </c>
      <c r="B402" s="48" t="str">
        <f>FACILITIES!B102</f>
        <v>Công ty cổ phần vật liệu xây dựng Việt Nam</v>
      </c>
      <c r="C402" s="48" t="str">
        <f>FACILITIES!C102</f>
        <v/>
      </c>
      <c r="D402" s="49">
        <v>2022.0</v>
      </c>
      <c r="E402" s="50"/>
      <c r="F402" s="51" t="str">
        <f t="shared" si="1"/>
        <v/>
      </c>
      <c r="G402" s="52"/>
      <c r="H402" s="51" t="s">
        <v>78</v>
      </c>
      <c r="I402" s="53"/>
      <c r="J402" s="53"/>
      <c r="K402" s="51" t="str">
        <f t="shared" si="2"/>
        <v>Pending</v>
      </c>
    </row>
    <row r="403" ht="15.75" customHeight="1">
      <c r="A403" s="48" t="str">
        <f>FACILITIES!A102</f>
        <v>F101</v>
      </c>
      <c r="B403" s="48" t="str">
        <f>FACILITIES!B102</f>
        <v>Công ty cổ phần vật liệu xây dựng Việt Nam</v>
      </c>
      <c r="C403" s="48" t="str">
        <f>FACILITIES!C102</f>
        <v/>
      </c>
      <c r="D403" s="49">
        <v>2023.0</v>
      </c>
      <c r="E403" s="50"/>
      <c r="F403" s="51" t="str">
        <f t="shared" si="1"/>
        <v/>
      </c>
      <c r="G403" s="52"/>
      <c r="H403" s="51" t="s">
        <v>78</v>
      </c>
      <c r="I403" s="53"/>
      <c r="J403" s="53"/>
      <c r="K403" s="51" t="str">
        <f t="shared" si="2"/>
        <v>Pending</v>
      </c>
    </row>
    <row r="404" ht="15.75" customHeight="1">
      <c r="A404" s="48" t="str">
        <f>FACILITIES!A102</f>
        <v>F101</v>
      </c>
      <c r="B404" s="48" t="str">
        <f>FACILITIES!B102</f>
        <v>Công ty cổ phần vật liệu xây dựng Việt Nam</v>
      </c>
      <c r="C404" s="48" t="str">
        <f>FACILITIES!C102</f>
        <v/>
      </c>
      <c r="D404" s="49">
        <v>2024.0</v>
      </c>
      <c r="E404" s="50"/>
      <c r="F404" s="51" t="str">
        <f t="shared" si="1"/>
        <v/>
      </c>
      <c r="G404" s="52"/>
      <c r="H404" s="51" t="s">
        <v>78</v>
      </c>
      <c r="I404" s="53"/>
      <c r="J404" s="53"/>
      <c r="K404" s="51" t="str">
        <f t="shared" si="2"/>
        <v>Pending</v>
      </c>
    </row>
    <row r="405" ht="15.75" customHeight="1">
      <c r="A405" s="48" t="str">
        <f>FACILITIES!A102</f>
        <v>F101</v>
      </c>
      <c r="B405" s="48" t="str">
        <f>FACILITIES!B102</f>
        <v>Công ty cổ phần vật liệu xây dựng Việt Nam</v>
      </c>
      <c r="C405" s="48" t="str">
        <f>FACILITIES!C102</f>
        <v/>
      </c>
      <c r="D405" s="49">
        <v>2025.0</v>
      </c>
      <c r="E405" s="50"/>
      <c r="F405" s="51" t="str">
        <f t="shared" si="1"/>
        <v/>
      </c>
      <c r="G405" s="52"/>
      <c r="H405" s="51" t="s">
        <v>78</v>
      </c>
      <c r="I405" s="53"/>
      <c r="J405" s="53"/>
      <c r="K405" s="51" t="str">
        <f t="shared" si="2"/>
        <v>Pending</v>
      </c>
    </row>
    <row r="406" ht="15.75" customHeight="1">
      <c r="A406" s="48" t="str">
        <f>FACILITIES!A103</f>
        <v>F102</v>
      </c>
      <c r="B406" s="48" t="str">
        <f>FACILITIES!B103</f>
        <v>Nhà máy Xi măng Vạn Ninh, Công ty cổ phần Xi măng Vicem Hải Vân</v>
      </c>
      <c r="C406" s="48" t="str">
        <f>FACILITIES!C103</f>
        <v/>
      </c>
      <c r="D406" s="49">
        <v>2022.0</v>
      </c>
      <c r="E406" s="50"/>
      <c r="F406" s="51" t="str">
        <f t="shared" si="1"/>
        <v/>
      </c>
      <c r="G406" s="52"/>
      <c r="H406" s="51" t="s">
        <v>78</v>
      </c>
      <c r="I406" s="53"/>
      <c r="J406" s="53"/>
      <c r="K406" s="51" t="str">
        <f t="shared" si="2"/>
        <v>Pending</v>
      </c>
    </row>
    <row r="407" ht="15.75" customHeight="1">
      <c r="A407" s="48" t="str">
        <f>FACILITIES!A103</f>
        <v>F102</v>
      </c>
      <c r="B407" s="48" t="str">
        <f>FACILITIES!B103</f>
        <v>Nhà máy Xi măng Vạn Ninh, Công ty cổ phần Xi măng Vicem Hải Vân</v>
      </c>
      <c r="C407" s="48" t="str">
        <f>FACILITIES!C103</f>
        <v/>
      </c>
      <c r="D407" s="49">
        <v>2023.0</v>
      </c>
      <c r="E407" s="50"/>
      <c r="F407" s="51" t="str">
        <f t="shared" si="1"/>
        <v/>
      </c>
      <c r="G407" s="52"/>
      <c r="H407" s="51" t="s">
        <v>78</v>
      </c>
      <c r="I407" s="53"/>
      <c r="J407" s="53"/>
      <c r="K407" s="51" t="str">
        <f t="shared" si="2"/>
        <v>Pending</v>
      </c>
    </row>
    <row r="408" ht="15.75" customHeight="1">
      <c r="A408" s="48" t="str">
        <f>FACILITIES!A103</f>
        <v>F102</v>
      </c>
      <c r="B408" s="48" t="str">
        <f>FACILITIES!B103</f>
        <v>Nhà máy Xi măng Vạn Ninh, Công ty cổ phần Xi măng Vicem Hải Vân</v>
      </c>
      <c r="C408" s="48" t="str">
        <f>FACILITIES!C103</f>
        <v/>
      </c>
      <c r="D408" s="49">
        <v>2024.0</v>
      </c>
      <c r="E408" s="50"/>
      <c r="F408" s="51" t="str">
        <f t="shared" si="1"/>
        <v/>
      </c>
      <c r="G408" s="52"/>
      <c r="H408" s="51" t="s">
        <v>78</v>
      </c>
      <c r="I408" s="53"/>
      <c r="J408" s="53"/>
      <c r="K408" s="51" t="str">
        <f t="shared" si="2"/>
        <v>Pending</v>
      </c>
    </row>
    <row r="409" ht="15.75" customHeight="1">
      <c r="A409" s="48" t="str">
        <f>FACILITIES!A103</f>
        <v>F102</v>
      </c>
      <c r="B409" s="48" t="str">
        <f>FACILITIES!B103</f>
        <v>Nhà máy Xi măng Vạn Ninh, Công ty cổ phần Xi măng Vicem Hải Vân</v>
      </c>
      <c r="C409" s="48" t="str">
        <f>FACILITIES!C103</f>
        <v/>
      </c>
      <c r="D409" s="49">
        <v>2025.0</v>
      </c>
      <c r="E409" s="50"/>
      <c r="F409" s="51" t="str">
        <f t="shared" si="1"/>
        <v/>
      </c>
      <c r="G409" s="52"/>
      <c r="H409" s="51" t="s">
        <v>78</v>
      </c>
      <c r="I409" s="53"/>
      <c r="J409" s="53"/>
      <c r="K409" s="51" t="str">
        <f t="shared" si="2"/>
        <v>Pending</v>
      </c>
    </row>
    <row r="410" ht="15.75" customHeight="1">
      <c r="A410" s="48" t="str">
        <f>FACILITIES!A104</f>
        <v>F103</v>
      </c>
      <c r="B410" s="48" t="str">
        <f>FACILITIES!B104</f>
        <v>Công ty Hữu Hạn Xi Măng Luks</v>
      </c>
      <c r="C410" s="48" t="str">
        <f>FACILITIES!C104</f>
        <v/>
      </c>
      <c r="D410" s="49">
        <v>2022.0</v>
      </c>
      <c r="E410" s="50"/>
      <c r="F410" s="51" t="str">
        <f t="shared" si="1"/>
        <v/>
      </c>
      <c r="G410" s="52"/>
      <c r="H410" s="51" t="s">
        <v>78</v>
      </c>
      <c r="I410" s="53"/>
      <c r="J410" s="53"/>
      <c r="K410" s="51" t="str">
        <f t="shared" si="2"/>
        <v>Pending</v>
      </c>
    </row>
    <row r="411" ht="15.75" customHeight="1">
      <c r="A411" s="48" t="str">
        <f>FACILITIES!A104</f>
        <v>F103</v>
      </c>
      <c r="B411" s="48" t="str">
        <f>FACILITIES!B104</f>
        <v>Công ty Hữu Hạn Xi Măng Luks</v>
      </c>
      <c r="C411" s="48" t="str">
        <f>FACILITIES!C104</f>
        <v/>
      </c>
      <c r="D411" s="49">
        <v>2023.0</v>
      </c>
      <c r="E411" s="50"/>
      <c r="F411" s="51" t="str">
        <f t="shared" si="1"/>
        <v/>
      </c>
      <c r="G411" s="52"/>
      <c r="H411" s="51" t="s">
        <v>78</v>
      </c>
      <c r="I411" s="53"/>
      <c r="J411" s="53"/>
      <c r="K411" s="51" t="str">
        <f t="shared" si="2"/>
        <v>Pending</v>
      </c>
    </row>
    <row r="412" ht="15.75" customHeight="1">
      <c r="A412" s="48" t="str">
        <f>FACILITIES!A104</f>
        <v>F103</v>
      </c>
      <c r="B412" s="48" t="str">
        <f>FACILITIES!B104</f>
        <v>Công ty Hữu Hạn Xi Măng Luks</v>
      </c>
      <c r="C412" s="48" t="str">
        <f>FACILITIES!C104</f>
        <v/>
      </c>
      <c r="D412" s="49">
        <v>2024.0</v>
      </c>
      <c r="E412" s="50"/>
      <c r="F412" s="51" t="str">
        <f t="shared" si="1"/>
        <v/>
      </c>
      <c r="G412" s="52"/>
      <c r="H412" s="51" t="s">
        <v>78</v>
      </c>
      <c r="I412" s="53"/>
      <c r="J412" s="53"/>
      <c r="K412" s="51" t="str">
        <f t="shared" si="2"/>
        <v>Pending</v>
      </c>
    </row>
    <row r="413" ht="15.75" customHeight="1">
      <c r="A413" s="48" t="str">
        <f>FACILITIES!A104</f>
        <v>F103</v>
      </c>
      <c r="B413" s="48" t="str">
        <f>FACILITIES!B104</f>
        <v>Công ty Hữu Hạn Xi Măng Luks</v>
      </c>
      <c r="C413" s="48" t="str">
        <f>FACILITIES!C104</f>
        <v/>
      </c>
      <c r="D413" s="49">
        <v>2025.0</v>
      </c>
      <c r="E413" s="50"/>
      <c r="F413" s="51" t="str">
        <f t="shared" si="1"/>
        <v/>
      </c>
      <c r="G413" s="52"/>
      <c r="H413" s="51" t="s">
        <v>78</v>
      </c>
      <c r="I413" s="53"/>
      <c r="J413" s="53"/>
      <c r="K413" s="51" t="str">
        <f t="shared" si="2"/>
        <v>Pending</v>
      </c>
    </row>
    <row r="414" ht="15.75" customHeight="1">
      <c r="A414" s="48" t="str">
        <f>FACILITIES!A105</f>
        <v>F104</v>
      </c>
      <c r="B414" s="48" t="str">
        <f>FACILITIES!B105</f>
        <v>Công ty cổ phần Xi măng Đồng Lâm</v>
      </c>
      <c r="C414" s="48" t="str">
        <f>FACILITIES!C105</f>
        <v/>
      </c>
      <c r="D414" s="49">
        <v>2022.0</v>
      </c>
      <c r="E414" s="50"/>
      <c r="F414" s="51" t="str">
        <f t="shared" si="1"/>
        <v/>
      </c>
      <c r="G414" s="52"/>
      <c r="H414" s="51" t="s">
        <v>78</v>
      </c>
      <c r="I414" s="53"/>
      <c r="J414" s="53"/>
      <c r="K414" s="51" t="str">
        <f t="shared" si="2"/>
        <v>Pending</v>
      </c>
    </row>
    <row r="415" ht="15.75" customHeight="1">
      <c r="A415" s="48" t="str">
        <f>FACILITIES!A105</f>
        <v>F104</v>
      </c>
      <c r="B415" s="48" t="str">
        <f>FACILITIES!B105</f>
        <v>Công ty cổ phần Xi măng Đồng Lâm</v>
      </c>
      <c r="C415" s="48" t="str">
        <f>FACILITIES!C105</f>
        <v/>
      </c>
      <c r="D415" s="49">
        <v>2023.0</v>
      </c>
      <c r="E415" s="50"/>
      <c r="F415" s="51" t="str">
        <f t="shared" si="1"/>
        <v/>
      </c>
      <c r="G415" s="52"/>
      <c r="H415" s="51" t="s">
        <v>78</v>
      </c>
      <c r="I415" s="53"/>
      <c r="J415" s="53"/>
      <c r="K415" s="51" t="str">
        <f t="shared" si="2"/>
        <v>Pending</v>
      </c>
    </row>
    <row r="416" ht="15.75" customHeight="1">
      <c r="A416" s="48" t="str">
        <f>FACILITIES!A105</f>
        <v>F104</v>
      </c>
      <c r="B416" s="48" t="str">
        <f>FACILITIES!B105</f>
        <v>Công ty cổ phần Xi măng Đồng Lâm</v>
      </c>
      <c r="C416" s="48" t="str">
        <f>FACILITIES!C105</f>
        <v/>
      </c>
      <c r="D416" s="49">
        <v>2024.0</v>
      </c>
      <c r="E416" s="50"/>
      <c r="F416" s="51" t="str">
        <f t="shared" si="1"/>
        <v/>
      </c>
      <c r="G416" s="52"/>
      <c r="H416" s="51" t="s">
        <v>78</v>
      </c>
      <c r="I416" s="53"/>
      <c r="J416" s="53"/>
      <c r="K416" s="51" t="str">
        <f t="shared" si="2"/>
        <v>Pending</v>
      </c>
    </row>
    <row r="417" ht="15.75" customHeight="1">
      <c r="A417" s="48" t="str">
        <f>FACILITIES!A105</f>
        <v>F104</v>
      </c>
      <c r="B417" s="48" t="str">
        <f>FACILITIES!B105</f>
        <v>Công ty cổ phần Xi măng Đồng Lâm</v>
      </c>
      <c r="C417" s="48" t="str">
        <f>FACILITIES!C105</f>
        <v/>
      </c>
      <c r="D417" s="49">
        <v>2025.0</v>
      </c>
      <c r="E417" s="50"/>
      <c r="F417" s="51" t="str">
        <f t="shared" si="1"/>
        <v/>
      </c>
      <c r="G417" s="52"/>
      <c r="H417" s="51" t="s">
        <v>78</v>
      </c>
      <c r="I417" s="53"/>
      <c r="J417" s="53"/>
      <c r="K417" s="51" t="str">
        <f t="shared" si="2"/>
        <v>Pending</v>
      </c>
    </row>
    <row r="418" ht="15.75" customHeight="1">
      <c r="A418" s="48" t="str">
        <f>FACILITIES!A106</f>
        <v>F105</v>
      </c>
      <c r="B418" s="48" t="str">
        <f>FACILITIES!B106</f>
        <v>Công ty TNHH MTV Xi măng Xuân Thành Quảng Nam</v>
      </c>
      <c r="C418" s="48" t="str">
        <f>FACILITIES!C106</f>
        <v/>
      </c>
      <c r="D418" s="49">
        <v>2022.0</v>
      </c>
      <c r="E418" s="50"/>
      <c r="F418" s="51" t="str">
        <f t="shared" si="1"/>
        <v/>
      </c>
      <c r="G418" s="52"/>
      <c r="H418" s="51" t="s">
        <v>78</v>
      </c>
      <c r="I418" s="53"/>
      <c r="J418" s="53"/>
      <c r="K418" s="51" t="str">
        <f t="shared" si="2"/>
        <v>Pending</v>
      </c>
    </row>
    <row r="419" ht="15.75" customHeight="1">
      <c r="A419" s="48" t="str">
        <f>FACILITIES!A106</f>
        <v>F105</v>
      </c>
      <c r="B419" s="48" t="str">
        <f>FACILITIES!B106</f>
        <v>Công ty TNHH MTV Xi măng Xuân Thành Quảng Nam</v>
      </c>
      <c r="C419" s="48" t="str">
        <f>FACILITIES!C106</f>
        <v/>
      </c>
      <c r="D419" s="49">
        <v>2023.0</v>
      </c>
      <c r="E419" s="50"/>
      <c r="F419" s="51" t="str">
        <f t="shared" si="1"/>
        <v/>
      </c>
      <c r="G419" s="52"/>
      <c r="H419" s="51" t="s">
        <v>78</v>
      </c>
      <c r="I419" s="53"/>
      <c r="J419" s="53"/>
      <c r="K419" s="51" t="str">
        <f t="shared" si="2"/>
        <v>Pending</v>
      </c>
    </row>
    <row r="420" ht="15.75" customHeight="1">
      <c r="A420" s="48" t="str">
        <f>FACILITIES!A106</f>
        <v>F105</v>
      </c>
      <c r="B420" s="48" t="str">
        <f>FACILITIES!B106</f>
        <v>Công ty TNHH MTV Xi măng Xuân Thành Quảng Nam</v>
      </c>
      <c r="C420" s="48" t="str">
        <f>FACILITIES!C106</f>
        <v/>
      </c>
      <c r="D420" s="49">
        <v>2024.0</v>
      </c>
      <c r="E420" s="50"/>
      <c r="F420" s="51" t="str">
        <f t="shared" si="1"/>
        <v/>
      </c>
      <c r="G420" s="52"/>
      <c r="H420" s="51" t="s">
        <v>78</v>
      </c>
      <c r="I420" s="53"/>
      <c r="J420" s="53"/>
      <c r="K420" s="51" t="str">
        <f t="shared" si="2"/>
        <v>Pending</v>
      </c>
    </row>
    <row r="421" ht="15.75" customHeight="1">
      <c r="A421" s="48" t="str">
        <f>FACILITIES!A106</f>
        <v>F105</v>
      </c>
      <c r="B421" s="48" t="str">
        <f>FACILITIES!B106</f>
        <v>Công ty TNHH MTV Xi măng Xuân Thành Quảng Nam</v>
      </c>
      <c r="C421" s="48" t="str">
        <f>FACILITIES!C106</f>
        <v/>
      </c>
      <c r="D421" s="49">
        <v>2025.0</v>
      </c>
      <c r="E421" s="50"/>
      <c r="F421" s="51" t="str">
        <f t="shared" si="1"/>
        <v/>
      </c>
      <c r="G421" s="52"/>
      <c r="H421" s="51" t="s">
        <v>78</v>
      </c>
      <c r="I421" s="53"/>
      <c r="J421" s="53"/>
      <c r="K421" s="51" t="str">
        <f t="shared" si="2"/>
        <v>Pending</v>
      </c>
    </row>
    <row r="422" ht="15.75" customHeight="1">
      <c r="A422" s="48" t="str">
        <f>FACILITIES!A107</f>
        <v>F106</v>
      </c>
      <c r="B422" s="48" t="str">
        <f>FACILITIES!B107</f>
        <v>Nhà máy Xi măng Bình Phước, Công ty cổ phần Xi măng Vicem Hà Tiên 1</v>
      </c>
      <c r="C422" s="48" t="str">
        <f>FACILITIES!C107</f>
        <v/>
      </c>
      <c r="D422" s="49">
        <v>2022.0</v>
      </c>
      <c r="E422" s="50"/>
      <c r="F422" s="51" t="str">
        <f t="shared" si="1"/>
        <v/>
      </c>
      <c r="G422" s="52"/>
      <c r="H422" s="51" t="s">
        <v>78</v>
      </c>
      <c r="I422" s="53"/>
      <c r="J422" s="53"/>
      <c r="K422" s="51" t="str">
        <f t="shared" si="2"/>
        <v>Pending</v>
      </c>
    </row>
    <row r="423" ht="15.75" customHeight="1">
      <c r="A423" s="48" t="str">
        <f>FACILITIES!A107</f>
        <v>F106</v>
      </c>
      <c r="B423" s="48" t="str">
        <f>FACILITIES!B107</f>
        <v>Nhà máy Xi măng Bình Phước, Công ty cổ phần Xi măng Vicem Hà Tiên 1</v>
      </c>
      <c r="C423" s="48" t="str">
        <f>FACILITIES!C107</f>
        <v/>
      </c>
      <c r="D423" s="49">
        <v>2023.0</v>
      </c>
      <c r="E423" s="50"/>
      <c r="F423" s="51" t="str">
        <f t="shared" si="1"/>
        <v/>
      </c>
      <c r="G423" s="52"/>
      <c r="H423" s="51" t="s">
        <v>78</v>
      </c>
      <c r="I423" s="53"/>
      <c r="J423" s="53"/>
      <c r="K423" s="51" t="str">
        <f t="shared" si="2"/>
        <v>Pending</v>
      </c>
    </row>
    <row r="424" ht="15.75" customHeight="1">
      <c r="A424" s="48" t="str">
        <f>FACILITIES!A107</f>
        <v>F106</v>
      </c>
      <c r="B424" s="48" t="str">
        <f>FACILITIES!B107</f>
        <v>Nhà máy Xi măng Bình Phước, Công ty cổ phần Xi măng Vicem Hà Tiên 1</v>
      </c>
      <c r="C424" s="48" t="str">
        <f>FACILITIES!C107</f>
        <v/>
      </c>
      <c r="D424" s="49">
        <v>2024.0</v>
      </c>
      <c r="E424" s="50"/>
      <c r="F424" s="51" t="str">
        <f t="shared" si="1"/>
        <v/>
      </c>
      <c r="G424" s="52"/>
      <c r="H424" s="51" t="s">
        <v>78</v>
      </c>
      <c r="I424" s="53"/>
      <c r="J424" s="53"/>
      <c r="K424" s="51" t="str">
        <f t="shared" si="2"/>
        <v>Pending</v>
      </c>
    </row>
    <row r="425" ht="15.75" customHeight="1">
      <c r="A425" s="48" t="str">
        <f>FACILITIES!A107</f>
        <v>F106</v>
      </c>
      <c r="B425" s="48" t="str">
        <f>FACILITIES!B107</f>
        <v>Nhà máy Xi măng Bình Phước, Công ty cổ phần Xi măng Vicem Hà Tiên 1</v>
      </c>
      <c r="C425" s="48" t="str">
        <f>FACILITIES!C107</f>
        <v/>
      </c>
      <c r="D425" s="49">
        <v>2025.0</v>
      </c>
      <c r="E425" s="50"/>
      <c r="F425" s="51" t="str">
        <f t="shared" si="1"/>
        <v/>
      </c>
      <c r="G425" s="52"/>
      <c r="H425" s="51" t="s">
        <v>78</v>
      </c>
      <c r="I425" s="53"/>
      <c r="J425" s="53"/>
      <c r="K425" s="51" t="str">
        <f t="shared" si="2"/>
        <v>Pending</v>
      </c>
    </row>
    <row r="426" ht="15.75" customHeight="1">
      <c r="A426" s="48" t="str">
        <f>FACILITIES!A108</f>
        <v>F107</v>
      </c>
      <c r="B426" s="48" t="str">
        <f>FACILITIES!B108</f>
        <v>Nhà máy Xi măng Tây Ninh, Công ty cổ phần xi măng FICO Tây Ninh - Tổng Công ty vật liệu xây dựng số 1</v>
      </c>
      <c r="C426" s="48" t="str">
        <f>FACILITIES!C108</f>
        <v/>
      </c>
      <c r="D426" s="49">
        <v>2022.0</v>
      </c>
      <c r="E426" s="50"/>
      <c r="F426" s="51" t="str">
        <f t="shared" si="1"/>
        <v/>
      </c>
      <c r="G426" s="52"/>
      <c r="H426" s="51" t="s">
        <v>78</v>
      </c>
      <c r="I426" s="53"/>
      <c r="J426" s="53"/>
      <c r="K426" s="51" t="str">
        <f t="shared" si="2"/>
        <v>Pending</v>
      </c>
    </row>
    <row r="427" ht="15.75" customHeight="1">
      <c r="A427" s="48" t="str">
        <f>FACILITIES!A108</f>
        <v>F107</v>
      </c>
      <c r="B427" s="48" t="str">
        <f>FACILITIES!B108</f>
        <v>Nhà máy Xi măng Tây Ninh, Công ty cổ phần xi măng FICO Tây Ninh - Tổng Công ty vật liệu xây dựng số 1</v>
      </c>
      <c r="C427" s="48" t="str">
        <f>FACILITIES!C108</f>
        <v/>
      </c>
      <c r="D427" s="49">
        <v>2023.0</v>
      </c>
      <c r="E427" s="50"/>
      <c r="F427" s="51" t="str">
        <f t="shared" si="1"/>
        <v/>
      </c>
      <c r="G427" s="52"/>
      <c r="H427" s="51" t="s">
        <v>78</v>
      </c>
      <c r="I427" s="53"/>
      <c r="J427" s="53"/>
      <c r="K427" s="51" t="str">
        <f t="shared" si="2"/>
        <v>Pending</v>
      </c>
    </row>
    <row r="428" ht="15.75" customHeight="1">
      <c r="A428" s="48" t="str">
        <f>FACILITIES!A108</f>
        <v>F107</v>
      </c>
      <c r="B428" s="48" t="str">
        <f>FACILITIES!B108</f>
        <v>Nhà máy Xi măng Tây Ninh, Công ty cổ phần xi măng FICO Tây Ninh - Tổng Công ty vật liệu xây dựng số 1</v>
      </c>
      <c r="C428" s="48" t="str">
        <f>FACILITIES!C108</f>
        <v/>
      </c>
      <c r="D428" s="49">
        <v>2024.0</v>
      </c>
      <c r="E428" s="50"/>
      <c r="F428" s="51" t="str">
        <f t="shared" si="1"/>
        <v/>
      </c>
      <c r="G428" s="52"/>
      <c r="H428" s="51" t="s">
        <v>78</v>
      </c>
      <c r="I428" s="53"/>
      <c r="J428" s="53"/>
      <c r="K428" s="51" t="str">
        <f t="shared" si="2"/>
        <v>Pending</v>
      </c>
    </row>
    <row r="429" ht="15.75" customHeight="1">
      <c r="A429" s="48" t="str">
        <f>FACILITIES!A108</f>
        <v>F107</v>
      </c>
      <c r="B429" s="48" t="str">
        <f>FACILITIES!B108</f>
        <v>Nhà máy Xi măng Tây Ninh, Công ty cổ phần xi măng FICO Tây Ninh - Tổng Công ty vật liệu xây dựng số 1</v>
      </c>
      <c r="C429" s="48" t="str">
        <f>FACILITIES!C108</f>
        <v/>
      </c>
      <c r="D429" s="49">
        <v>2025.0</v>
      </c>
      <c r="E429" s="50"/>
      <c r="F429" s="51" t="str">
        <f t="shared" si="1"/>
        <v/>
      </c>
      <c r="G429" s="52"/>
      <c r="H429" s="51" t="s">
        <v>78</v>
      </c>
      <c r="I429" s="53"/>
      <c r="J429" s="53"/>
      <c r="K429" s="51" t="str">
        <f t="shared" si="2"/>
        <v>Pending</v>
      </c>
    </row>
    <row r="430" ht="15.75" customHeight="1">
      <c r="A430" s="48" t="str">
        <f>FACILITIES!A109</f>
        <v>F108</v>
      </c>
      <c r="B430" s="48" t="str">
        <f>FACILITIES!B109</f>
        <v>Nhà máy Xi măng Kiên Lương, Công ty cổ phần Xi măng Vicem Hà Tiên 1</v>
      </c>
      <c r="C430" s="48" t="str">
        <f>FACILITIES!C109</f>
        <v/>
      </c>
      <c r="D430" s="49">
        <v>2022.0</v>
      </c>
      <c r="E430" s="50"/>
      <c r="F430" s="51" t="str">
        <f t="shared" si="1"/>
        <v/>
      </c>
      <c r="G430" s="52"/>
      <c r="H430" s="51" t="s">
        <v>78</v>
      </c>
      <c r="I430" s="53"/>
      <c r="J430" s="53"/>
      <c r="K430" s="51" t="str">
        <f t="shared" si="2"/>
        <v>Pending</v>
      </c>
    </row>
    <row r="431" ht="15.75" customHeight="1">
      <c r="A431" s="48" t="str">
        <f>FACILITIES!A109</f>
        <v>F108</v>
      </c>
      <c r="B431" s="48" t="str">
        <f>FACILITIES!B109</f>
        <v>Nhà máy Xi măng Kiên Lương, Công ty cổ phần Xi măng Vicem Hà Tiên 1</v>
      </c>
      <c r="C431" s="48" t="str">
        <f>FACILITIES!C109</f>
        <v/>
      </c>
      <c r="D431" s="49">
        <v>2023.0</v>
      </c>
      <c r="E431" s="50"/>
      <c r="F431" s="51" t="str">
        <f t="shared" si="1"/>
        <v/>
      </c>
      <c r="G431" s="52"/>
      <c r="H431" s="51" t="s">
        <v>78</v>
      </c>
      <c r="I431" s="53"/>
      <c r="J431" s="53"/>
      <c r="K431" s="51" t="str">
        <f t="shared" si="2"/>
        <v>Pending</v>
      </c>
    </row>
    <row r="432" ht="15.75" customHeight="1">
      <c r="A432" s="48" t="str">
        <f>FACILITIES!A109</f>
        <v>F108</v>
      </c>
      <c r="B432" s="48" t="str">
        <f>FACILITIES!B109</f>
        <v>Nhà máy Xi măng Kiên Lương, Công ty cổ phần Xi măng Vicem Hà Tiên 1</v>
      </c>
      <c r="C432" s="48" t="str">
        <f>FACILITIES!C109</f>
        <v/>
      </c>
      <c r="D432" s="49">
        <v>2024.0</v>
      </c>
      <c r="E432" s="50"/>
      <c r="F432" s="51" t="str">
        <f t="shared" si="1"/>
        <v/>
      </c>
      <c r="G432" s="52"/>
      <c r="H432" s="51" t="s">
        <v>78</v>
      </c>
      <c r="I432" s="53"/>
      <c r="J432" s="53"/>
      <c r="K432" s="51" t="str">
        <f t="shared" si="2"/>
        <v>Pending</v>
      </c>
    </row>
    <row r="433" ht="15.75" customHeight="1">
      <c r="A433" s="48" t="str">
        <f>FACILITIES!A109</f>
        <v>F108</v>
      </c>
      <c r="B433" s="48" t="str">
        <f>FACILITIES!B109</f>
        <v>Nhà máy Xi măng Kiên Lương, Công ty cổ phần Xi măng Vicem Hà Tiên 1</v>
      </c>
      <c r="C433" s="48" t="str">
        <f>FACILITIES!C109</f>
        <v/>
      </c>
      <c r="D433" s="49">
        <v>2025.0</v>
      </c>
      <c r="E433" s="50"/>
      <c r="F433" s="51" t="str">
        <f t="shared" si="1"/>
        <v/>
      </c>
      <c r="G433" s="52"/>
      <c r="H433" s="51" t="s">
        <v>78</v>
      </c>
      <c r="I433" s="53"/>
      <c r="J433" s="53"/>
      <c r="K433" s="51" t="str">
        <f t="shared" si="2"/>
        <v>Pending</v>
      </c>
    </row>
    <row r="434" ht="15.75" customHeight="1">
      <c r="A434" s="48" t="str">
        <f>FACILITIES!A110</f>
        <v>F109</v>
      </c>
      <c r="B434" s="48" t="str">
        <f>FACILITIES!B110</f>
        <v>Nhà máy Xi măng INSEE, Công ty TNHH Siam City Cement (Việt Nam)</v>
      </c>
      <c r="C434" s="48" t="str">
        <f>FACILITIES!C110</f>
        <v/>
      </c>
      <c r="D434" s="49">
        <v>2022.0</v>
      </c>
      <c r="E434" s="50"/>
      <c r="F434" s="51" t="str">
        <f t="shared" si="1"/>
        <v/>
      </c>
      <c r="G434" s="52"/>
      <c r="H434" s="51" t="s">
        <v>78</v>
      </c>
      <c r="I434" s="53"/>
      <c r="J434" s="53"/>
      <c r="K434" s="51" t="str">
        <f t="shared" si="2"/>
        <v>Pending</v>
      </c>
    </row>
    <row r="435" ht="15.75" customHeight="1">
      <c r="A435" s="48" t="str">
        <f>FACILITIES!A110</f>
        <v>F109</v>
      </c>
      <c r="B435" s="48" t="str">
        <f>FACILITIES!B110</f>
        <v>Nhà máy Xi măng INSEE, Công ty TNHH Siam City Cement (Việt Nam)</v>
      </c>
      <c r="C435" s="48" t="str">
        <f>FACILITIES!C110</f>
        <v/>
      </c>
      <c r="D435" s="49">
        <v>2023.0</v>
      </c>
      <c r="E435" s="50"/>
      <c r="F435" s="51" t="str">
        <f t="shared" si="1"/>
        <v/>
      </c>
      <c r="G435" s="52"/>
      <c r="H435" s="51" t="s">
        <v>78</v>
      </c>
      <c r="I435" s="53"/>
      <c r="J435" s="53"/>
      <c r="K435" s="51" t="str">
        <f t="shared" si="2"/>
        <v>Pending</v>
      </c>
    </row>
    <row r="436" ht="15.75" customHeight="1">
      <c r="A436" s="48" t="str">
        <f>FACILITIES!A110</f>
        <v>F109</v>
      </c>
      <c r="B436" s="48" t="str">
        <f>FACILITIES!B110</f>
        <v>Nhà máy Xi măng INSEE, Công ty TNHH Siam City Cement (Việt Nam)</v>
      </c>
      <c r="C436" s="48" t="str">
        <f>FACILITIES!C110</f>
        <v/>
      </c>
      <c r="D436" s="49">
        <v>2024.0</v>
      </c>
      <c r="E436" s="50"/>
      <c r="F436" s="51" t="str">
        <f t="shared" si="1"/>
        <v/>
      </c>
      <c r="G436" s="52"/>
      <c r="H436" s="51" t="s">
        <v>78</v>
      </c>
      <c r="I436" s="53"/>
      <c r="J436" s="53"/>
      <c r="K436" s="51" t="str">
        <f t="shared" si="2"/>
        <v>Pending</v>
      </c>
    </row>
    <row r="437" ht="15.75" customHeight="1">
      <c r="A437" s="48" t="str">
        <f>FACILITIES!A110</f>
        <v>F109</v>
      </c>
      <c r="B437" s="48" t="str">
        <f>FACILITIES!B110</f>
        <v>Nhà máy Xi măng INSEE, Công ty TNHH Siam City Cement (Việt Nam)</v>
      </c>
      <c r="C437" s="48" t="str">
        <f>FACILITIES!C110</f>
        <v/>
      </c>
      <c r="D437" s="49">
        <v>2025.0</v>
      </c>
      <c r="E437" s="50"/>
      <c r="F437" s="51" t="str">
        <f t="shared" si="1"/>
        <v/>
      </c>
      <c r="G437" s="52"/>
      <c r="H437" s="51" t="s">
        <v>78</v>
      </c>
      <c r="I437" s="53"/>
      <c r="J437" s="53"/>
      <c r="K437" s="51" t="str">
        <f t="shared" si="2"/>
        <v>Pending</v>
      </c>
    </row>
    <row r="438" ht="15.75" customHeight="1">
      <c r="A438" s="48" t="str">
        <f>FACILITIES!A111</f>
        <v>F110</v>
      </c>
      <c r="B438" s="48" t="str">
        <f>FACILITIES!B111</f>
        <v>Công ty TNHH Duyên Hà, Nhà máy xi măng Duyên Hà</v>
      </c>
      <c r="C438" s="48" t="str">
        <f>FACILITIES!C111</f>
        <v/>
      </c>
      <c r="D438" s="49">
        <v>2022.0</v>
      </c>
      <c r="E438" s="50"/>
      <c r="F438" s="51" t="str">
        <f t="shared" si="1"/>
        <v/>
      </c>
      <c r="G438" s="52"/>
      <c r="H438" s="51" t="s">
        <v>78</v>
      </c>
      <c r="I438" s="53"/>
      <c r="J438" s="53"/>
      <c r="K438" s="51" t="str">
        <f t="shared" si="2"/>
        <v>Pending</v>
      </c>
    </row>
    <row r="439" ht="15.75" customHeight="1">
      <c r="A439" s="48" t="str">
        <f>FACILITIES!A111</f>
        <v>F110</v>
      </c>
      <c r="B439" s="48" t="str">
        <f>FACILITIES!B111</f>
        <v>Công ty TNHH Duyên Hà, Nhà máy xi măng Duyên Hà</v>
      </c>
      <c r="C439" s="48" t="str">
        <f>FACILITIES!C111</f>
        <v/>
      </c>
      <c r="D439" s="49">
        <v>2023.0</v>
      </c>
      <c r="E439" s="50"/>
      <c r="F439" s="51" t="str">
        <f t="shared" si="1"/>
        <v/>
      </c>
      <c r="G439" s="52"/>
      <c r="H439" s="51" t="s">
        <v>78</v>
      </c>
      <c r="I439" s="53"/>
      <c r="J439" s="53"/>
      <c r="K439" s="51" t="str">
        <f t="shared" si="2"/>
        <v>Pending</v>
      </c>
    </row>
    <row r="440" ht="15.75" customHeight="1">
      <c r="A440" s="48" t="str">
        <f>FACILITIES!A111</f>
        <v>F110</v>
      </c>
      <c r="B440" s="48" t="str">
        <f>FACILITIES!B111</f>
        <v>Công ty TNHH Duyên Hà, Nhà máy xi măng Duyên Hà</v>
      </c>
      <c r="C440" s="48" t="str">
        <f>FACILITIES!C111</f>
        <v/>
      </c>
      <c r="D440" s="49">
        <v>2024.0</v>
      </c>
      <c r="E440" s="50"/>
      <c r="F440" s="51" t="str">
        <f t="shared" si="1"/>
        <v/>
      </c>
      <c r="G440" s="52"/>
      <c r="H440" s="51" t="s">
        <v>78</v>
      </c>
      <c r="I440" s="53"/>
      <c r="J440" s="53"/>
      <c r="K440" s="51" t="str">
        <f t="shared" si="2"/>
        <v>Pending</v>
      </c>
    </row>
    <row r="441" ht="15.75" customHeight="1">
      <c r="A441" s="48" t="str">
        <f>FACILITIES!A111</f>
        <v>F110</v>
      </c>
      <c r="B441" s="48" t="str">
        <f>FACILITIES!B111</f>
        <v>Công ty TNHH Duyên Hà, Nhà máy xi măng Duyên Hà</v>
      </c>
      <c r="C441" s="48" t="str">
        <f>FACILITIES!C111</f>
        <v/>
      </c>
      <c r="D441" s="49">
        <v>2025.0</v>
      </c>
      <c r="E441" s="50"/>
      <c r="F441" s="51" t="str">
        <f t="shared" si="1"/>
        <v/>
      </c>
      <c r="G441" s="52"/>
      <c r="H441" s="51" t="s">
        <v>78</v>
      </c>
      <c r="I441" s="53"/>
      <c r="J441" s="53"/>
      <c r="K441" s="51" t="str">
        <f t="shared" si="2"/>
        <v>Pending</v>
      </c>
    </row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441">
    <cfRule type="expression" dxfId="1" priority="1">
      <formula>K2="Ready"</formula>
    </cfRule>
  </conditionalFormatting>
  <conditionalFormatting sqref="K2:K441">
    <cfRule type="expression" dxfId="11" priority="2">
      <formula>K2="Partial"</formula>
    </cfRule>
  </conditionalFormatting>
  <conditionalFormatting sqref="K2:K441">
    <cfRule type="expression" dxfId="10" priority="3">
      <formula>K2="Entered - source needed"</formula>
    </cfRule>
  </conditionalFormatting>
  <conditionalFormatting sqref="K2:K441">
    <cfRule type="expression" dxfId="12" priority="4">
      <formula>K2="Pending"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2.0"/>
    <col customWidth="1" min="3" max="3" width="52.0"/>
    <col customWidth="1" min="4" max="4" width="30.0"/>
    <col customWidth="1" min="5" max="5" width="24.0"/>
    <col customWidth="1" min="6" max="6" width="15.0"/>
    <col customWidth="1" min="7" max="7" width="28.0"/>
    <col customWidth="1" min="8" max="8" width="48.0"/>
    <col customWidth="1" min="9" max="9" width="36.0"/>
    <col customWidth="1" min="10" max="10" width="46.0"/>
    <col customWidth="1" min="11" max="26" width="8.63"/>
  </cols>
  <sheetData>
    <row r="1">
      <c r="A1" s="2" t="s">
        <v>837</v>
      </c>
      <c r="B1" s="2" t="s">
        <v>838</v>
      </c>
      <c r="C1" s="2" t="s">
        <v>839</v>
      </c>
      <c r="D1" s="2" t="s">
        <v>70</v>
      </c>
      <c r="E1" s="2" t="s">
        <v>841</v>
      </c>
      <c r="F1" s="2" t="s">
        <v>842</v>
      </c>
      <c r="G1" s="2" t="s">
        <v>843</v>
      </c>
      <c r="H1" s="2" t="s">
        <v>71</v>
      </c>
      <c r="I1" s="2" t="s">
        <v>844</v>
      </c>
      <c r="J1" s="2" t="s">
        <v>845</v>
      </c>
    </row>
    <row r="2">
      <c r="A2" s="5" t="s">
        <v>846</v>
      </c>
      <c r="B2" s="5" t="s">
        <v>847</v>
      </c>
      <c r="C2" s="5" t="s">
        <v>848</v>
      </c>
      <c r="D2" s="5" t="s">
        <v>849</v>
      </c>
      <c r="E2" s="5" t="s">
        <v>850</v>
      </c>
      <c r="F2" s="5"/>
      <c r="G2" s="5" t="s">
        <v>851</v>
      </c>
      <c r="H2" s="5" t="s">
        <v>241</v>
      </c>
      <c r="I2" s="5" t="s">
        <v>852</v>
      </c>
      <c r="J2" s="5" t="s">
        <v>853</v>
      </c>
    </row>
    <row r="3">
      <c r="A3" s="5" t="s">
        <v>854</v>
      </c>
      <c r="B3" s="5" t="s">
        <v>855</v>
      </c>
      <c r="C3" s="5" t="s">
        <v>856</v>
      </c>
      <c r="D3" s="5" t="s">
        <v>849</v>
      </c>
      <c r="E3" s="5" t="s">
        <v>857</v>
      </c>
      <c r="F3" s="5"/>
      <c r="G3" s="5" t="s">
        <v>851</v>
      </c>
      <c r="H3" s="5" t="s">
        <v>241</v>
      </c>
      <c r="I3" s="5" t="s">
        <v>858</v>
      </c>
      <c r="J3" s="5" t="s">
        <v>859</v>
      </c>
    </row>
    <row r="4">
      <c r="A4" s="5" t="s">
        <v>860</v>
      </c>
      <c r="B4" s="5" t="s">
        <v>855</v>
      </c>
      <c r="C4" s="5" t="s">
        <v>861</v>
      </c>
      <c r="D4" s="5" t="s">
        <v>849</v>
      </c>
      <c r="E4" s="5" t="s">
        <v>862</v>
      </c>
      <c r="F4" s="5"/>
      <c r="G4" s="5" t="s">
        <v>851</v>
      </c>
      <c r="H4" s="5" t="s">
        <v>241</v>
      </c>
      <c r="I4" s="5" t="s">
        <v>858</v>
      </c>
      <c r="J4" s="5" t="s">
        <v>863</v>
      </c>
    </row>
    <row r="5">
      <c r="A5" s="5" t="s">
        <v>864</v>
      </c>
      <c r="B5" s="5" t="s">
        <v>855</v>
      </c>
      <c r="C5" s="5" t="s">
        <v>865</v>
      </c>
      <c r="D5" s="5" t="s">
        <v>849</v>
      </c>
      <c r="E5" s="5" t="s">
        <v>866</v>
      </c>
      <c r="F5" s="5"/>
      <c r="G5" s="5" t="s">
        <v>851</v>
      </c>
      <c r="H5" s="5" t="s">
        <v>241</v>
      </c>
      <c r="I5" s="5" t="s">
        <v>858</v>
      </c>
      <c r="J5" s="5" t="s">
        <v>863</v>
      </c>
    </row>
    <row r="6">
      <c r="A6" s="5" t="s">
        <v>867</v>
      </c>
      <c r="B6" s="5" t="s">
        <v>855</v>
      </c>
      <c r="C6" s="5" t="s">
        <v>868</v>
      </c>
      <c r="D6" s="5" t="s">
        <v>849</v>
      </c>
      <c r="E6" s="5" t="s">
        <v>869</v>
      </c>
      <c r="F6" s="5"/>
      <c r="G6" s="5" t="s">
        <v>851</v>
      </c>
      <c r="H6" s="5" t="s">
        <v>241</v>
      </c>
      <c r="I6" s="5" t="s">
        <v>858</v>
      </c>
      <c r="J6" s="5" t="s">
        <v>863</v>
      </c>
    </row>
    <row r="7">
      <c r="A7" s="5" t="s">
        <v>871</v>
      </c>
      <c r="B7" s="5" t="s">
        <v>855</v>
      </c>
      <c r="C7" s="5" t="s">
        <v>872</v>
      </c>
      <c r="D7" s="5" t="s">
        <v>849</v>
      </c>
      <c r="E7" s="5" t="s">
        <v>873</v>
      </c>
      <c r="F7" s="5"/>
      <c r="G7" s="5" t="s">
        <v>851</v>
      </c>
      <c r="H7" s="5" t="s">
        <v>241</v>
      </c>
      <c r="I7" s="5" t="s">
        <v>858</v>
      </c>
      <c r="J7" s="5" t="s">
        <v>863</v>
      </c>
    </row>
    <row r="8">
      <c r="A8" s="5" t="s">
        <v>874</v>
      </c>
      <c r="B8" s="5" t="s">
        <v>269</v>
      </c>
      <c r="C8" s="5" t="s">
        <v>875</v>
      </c>
      <c r="D8" s="5" t="s">
        <v>272</v>
      </c>
      <c r="E8" s="5" t="s">
        <v>876</v>
      </c>
      <c r="F8" s="5" t="s">
        <v>877</v>
      </c>
      <c r="G8" s="5" t="s">
        <v>878</v>
      </c>
      <c r="H8" s="5" t="s">
        <v>275</v>
      </c>
      <c r="I8" s="5" t="s">
        <v>879</v>
      </c>
      <c r="J8" s="5" t="s">
        <v>880</v>
      </c>
    </row>
    <row r="9">
      <c r="A9" s="5" t="s">
        <v>881</v>
      </c>
      <c r="B9" s="5" t="s">
        <v>269</v>
      </c>
      <c r="C9" s="5" t="s">
        <v>882</v>
      </c>
      <c r="D9" s="5" t="s">
        <v>280</v>
      </c>
      <c r="E9" s="5" t="s">
        <v>883</v>
      </c>
      <c r="F9" s="5" t="s">
        <v>884</v>
      </c>
      <c r="G9" s="5" t="s">
        <v>885</v>
      </c>
      <c r="H9" s="5" t="s">
        <v>283</v>
      </c>
      <c r="I9" s="5" t="s">
        <v>879</v>
      </c>
      <c r="J9" s="5" t="s">
        <v>886</v>
      </c>
    </row>
    <row r="10">
      <c r="A10" s="5" t="s">
        <v>887</v>
      </c>
      <c r="B10" s="5" t="s">
        <v>888</v>
      </c>
      <c r="C10" s="5" t="s">
        <v>889</v>
      </c>
      <c r="D10" s="5" t="s">
        <v>849</v>
      </c>
      <c r="E10" s="5" t="s">
        <v>890</v>
      </c>
      <c r="F10" s="5"/>
      <c r="G10" s="5" t="s">
        <v>851</v>
      </c>
      <c r="H10" s="5" t="s">
        <v>241</v>
      </c>
      <c r="I10" s="5" t="s">
        <v>891</v>
      </c>
      <c r="J10" s="5" t="s">
        <v>892</v>
      </c>
    </row>
    <row r="11">
      <c r="A11" s="5" t="s">
        <v>893</v>
      </c>
      <c r="B11" s="5" t="s">
        <v>894</v>
      </c>
      <c r="C11" s="5" t="s">
        <v>895</v>
      </c>
      <c r="D11" s="5" t="s">
        <v>896</v>
      </c>
      <c r="E11" s="5" t="s">
        <v>897</v>
      </c>
      <c r="F11" s="5" t="s">
        <v>898</v>
      </c>
      <c r="G11" s="5" t="s">
        <v>851</v>
      </c>
      <c r="H11" s="5" t="s">
        <v>899</v>
      </c>
      <c r="I11" s="5" t="s">
        <v>900</v>
      </c>
      <c r="J11" s="5" t="s">
        <v>901</v>
      </c>
    </row>
    <row r="12">
      <c r="A12" s="5" t="s">
        <v>903</v>
      </c>
      <c r="B12" s="5" t="s">
        <v>904</v>
      </c>
      <c r="C12" s="5" t="s">
        <v>905</v>
      </c>
      <c r="D12" s="5" t="s">
        <v>117</v>
      </c>
      <c r="E12" s="5" t="s">
        <v>906</v>
      </c>
      <c r="F12" s="5" t="s">
        <v>907</v>
      </c>
      <c r="G12" s="5" t="s">
        <v>851</v>
      </c>
      <c r="H12" s="5" t="s">
        <v>293</v>
      </c>
      <c r="I12" s="5" t="s">
        <v>908</v>
      </c>
      <c r="J12" s="5" t="s">
        <v>909</v>
      </c>
    </row>
    <row r="13">
      <c r="A13" s="5" t="s">
        <v>910</v>
      </c>
      <c r="B13" s="5" t="s">
        <v>911</v>
      </c>
      <c r="C13" s="5" t="s">
        <v>912</v>
      </c>
      <c r="D13" s="5" t="s">
        <v>913</v>
      </c>
      <c r="E13" s="5" t="s">
        <v>914</v>
      </c>
      <c r="F13" s="5"/>
      <c r="G13" s="5" t="s">
        <v>915</v>
      </c>
      <c r="H13" s="5" t="s">
        <v>59</v>
      </c>
      <c r="I13" s="5" t="s">
        <v>916</v>
      </c>
      <c r="J13" s="5" t="s">
        <v>917</v>
      </c>
    </row>
    <row r="14">
      <c r="A14" s="5" t="s">
        <v>918</v>
      </c>
      <c r="B14" s="5" t="s">
        <v>919</v>
      </c>
      <c r="C14" s="5" t="s">
        <v>920</v>
      </c>
      <c r="D14" s="5" t="s">
        <v>849</v>
      </c>
      <c r="E14" s="5" t="s">
        <v>921</v>
      </c>
      <c r="F14" s="5"/>
      <c r="G14" s="5" t="s">
        <v>851</v>
      </c>
      <c r="H14" s="5" t="s">
        <v>241</v>
      </c>
      <c r="I14" s="5" t="s">
        <v>922</v>
      </c>
      <c r="J14" s="5" t="s">
        <v>923</v>
      </c>
    </row>
    <row r="15">
      <c r="A15" s="5" t="s">
        <v>924</v>
      </c>
      <c r="B15" s="5" t="s">
        <v>925</v>
      </c>
      <c r="C15" s="5" t="s">
        <v>926</v>
      </c>
      <c r="D15" s="5" t="s">
        <v>849</v>
      </c>
      <c r="E15" s="5" t="s">
        <v>927</v>
      </c>
      <c r="F15" s="5"/>
      <c r="G15" s="5" t="s">
        <v>851</v>
      </c>
      <c r="H15" s="5" t="s">
        <v>241</v>
      </c>
      <c r="I15" s="5" t="s">
        <v>928</v>
      </c>
      <c r="J15" s="5" t="s">
        <v>929</v>
      </c>
    </row>
    <row r="16">
      <c r="A16" s="5" t="s">
        <v>930</v>
      </c>
      <c r="B16" s="5" t="s">
        <v>931</v>
      </c>
      <c r="C16" s="5" t="s">
        <v>932</v>
      </c>
      <c r="D16" s="5" t="s">
        <v>849</v>
      </c>
      <c r="E16" s="5" t="s">
        <v>933</v>
      </c>
      <c r="F16" s="5"/>
      <c r="G16" s="5" t="s">
        <v>851</v>
      </c>
      <c r="H16" s="5" t="s">
        <v>241</v>
      </c>
      <c r="I16" s="5" t="s">
        <v>934</v>
      </c>
      <c r="J16" s="5" t="s">
        <v>935</v>
      </c>
    </row>
    <row r="17">
      <c r="A17" s="5" t="s">
        <v>936</v>
      </c>
      <c r="B17" s="5" t="s">
        <v>937</v>
      </c>
      <c r="C17" s="5" t="s">
        <v>938</v>
      </c>
      <c r="D17" s="5" t="s">
        <v>849</v>
      </c>
      <c r="E17" s="5" t="s">
        <v>939</v>
      </c>
      <c r="F17" s="5"/>
      <c r="G17" s="5" t="s">
        <v>851</v>
      </c>
      <c r="H17" s="5" t="s">
        <v>241</v>
      </c>
      <c r="I17" s="5" t="s">
        <v>934</v>
      </c>
      <c r="J17" s="5" t="s">
        <v>940</v>
      </c>
    </row>
    <row r="18">
      <c r="A18" s="5" t="s">
        <v>941</v>
      </c>
      <c r="B18" s="5" t="s">
        <v>942</v>
      </c>
      <c r="C18" s="5" t="s">
        <v>943</v>
      </c>
      <c r="D18" s="5" t="s">
        <v>944</v>
      </c>
      <c r="E18" s="5" t="s">
        <v>945</v>
      </c>
      <c r="F18" s="5" t="s">
        <v>946</v>
      </c>
      <c r="G18" s="5" t="s">
        <v>851</v>
      </c>
      <c r="H18" s="5" t="s">
        <v>947</v>
      </c>
      <c r="I18" s="5" t="s">
        <v>948</v>
      </c>
      <c r="J18" s="5" t="s">
        <v>949</v>
      </c>
    </row>
    <row r="19">
      <c r="A19" s="5" t="s">
        <v>950</v>
      </c>
      <c r="B19" s="5" t="s">
        <v>951</v>
      </c>
      <c r="C19" s="5" t="s">
        <v>952</v>
      </c>
      <c r="D19" s="5" t="s">
        <v>953</v>
      </c>
      <c r="E19" s="5" t="s">
        <v>945</v>
      </c>
      <c r="F19" s="5" t="s">
        <v>954</v>
      </c>
      <c r="G19" s="5" t="s">
        <v>851</v>
      </c>
      <c r="H19" s="5" t="s">
        <v>955</v>
      </c>
      <c r="I19" s="5" t="s">
        <v>956</v>
      </c>
      <c r="J19" s="5" t="s">
        <v>949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40.0"/>
    <col customWidth="1" min="3" max="5" width="18.0"/>
    <col customWidth="1" min="6" max="8" width="20.0"/>
    <col customWidth="1" min="9" max="9" width="18.0"/>
    <col customWidth="1" min="10" max="11" width="16.0"/>
    <col customWidth="1" min="12" max="12" width="24.0"/>
    <col customWidth="1" min="13" max="15" width="18.0"/>
    <col customWidth="1" min="16" max="17" width="20.0"/>
    <col customWidth="1" min="18" max="18" width="18.0"/>
    <col customWidth="1" min="19" max="19" width="30.0"/>
    <col customWidth="1" min="20" max="20" width="18.0"/>
    <col customWidth="1" min="21" max="21" width="48.0"/>
    <col customWidth="1" min="22" max="26" width="8.63"/>
  </cols>
  <sheetData>
    <row r="1">
      <c r="A1" s="2" t="s">
        <v>1</v>
      </c>
      <c r="B1" s="2" t="s">
        <v>6</v>
      </c>
      <c r="C1" s="2" t="s">
        <v>7</v>
      </c>
      <c r="D1" s="2" t="s">
        <v>959</v>
      </c>
      <c r="E1" s="2" t="s">
        <v>961</v>
      </c>
      <c r="F1" s="2" t="s">
        <v>966</v>
      </c>
      <c r="G1" s="2" t="s">
        <v>967</v>
      </c>
      <c r="H1" s="2" t="s">
        <v>969</v>
      </c>
      <c r="I1" s="2" t="s">
        <v>971</v>
      </c>
      <c r="J1" s="2" t="s">
        <v>972</v>
      </c>
      <c r="K1" s="2" t="s">
        <v>973</v>
      </c>
      <c r="L1" s="2" t="s">
        <v>974</v>
      </c>
      <c r="M1" s="2" t="s">
        <v>975</v>
      </c>
      <c r="N1" s="2" t="s">
        <v>976</v>
      </c>
      <c r="O1" s="2" t="s">
        <v>977</v>
      </c>
      <c r="P1" s="2" t="s">
        <v>978</v>
      </c>
      <c r="Q1" s="2" t="s">
        <v>979</v>
      </c>
      <c r="R1" s="2" t="s">
        <v>980</v>
      </c>
      <c r="S1" s="2" t="s">
        <v>981</v>
      </c>
      <c r="T1" s="2" t="s">
        <v>982</v>
      </c>
      <c r="U1" s="2" t="s">
        <v>336</v>
      </c>
    </row>
    <row r="2">
      <c r="A2" s="5" t="s">
        <v>75</v>
      </c>
      <c r="B2" s="5" t="s">
        <v>77</v>
      </c>
      <c r="C2" s="5" t="s">
        <v>41</v>
      </c>
      <c r="D2" s="42">
        <v>1035566.0</v>
      </c>
      <c r="E2" s="42">
        <v>1134493.0</v>
      </c>
      <c r="F2" s="42">
        <f t="shared" ref="F2:F111" si="1">D2+E2</f>
        <v>2170059</v>
      </c>
      <c r="G2" s="14"/>
      <c r="H2" s="14"/>
      <c r="I2" s="14"/>
      <c r="J2" s="56">
        <f t="shared" ref="J2:J111" si="2">F2*30%</f>
        <v>651017.7</v>
      </c>
      <c r="K2" s="56" t="str">
        <f t="shared" ref="K2:K111" si="3">IF(I2="","",MIN(I2,J2))</f>
        <v/>
      </c>
      <c r="L2" s="14"/>
      <c r="M2" s="14"/>
      <c r="N2" s="56">
        <f t="shared" ref="N2:N111" si="4">F2*15%</f>
        <v>325508.85</v>
      </c>
      <c r="O2" s="56" t="str">
        <f t="shared" ref="O2:O111" si="5">IF(M2="","",MIN(M2,N2))</f>
        <v/>
      </c>
      <c r="P2" s="56" t="str">
        <f t="shared" ref="P2:P111" si="6">IF(COUNT(G2:H2)&lt;2,"",MAX(0,SUM(G2:H2)-IF(K2="",0,K2)))</f>
        <v/>
      </c>
      <c r="Q2" s="56">
        <f t="shared" ref="Q2:Q111" si="7">IF(F2="","",F2+IF(L2="",0,L2)+IF(O2="",0,O2))</f>
        <v>2170059</v>
      </c>
      <c r="R2" s="56" t="str">
        <f t="shared" ref="R2:R111" si="8">IF(OR(P2="",Q2=""),"",P2-Q2)</f>
        <v/>
      </c>
      <c r="S2" s="5" t="str">
        <f t="shared" ref="S2:S111" si="9">IF(COUNT(G2:H2)&lt;2,"MISSING DIRECT EMISSIONS",IF(AND(I2&lt;&gt;"",I2&gt;J2),"INVALID — CREDIT INPUT &gt; 30% CAP",IF(AND(M2&lt;&gt;"",M2&gt;N2),"INVALID — BORROWING &gt; 15% CAP",IF(R2&gt;0,"DEFICIT",IF(R2&lt;0,"SURPLUS","BALANCED")))))</f>
        <v>MISSING DIRECT EMISSIONS</v>
      </c>
      <c r="T2" s="57">
        <v>46752.0</v>
      </c>
      <c r="U2" s="5" t="s">
        <v>241</v>
      </c>
    </row>
    <row r="3">
      <c r="A3" s="5" t="s">
        <v>220</v>
      </c>
      <c r="B3" s="5" t="s">
        <v>125</v>
      </c>
      <c r="C3" s="5" t="s">
        <v>41</v>
      </c>
      <c r="D3" s="42">
        <v>2032458.0</v>
      </c>
      <c r="E3" s="42">
        <v>2226618.0</v>
      </c>
      <c r="F3" s="42">
        <f t="shared" si="1"/>
        <v>4259076</v>
      </c>
      <c r="G3" s="14"/>
      <c r="H3" s="14"/>
      <c r="I3" s="14"/>
      <c r="J3" s="56">
        <f t="shared" si="2"/>
        <v>1277722.8</v>
      </c>
      <c r="K3" s="56" t="str">
        <f t="shared" si="3"/>
        <v/>
      </c>
      <c r="L3" s="14"/>
      <c r="M3" s="14"/>
      <c r="N3" s="56">
        <f t="shared" si="4"/>
        <v>638861.4</v>
      </c>
      <c r="O3" s="56" t="str">
        <f t="shared" si="5"/>
        <v/>
      </c>
      <c r="P3" s="56" t="str">
        <f t="shared" si="6"/>
        <v/>
      </c>
      <c r="Q3" s="56">
        <f t="shared" si="7"/>
        <v>4259076</v>
      </c>
      <c r="R3" s="56" t="str">
        <f t="shared" si="8"/>
        <v/>
      </c>
      <c r="S3" s="5" t="str">
        <f t="shared" si="9"/>
        <v>MISSING DIRECT EMISSIONS</v>
      </c>
      <c r="T3" s="57">
        <v>46752.0</v>
      </c>
      <c r="U3" s="5" t="s">
        <v>241</v>
      </c>
    </row>
    <row r="4">
      <c r="A4" s="5" t="s">
        <v>401</v>
      </c>
      <c r="B4" s="5" t="s">
        <v>129</v>
      </c>
      <c r="C4" s="5" t="s">
        <v>41</v>
      </c>
      <c r="D4" s="42">
        <v>5691098.0</v>
      </c>
      <c r="E4" s="42">
        <v>6234766.0</v>
      </c>
      <c r="F4" s="42">
        <f t="shared" si="1"/>
        <v>11925864</v>
      </c>
      <c r="G4" s="14"/>
      <c r="H4" s="14"/>
      <c r="I4" s="14"/>
      <c r="J4" s="56">
        <f t="shared" si="2"/>
        <v>3577759.2</v>
      </c>
      <c r="K4" s="56" t="str">
        <f t="shared" si="3"/>
        <v/>
      </c>
      <c r="L4" s="14"/>
      <c r="M4" s="14"/>
      <c r="N4" s="56">
        <f t="shared" si="4"/>
        <v>1788879.6</v>
      </c>
      <c r="O4" s="56" t="str">
        <f t="shared" si="5"/>
        <v/>
      </c>
      <c r="P4" s="56" t="str">
        <f t="shared" si="6"/>
        <v/>
      </c>
      <c r="Q4" s="56">
        <f t="shared" si="7"/>
        <v>11925864</v>
      </c>
      <c r="R4" s="56" t="str">
        <f t="shared" si="8"/>
        <v/>
      </c>
      <c r="S4" s="5" t="str">
        <f t="shared" si="9"/>
        <v>MISSING DIRECT EMISSIONS</v>
      </c>
      <c r="T4" s="57">
        <v>46752.0</v>
      </c>
      <c r="U4" s="5" t="s">
        <v>241</v>
      </c>
    </row>
    <row r="5">
      <c r="A5" s="5" t="s">
        <v>623</v>
      </c>
      <c r="B5" s="5" t="s">
        <v>131</v>
      </c>
      <c r="C5" s="5" t="s">
        <v>41</v>
      </c>
      <c r="D5" s="42">
        <v>1.1097421E7</v>
      </c>
      <c r="E5" s="42">
        <v>1.2157553E7</v>
      </c>
      <c r="F5" s="42">
        <f t="shared" si="1"/>
        <v>23254974</v>
      </c>
      <c r="G5" s="14"/>
      <c r="H5" s="14"/>
      <c r="I5" s="14"/>
      <c r="J5" s="56">
        <f t="shared" si="2"/>
        <v>6976492.2</v>
      </c>
      <c r="K5" s="56" t="str">
        <f t="shared" si="3"/>
        <v/>
      </c>
      <c r="L5" s="14"/>
      <c r="M5" s="14"/>
      <c r="N5" s="56">
        <f t="shared" si="4"/>
        <v>3488246.1</v>
      </c>
      <c r="O5" s="56" t="str">
        <f t="shared" si="5"/>
        <v/>
      </c>
      <c r="P5" s="56" t="str">
        <f t="shared" si="6"/>
        <v/>
      </c>
      <c r="Q5" s="56">
        <f t="shared" si="7"/>
        <v>23254974</v>
      </c>
      <c r="R5" s="56" t="str">
        <f t="shared" si="8"/>
        <v/>
      </c>
      <c r="S5" s="5" t="str">
        <f t="shared" si="9"/>
        <v>MISSING DIRECT EMISSIONS</v>
      </c>
      <c r="T5" s="57">
        <v>46752.0</v>
      </c>
      <c r="U5" s="5" t="s">
        <v>241</v>
      </c>
    </row>
    <row r="6">
      <c r="A6" s="5" t="s">
        <v>759</v>
      </c>
      <c r="B6" s="5" t="s">
        <v>133</v>
      </c>
      <c r="C6" s="5" t="s">
        <v>41</v>
      </c>
      <c r="D6" s="42">
        <v>3585092.0</v>
      </c>
      <c r="E6" s="42">
        <v>3927575.0</v>
      </c>
      <c r="F6" s="42">
        <f t="shared" si="1"/>
        <v>7512667</v>
      </c>
      <c r="G6" s="14"/>
      <c r="H6" s="14"/>
      <c r="I6" s="14"/>
      <c r="J6" s="56">
        <f t="shared" si="2"/>
        <v>2253800.1</v>
      </c>
      <c r="K6" s="56" t="str">
        <f t="shared" si="3"/>
        <v/>
      </c>
      <c r="L6" s="14"/>
      <c r="M6" s="14"/>
      <c r="N6" s="56">
        <f t="shared" si="4"/>
        <v>1126900.05</v>
      </c>
      <c r="O6" s="56" t="str">
        <f t="shared" si="5"/>
        <v/>
      </c>
      <c r="P6" s="56" t="str">
        <f t="shared" si="6"/>
        <v/>
      </c>
      <c r="Q6" s="56">
        <f t="shared" si="7"/>
        <v>7512667</v>
      </c>
      <c r="R6" s="56" t="str">
        <f t="shared" si="8"/>
        <v/>
      </c>
      <c r="S6" s="5" t="str">
        <f t="shared" si="9"/>
        <v>MISSING DIRECT EMISSIONS</v>
      </c>
      <c r="T6" s="57">
        <v>46752.0</v>
      </c>
      <c r="U6" s="5" t="s">
        <v>241</v>
      </c>
    </row>
    <row r="7">
      <c r="A7" s="5" t="s">
        <v>760</v>
      </c>
      <c r="B7" s="5" t="s">
        <v>135</v>
      </c>
      <c r="C7" s="5" t="s">
        <v>41</v>
      </c>
      <c r="D7" s="42">
        <v>1.2190431E7</v>
      </c>
      <c r="E7" s="42">
        <v>1.3354978E7</v>
      </c>
      <c r="F7" s="42">
        <f t="shared" si="1"/>
        <v>25545409</v>
      </c>
      <c r="G7" s="14"/>
      <c r="H7" s="14"/>
      <c r="I7" s="14"/>
      <c r="J7" s="56">
        <f t="shared" si="2"/>
        <v>7663622.7</v>
      </c>
      <c r="K7" s="56" t="str">
        <f t="shared" si="3"/>
        <v/>
      </c>
      <c r="L7" s="14"/>
      <c r="M7" s="14"/>
      <c r="N7" s="56">
        <f t="shared" si="4"/>
        <v>3831811.35</v>
      </c>
      <c r="O7" s="56" t="str">
        <f t="shared" si="5"/>
        <v/>
      </c>
      <c r="P7" s="56" t="str">
        <f t="shared" si="6"/>
        <v/>
      </c>
      <c r="Q7" s="56">
        <f t="shared" si="7"/>
        <v>25545409</v>
      </c>
      <c r="R7" s="56" t="str">
        <f t="shared" si="8"/>
        <v/>
      </c>
      <c r="S7" s="5" t="str">
        <f t="shared" si="9"/>
        <v>MISSING DIRECT EMISSIONS</v>
      </c>
      <c r="T7" s="57">
        <v>46752.0</v>
      </c>
      <c r="U7" s="5" t="s">
        <v>241</v>
      </c>
    </row>
    <row r="8">
      <c r="A8" s="5" t="s">
        <v>822</v>
      </c>
      <c r="B8" s="5" t="s">
        <v>137</v>
      </c>
      <c r="C8" s="5" t="s">
        <v>41</v>
      </c>
      <c r="D8" s="42">
        <v>4436759.0</v>
      </c>
      <c r="E8" s="42">
        <v>4860601.0</v>
      </c>
      <c r="F8" s="42">
        <f t="shared" si="1"/>
        <v>9297360</v>
      </c>
      <c r="G8" s="14"/>
      <c r="H8" s="14"/>
      <c r="I8" s="14"/>
      <c r="J8" s="56">
        <f t="shared" si="2"/>
        <v>2789208</v>
      </c>
      <c r="K8" s="56" t="str">
        <f t="shared" si="3"/>
        <v/>
      </c>
      <c r="L8" s="14"/>
      <c r="M8" s="14"/>
      <c r="N8" s="56">
        <f t="shared" si="4"/>
        <v>1394604</v>
      </c>
      <c r="O8" s="56" t="str">
        <f t="shared" si="5"/>
        <v/>
      </c>
      <c r="P8" s="56" t="str">
        <f t="shared" si="6"/>
        <v/>
      </c>
      <c r="Q8" s="56">
        <f t="shared" si="7"/>
        <v>9297360</v>
      </c>
      <c r="R8" s="56" t="str">
        <f t="shared" si="8"/>
        <v/>
      </c>
      <c r="S8" s="5" t="str">
        <f t="shared" si="9"/>
        <v>MISSING DIRECT EMISSIONS</v>
      </c>
      <c r="T8" s="57">
        <v>46752.0</v>
      </c>
      <c r="U8" s="5" t="s">
        <v>241</v>
      </c>
    </row>
    <row r="9">
      <c r="A9" s="5" t="s">
        <v>832</v>
      </c>
      <c r="B9" s="5" t="s">
        <v>139</v>
      </c>
      <c r="C9" s="5" t="s">
        <v>41</v>
      </c>
      <c r="D9" s="42">
        <v>9556403.0</v>
      </c>
      <c r="E9" s="42">
        <v>1.0469322E7</v>
      </c>
      <c r="F9" s="42">
        <f t="shared" si="1"/>
        <v>20025725</v>
      </c>
      <c r="G9" s="14"/>
      <c r="H9" s="14"/>
      <c r="I9" s="14"/>
      <c r="J9" s="56">
        <f t="shared" si="2"/>
        <v>6007717.5</v>
      </c>
      <c r="K9" s="56" t="str">
        <f t="shared" si="3"/>
        <v/>
      </c>
      <c r="L9" s="14"/>
      <c r="M9" s="14"/>
      <c r="N9" s="56">
        <f t="shared" si="4"/>
        <v>3003858.75</v>
      </c>
      <c r="O9" s="56" t="str">
        <f t="shared" si="5"/>
        <v/>
      </c>
      <c r="P9" s="56" t="str">
        <f t="shared" si="6"/>
        <v/>
      </c>
      <c r="Q9" s="56">
        <f t="shared" si="7"/>
        <v>20025725</v>
      </c>
      <c r="R9" s="56" t="str">
        <f t="shared" si="8"/>
        <v/>
      </c>
      <c r="S9" s="5" t="str">
        <f t="shared" si="9"/>
        <v>MISSING DIRECT EMISSIONS</v>
      </c>
      <c r="T9" s="57">
        <v>46752.0</v>
      </c>
      <c r="U9" s="5" t="s">
        <v>241</v>
      </c>
    </row>
    <row r="10">
      <c r="A10" s="5" t="s">
        <v>870</v>
      </c>
      <c r="B10" s="5" t="s">
        <v>141</v>
      </c>
      <c r="C10" s="5" t="s">
        <v>41</v>
      </c>
      <c r="D10" s="42">
        <v>1.0239469E7</v>
      </c>
      <c r="E10" s="42">
        <v>1.1217642E7</v>
      </c>
      <c r="F10" s="42">
        <f t="shared" si="1"/>
        <v>21457111</v>
      </c>
      <c r="G10" s="14"/>
      <c r="H10" s="14"/>
      <c r="I10" s="14"/>
      <c r="J10" s="56">
        <f t="shared" si="2"/>
        <v>6437133.3</v>
      </c>
      <c r="K10" s="56" t="str">
        <f t="shared" si="3"/>
        <v/>
      </c>
      <c r="L10" s="14"/>
      <c r="M10" s="14"/>
      <c r="N10" s="56">
        <f t="shared" si="4"/>
        <v>3218566.65</v>
      </c>
      <c r="O10" s="56" t="str">
        <f t="shared" si="5"/>
        <v/>
      </c>
      <c r="P10" s="56" t="str">
        <f t="shared" si="6"/>
        <v/>
      </c>
      <c r="Q10" s="56">
        <f t="shared" si="7"/>
        <v>21457111</v>
      </c>
      <c r="R10" s="56" t="str">
        <f t="shared" si="8"/>
        <v/>
      </c>
      <c r="S10" s="5" t="str">
        <f t="shared" si="9"/>
        <v>MISSING DIRECT EMISSIONS</v>
      </c>
      <c r="T10" s="57">
        <v>46752.0</v>
      </c>
      <c r="U10" s="5" t="s">
        <v>241</v>
      </c>
    </row>
    <row r="11">
      <c r="A11" s="5" t="s">
        <v>963</v>
      </c>
      <c r="B11" s="5" t="s">
        <v>143</v>
      </c>
      <c r="C11" s="5" t="s">
        <v>41</v>
      </c>
      <c r="D11" s="42">
        <v>5036163.0</v>
      </c>
      <c r="E11" s="42">
        <v>5517266.0</v>
      </c>
      <c r="F11" s="42">
        <f t="shared" si="1"/>
        <v>10553429</v>
      </c>
      <c r="G11" s="14"/>
      <c r="H11" s="14"/>
      <c r="I11" s="14"/>
      <c r="J11" s="56">
        <f t="shared" si="2"/>
        <v>3166028.7</v>
      </c>
      <c r="K11" s="56" t="str">
        <f t="shared" si="3"/>
        <v/>
      </c>
      <c r="L11" s="14"/>
      <c r="M11" s="14"/>
      <c r="N11" s="56">
        <f t="shared" si="4"/>
        <v>1583014.35</v>
      </c>
      <c r="O11" s="56" t="str">
        <f t="shared" si="5"/>
        <v/>
      </c>
      <c r="P11" s="56" t="str">
        <f t="shared" si="6"/>
        <v/>
      </c>
      <c r="Q11" s="56">
        <f t="shared" si="7"/>
        <v>10553429</v>
      </c>
      <c r="R11" s="56" t="str">
        <f t="shared" si="8"/>
        <v/>
      </c>
      <c r="S11" s="5" t="str">
        <f t="shared" si="9"/>
        <v>MISSING DIRECT EMISSIONS</v>
      </c>
      <c r="T11" s="57">
        <v>46752.0</v>
      </c>
      <c r="U11" s="5" t="s">
        <v>241</v>
      </c>
    </row>
    <row r="12">
      <c r="A12" s="5" t="s">
        <v>983</v>
      </c>
      <c r="B12" s="5" t="s">
        <v>145</v>
      </c>
      <c r="C12" s="5" t="s">
        <v>41</v>
      </c>
      <c r="D12" s="42">
        <v>7214687.0</v>
      </c>
      <c r="E12" s="42">
        <v>7903903.0</v>
      </c>
      <c r="F12" s="42">
        <f t="shared" si="1"/>
        <v>15118590</v>
      </c>
      <c r="G12" s="14"/>
      <c r="H12" s="14"/>
      <c r="I12" s="14"/>
      <c r="J12" s="56">
        <f t="shared" si="2"/>
        <v>4535577</v>
      </c>
      <c r="K12" s="56" t="str">
        <f t="shared" si="3"/>
        <v/>
      </c>
      <c r="L12" s="14"/>
      <c r="M12" s="14"/>
      <c r="N12" s="56">
        <f t="shared" si="4"/>
        <v>2267788.5</v>
      </c>
      <c r="O12" s="56" t="str">
        <f t="shared" si="5"/>
        <v/>
      </c>
      <c r="P12" s="56" t="str">
        <f t="shared" si="6"/>
        <v/>
      </c>
      <c r="Q12" s="56">
        <f t="shared" si="7"/>
        <v>15118590</v>
      </c>
      <c r="R12" s="56" t="str">
        <f t="shared" si="8"/>
        <v/>
      </c>
      <c r="S12" s="5" t="str">
        <f t="shared" si="9"/>
        <v>MISSING DIRECT EMISSIONS</v>
      </c>
      <c r="T12" s="57">
        <v>46752.0</v>
      </c>
      <c r="U12" s="5" t="s">
        <v>241</v>
      </c>
    </row>
    <row r="13">
      <c r="A13" s="5" t="s">
        <v>984</v>
      </c>
      <c r="B13" s="5" t="s">
        <v>147</v>
      </c>
      <c r="C13" s="5" t="s">
        <v>41</v>
      </c>
      <c r="D13" s="42">
        <v>2558365.0</v>
      </c>
      <c r="E13" s="42">
        <v>2802764.0</v>
      </c>
      <c r="F13" s="42">
        <f t="shared" si="1"/>
        <v>5361129</v>
      </c>
      <c r="G13" s="14"/>
      <c r="H13" s="14"/>
      <c r="I13" s="14"/>
      <c r="J13" s="56">
        <f t="shared" si="2"/>
        <v>1608338.7</v>
      </c>
      <c r="K13" s="56" t="str">
        <f t="shared" si="3"/>
        <v/>
      </c>
      <c r="L13" s="14"/>
      <c r="M13" s="14"/>
      <c r="N13" s="56">
        <f t="shared" si="4"/>
        <v>804169.35</v>
      </c>
      <c r="O13" s="56" t="str">
        <f t="shared" si="5"/>
        <v/>
      </c>
      <c r="P13" s="56" t="str">
        <f t="shared" si="6"/>
        <v/>
      </c>
      <c r="Q13" s="56">
        <f t="shared" si="7"/>
        <v>5361129</v>
      </c>
      <c r="R13" s="56" t="str">
        <f t="shared" si="8"/>
        <v/>
      </c>
      <c r="S13" s="5" t="str">
        <f t="shared" si="9"/>
        <v>MISSING DIRECT EMISSIONS</v>
      </c>
      <c r="T13" s="57">
        <v>46752.0</v>
      </c>
      <c r="U13" s="5" t="s">
        <v>241</v>
      </c>
    </row>
    <row r="14">
      <c r="A14" s="5" t="s">
        <v>985</v>
      </c>
      <c r="B14" s="5" t="s">
        <v>149</v>
      </c>
      <c r="C14" s="5" t="s">
        <v>41</v>
      </c>
      <c r="D14" s="42">
        <v>1.1856608E7</v>
      </c>
      <c r="E14" s="42">
        <v>1.2989265E7</v>
      </c>
      <c r="F14" s="42">
        <f t="shared" si="1"/>
        <v>24845873</v>
      </c>
      <c r="G14" s="14"/>
      <c r="H14" s="14"/>
      <c r="I14" s="14"/>
      <c r="J14" s="56">
        <f t="shared" si="2"/>
        <v>7453761.9</v>
      </c>
      <c r="K14" s="56" t="str">
        <f t="shared" si="3"/>
        <v/>
      </c>
      <c r="L14" s="14"/>
      <c r="M14" s="14"/>
      <c r="N14" s="56">
        <f t="shared" si="4"/>
        <v>3726880.95</v>
      </c>
      <c r="O14" s="56" t="str">
        <f t="shared" si="5"/>
        <v/>
      </c>
      <c r="P14" s="56" t="str">
        <f t="shared" si="6"/>
        <v/>
      </c>
      <c r="Q14" s="56">
        <f t="shared" si="7"/>
        <v>24845873</v>
      </c>
      <c r="R14" s="56" t="str">
        <f t="shared" si="8"/>
        <v/>
      </c>
      <c r="S14" s="5" t="str">
        <f t="shared" si="9"/>
        <v>MISSING DIRECT EMISSIONS</v>
      </c>
      <c r="T14" s="57">
        <v>46752.0</v>
      </c>
      <c r="U14" s="5" t="s">
        <v>241</v>
      </c>
    </row>
    <row r="15">
      <c r="A15" s="5" t="s">
        <v>986</v>
      </c>
      <c r="B15" s="5" t="s">
        <v>151</v>
      </c>
      <c r="C15" s="5" t="s">
        <v>41</v>
      </c>
      <c r="D15" s="42">
        <v>1.0530658E7</v>
      </c>
      <c r="E15" s="42">
        <v>1.1536648E7</v>
      </c>
      <c r="F15" s="42">
        <f t="shared" si="1"/>
        <v>22067306</v>
      </c>
      <c r="G15" s="14"/>
      <c r="H15" s="14"/>
      <c r="I15" s="14"/>
      <c r="J15" s="56">
        <f t="shared" si="2"/>
        <v>6620191.8</v>
      </c>
      <c r="K15" s="56" t="str">
        <f t="shared" si="3"/>
        <v/>
      </c>
      <c r="L15" s="14"/>
      <c r="M15" s="14"/>
      <c r="N15" s="56">
        <f t="shared" si="4"/>
        <v>3310095.9</v>
      </c>
      <c r="O15" s="56" t="str">
        <f t="shared" si="5"/>
        <v/>
      </c>
      <c r="P15" s="56" t="str">
        <f t="shared" si="6"/>
        <v/>
      </c>
      <c r="Q15" s="56">
        <f t="shared" si="7"/>
        <v>22067306</v>
      </c>
      <c r="R15" s="56" t="str">
        <f t="shared" si="8"/>
        <v/>
      </c>
      <c r="S15" s="5" t="str">
        <f t="shared" si="9"/>
        <v>MISSING DIRECT EMISSIONS</v>
      </c>
      <c r="T15" s="57">
        <v>46752.0</v>
      </c>
      <c r="U15" s="5" t="s">
        <v>241</v>
      </c>
    </row>
    <row r="16">
      <c r="A16" s="5" t="s">
        <v>987</v>
      </c>
      <c r="B16" s="5" t="s">
        <v>153</v>
      </c>
      <c r="C16" s="5" t="s">
        <v>41</v>
      </c>
      <c r="D16" s="42">
        <v>8528067.0</v>
      </c>
      <c r="E16" s="42">
        <v>9342750.0</v>
      </c>
      <c r="F16" s="42">
        <f t="shared" si="1"/>
        <v>17870817</v>
      </c>
      <c r="G16" s="14"/>
      <c r="H16" s="14"/>
      <c r="I16" s="14"/>
      <c r="J16" s="56">
        <f t="shared" si="2"/>
        <v>5361245.1</v>
      </c>
      <c r="K16" s="56" t="str">
        <f t="shared" si="3"/>
        <v/>
      </c>
      <c r="L16" s="14"/>
      <c r="M16" s="14"/>
      <c r="N16" s="56">
        <f t="shared" si="4"/>
        <v>2680622.55</v>
      </c>
      <c r="O16" s="56" t="str">
        <f t="shared" si="5"/>
        <v/>
      </c>
      <c r="P16" s="56" t="str">
        <f t="shared" si="6"/>
        <v/>
      </c>
      <c r="Q16" s="56">
        <f t="shared" si="7"/>
        <v>17870817</v>
      </c>
      <c r="R16" s="56" t="str">
        <f t="shared" si="8"/>
        <v/>
      </c>
      <c r="S16" s="5" t="str">
        <f t="shared" si="9"/>
        <v>MISSING DIRECT EMISSIONS</v>
      </c>
      <c r="T16" s="57">
        <v>46752.0</v>
      </c>
      <c r="U16" s="5" t="s">
        <v>241</v>
      </c>
    </row>
    <row r="17">
      <c r="A17" s="5" t="s">
        <v>988</v>
      </c>
      <c r="B17" s="5" t="s">
        <v>155</v>
      </c>
      <c r="C17" s="5" t="s">
        <v>41</v>
      </c>
      <c r="D17" s="42">
        <v>21460.0</v>
      </c>
      <c r="E17" s="42">
        <v>23510.0</v>
      </c>
      <c r="F17" s="42">
        <f t="shared" si="1"/>
        <v>44970</v>
      </c>
      <c r="G17" s="14"/>
      <c r="H17" s="14"/>
      <c r="I17" s="14"/>
      <c r="J17" s="56">
        <f t="shared" si="2"/>
        <v>13491</v>
      </c>
      <c r="K17" s="56" t="str">
        <f t="shared" si="3"/>
        <v/>
      </c>
      <c r="L17" s="14"/>
      <c r="M17" s="14"/>
      <c r="N17" s="56">
        <f t="shared" si="4"/>
        <v>6745.5</v>
      </c>
      <c r="O17" s="56" t="str">
        <f t="shared" si="5"/>
        <v/>
      </c>
      <c r="P17" s="56" t="str">
        <f t="shared" si="6"/>
        <v/>
      </c>
      <c r="Q17" s="56">
        <f t="shared" si="7"/>
        <v>44970</v>
      </c>
      <c r="R17" s="56" t="str">
        <f t="shared" si="8"/>
        <v/>
      </c>
      <c r="S17" s="5" t="str">
        <f t="shared" si="9"/>
        <v>MISSING DIRECT EMISSIONS</v>
      </c>
      <c r="T17" s="57">
        <v>46752.0</v>
      </c>
      <c r="U17" s="5" t="s">
        <v>241</v>
      </c>
    </row>
    <row r="18">
      <c r="A18" s="5" t="s">
        <v>989</v>
      </c>
      <c r="B18" s="5" t="s">
        <v>157</v>
      </c>
      <c r="C18" s="5" t="s">
        <v>41</v>
      </c>
      <c r="D18" s="42">
        <v>2519925.0</v>
      </c>
      <c r="E18" s="42">
        <v>2760653.0</v>
      </c>
      <c r="F18" s="42">
        <f t="shared" si="1"/>
        <v>5280578</v>
      </c>
      <c r="G18" s="14"/>
      <c r="H18" s="14"/>
      <c r="I18" s="14"/>
      <c r="J18" s="56">
        <f t="shared" si="2"/>
        <v>1584173.4</v>
      </c>
      <c r="K18" s="56" t="str">
        <f t="shared" si="3"/>
        <v/>
      </c>
      <c r="L18" s="14"/>
      <c r="M18" s="14"/>
      <c r="N18" s="56">
        <f t="shared" si="4"/>
        <v>792086.7</v>
      </c>
      <c r="O18" s="56" t="str">
        <f t="shared" si="5"/>
        <v/>
      </c>
      <c r="P18" s="56" t="str">
        <f t="shared" si="6"/>
        <v/>
      </c>
      <c r="Q18" s="56">
        <f t="shared" si="7"/>
        <v>5280578</v>
      </c>
      <c r="R18" s="56" t="str">
        <f t="shared" si="8"/>
        <v/>
      </c>
      <c r="S18" s="5" t="str">
        <f t="shared" si="9"/>
        <v>MISSING DIRECT EMISSIONS</v>
      </c>
      <c r="T18" s="57">
        <v>46752.0</v>
      </c>
      <c r="U18" s="5" t="s">
        <v>241</v>
      </c>
    </row>
    <row r="19">
      <c r="A19" s="5" t="s">
        <v>990</v>
      </c>
      <c r="B19" s="5" t="s">
        <v>159</v>
      </c>
      <c r="C19" s="5" t="s">
        <v>41</v>
      </c>
      <c r="D19" s="42">
        <v>1079828.0</v>
      </c>
      <c r="E19" s="42">
        <v>1182984.0</v>
      </c>
      <c r="F19" s="42">
        <f t="shared" si="1"/>
        <v>2262812</v>
      </c>
      <c r="G19" s="14"/>
      <c r="H19" s="14"/>
      <c r="I19" s="14"/>
      <c r="J19" s="56">
        <f t="shared" si="2"/>
        <v>678843.6</v>
      </c>
      <c r="K19" s="56" t="str">
        <f t="shared" si="3"/>
        <v/>
      </c>
      <c r="L19" s="14"/>
      <c r="M19" s="14"/>
      <c r="N19" s="56">
        <f t="shared" si="4"/>
        <v>339421.8</v>
      </c>
      <c r="O19" s="56" t="str">
        <f t="shared" si="5"/>
        <v/>
      </c>
      <c r="P19" s="56" t="str">
        <f t="shared" si="6"/>
        <v/>
      </c>
      <c r="Q19" s="56">
        <f t="shared" si="7"/>
        <v>2262812</v>
      </c>
      <c r="R19" s="56" t="str">
        <f t="shared" si="8"/>
        <v/>
      </c>
      <c r="S19" s="5" t="str">
        <f t="shared" si="9"/>
        <v>MISSING DIRECT EMISSIONS</v>
      </c>
      <c r="T19" s="57">
        <v>46752.0</v>
      </c>
      <c r="U19" s="5" t="s">
        <v>241</v>
      </c>
    </row>
    <row r="20">
      <c r="A20" s="5" t="s">
        <v>991</v>
      </c>
      <c r="B20" s="5" t="s">
        <v>160</v>
      </c>
      <c r="C20" s="5" t="s">
        <v>41</v>
      </c>
      <c r="D20" s="42">
        <v>876004.0</v>
      </c>
      <c r="E20" s="42">
        <v>959689.0</v>
      </c>
      <c r="F20" s="42">
        <f t="shared" si="1"/>
        <v>1835693</v>
      </c>
      <c r="G20" s="14"/>
      <c r="H20" s="14"/>
      <c r="I20" s="14"/>
      <c r="J20" s="56">
        <f t="shared" si="2"/>
        <v>550707.9</v>
      </c>
      <c r="K20" s="56" t="str">
        <f t="shared" si="3"/>
        <v/>
      </c>
      <c r="L20" s="14"/>
      <c r="M20" s="14"/>
      <c r="N20" s="56">
        <f t="shared" si="4"/>
        <v>275353.95</v>
      </c>
      <c r="O20" s="56" t="str">
        <f t="shared" si="5"/>
        <v/>
      </c>
      <c r="P20" s="56" t="str">
        <f t="shared" si="6"/>
        <v/>
      </c>
      <c r="Q20" s="56">
        <f t="shared" si="7"/>
        <v>1835693</v>
      </c>
      <c r="R20" s="56" t="str">
        <f t="shared" si="8"/>
        <v/>
      </c>
      <c r="S20" s="5" t="str">
        <f t="shared" si="9"/>
        <v>MISSING DIRECT EMISSIONS</v>
      </c>
      <c r="T20" s="57">
        <v>46752.0</v>
      </c>
      <c r="U20" s="5" t="s">
        <v>241</v>
      </c>
    </row>
    <row r="21" ht="15.75" customHeight="1">
      <c r="A21" s="5" t="s">
        <v>992</v>
      </c>
      <c r="B21" s="5" t="s">
        <v>161</v>
      </c>
      <c r="C21" s="5" t="s">
        <v>41</v>
      </c>
      <c r="D21" s="42">
        <v>68969.0</v>
      </c>
      <c r="E21" s="42">
        <v>75558.0</v>
      </c>
      <c r="F21" s="42">
        <f t="shared" si="1"/>
        <v>144527</v>
      </c>
      <c r="G21" s="14"/>
      <c r="H21" s="14"/>
      <c r="I21" s="14"/>
      <c r="J21" s="56">
        <f t="shared" si="2"/>
        <v>43358.1</v>
      </c>
      <c r="K21" s="56" t="str">
        <f t="shared" si="3"/>
        <v/>
      </c>
      <c r="L21" s="14"/>
      <c r="M21" s="14"/>
      <c r="N21" s="56">
        <f t="shared" si="4"/>
        <v>21679.05</v>
      </c>
      <c r="O21" s="56" t="str">
        <f t="shared" si="5"/>
        <v/>
      </c>
      <c r="P21" s="56" t="str">
        <f t="shared" si="6"/>
        <v/>
      </c>
      <c r="Q21" s="56">
        <f t="shared" si="7"/>
        <v>144527</v>
      </c>
      <c r="R21" s="56" t="str">
        <f t="shared" si="8"/>
        <v/>
      </c>
      <c r="S21" s="5" t="str">
        <f t="shared" si="9"/>
        <v>MISSING DIRECT EMISSIONS</v>
      </c>
      <c r="T21" s="57">
        <v>46752.0</v>
      </c>
      <c r="U21" s="5" t="s">
        <v>241</v>
      </c>
    </row>
    <row r="22" ht="15.75" customHeight="1">
      <c r="A22" s="5" t="s">
        <v>993</v>
      </c>
      <c r="B22" s="5" t="s">
        <v>163</v>
      </c>
      <c r="C22" s="5" t="s">
        <v>41</v>
      </c>
      <c r="D22" s="42">
        <v>31803.0</v>
      </c>
      <c r="E22" s="42">
        <v>34842.0</v>
      </c>
      <c r="F22" s="42">
        <f t="shared" si="1"/>
        <v>66645</v>
      </c>
      <c r="G22" s="14"/>
      <c r="H22" s="14"/>
      <c r="I22" s="14"/>
      <c r="J22" s="56">
        <f t="shared" si="2"/>
        <v>19993.5</v>
      </c>
      <c r="K22" s="56" t="str">
        <f t="shared" si="3"/>
        <v/>
      </c>
      <c r="L22" s="14"/>
      <c r="M22" s="14"/>
      <c r="N22" s="56">
        <f t="shared" si="4"/>
        <v>9996.75</v>
      </c>
      <c r="O22" s="56" t="str">
        <f t="shared" si="5"/>
        <v/>
      </c>
      <c r="P22" s="56" t="str">
        <f t="shared" si="6"/>
        <v/>
      </c>
      <c r="Q22" s="56">
        <f t="shared" si="7"/>
        <v>66645</v>
      </c>
      <c r="R22" s="56" t="str">
        <f t="shared" si="8"/>
        <v/>
      </c>
      <c r="S22" s="5" t="str">
        <f t="shared" si="9"/>
        <v>MISSING DIRECT EMISSIONS</v>
      </c>
      <c r="T22" s="57">
        <v>46752.0</v>
      </c>
      <c r="U22" s="5" t="s">
        <v>241</v>
      </c>
    </row>
    <row r="23" ht="15.75" customHeight="1">
      <c r="A23" s="5" t="s">
        <v>994</v>
      </c>
      <c r="B23" s="5" t="s">
        <v>165</v>
      </c>
      <c r="C23" s="5" t="s">
        <v>41</v>
      </c>
      <c r="D23" s="42">
        <v>407990.0</v>
      </c>
      <c r="E23" s="42">
        <v>446965.0</v>
      </c>
      <c r="F23" s="42">
        <f t="shared" si="1"/>
        <v>854955</v>
      </c>
      <c r="G23" s="14"/>
      <c r="H23" s="14"/>
      <c r="I23" s="14"/>
      <c r="J23" s="56">
        <f t="shared" si="2"/>
        <v>256486.5</v>
      </c>
      <c r="K23" s="56" t="str">
        <f t="shared" si="3"/>
        <v/>
      </c>
      <c r="L23" s="14"/>
      <c r="M23" s="14"/>
      <c r="N23" s="56">
        <f t="shared" si="4"/>
        <v>128243.25</v>
      </c>
      <c r="O23" s="56" t="str">
        <f t="shared" si="5"/>
        <v/>
      </c>
      <c r="P23" s="56" t="str">
        <f t="shared" si="6"/>
        <v/>
      </c>
      <c r="Q23" s="56">
        <f t="shared" si="7"/>
        <v>854955</v>
      </c>
      <c r="R23" s="56" t="str">
        <f t="shared" si="8"/>
        <v/>
      </c>
      <c r="S23" s="5" t="str">
        <f t="shared" si="9"/>
        <v>MISSING DIRECT EMISSIONS</v>
      </c>
      <c r="T23" s="57">
        <v>46752.0</v>
      </c>
      <c r="U23" s="5" t="s">
        <v>241</v>
      </c>
    </row>
    <row r="24" ht="15.75" customHeight="1">
      <c r="A24" s="5" t="s">
        <v>995</v>
      </c>
      <c r="B24" s="5" t="s">
        <v>167</v>
      </c>
      <c r="C24" s="5" t="s">
        <v>41</v>
      </c>
      <c r="D24" s="42">
        <v>512653.0</v>
      </c>
      <c r="E24" s="42">
        <v>561627.0</v>
      </c>
      <c r="F24" s="42">
        <f t="shared" si="1"/>
        <v>1074280</v>
      </c>
      <c r="G24" s="14"/>
      <c r="H24" s="14"/>
      <c r="I24" s="14"/>
      <c r="J24" s="56">
        <f t="shared" si="2"/>
        <v>322284</v>
      </c>
      <c r="K24" s="56" t="str">
        <f t="shared" si="3"/>
        <v/>
      </c>
      <c r="L24" s="14"/>
      <c r="M24" s="14"/>
      <c r="N24" s="56">
        <f t="shared" si="4"/>
        <v>161142</v>
      </c>
      <c r="O24" s="56" t="str">
        <f t="shared" si="5"/>
        <v/>
      </c>
      <c r="P24" s="56" t="str">
        <f t="shared" si="6"/>
        <v/>
      </c>
      <c r="Q24" s="56">
        <f t="shared" si="7"/>
        <v>1074280</v>
      </c>
      <c r="R24" s="56" t="str">
        <f t="shared" si="8"/>
        <v/>
      </c>
      <c r="S24" s="5" t="str">
        <f t="shared" si="9"/>
        <v>MISSING DIRECT EMISSIONS</v>
      </c>
      <c r="T24" s="57">
        <v>46752.0</v>
      </c>
      <c r="U24" s="5" t="s">
        <v>241</v>
      </c>
    </row>
    <row r="25" ht="15.75" customHeight="1">
      <c r="A25" s="5" t="s">
        <v>996</v>
      </c>
      <c r="B25" s="5" t="s">
        <v>169</v>
      </c>
      <c r="C25" s="5" t="s">
        <v>41</v>
      </c>
      <c r="D25" s="42">
        <v>89.0</v>
      </c>
      <c r="E25" s="42">
        <v>97.0</v>
      </c>
      <c r="F25" s="42">
        <f t="shared" si="1"/>
        <v>186</v>
      </c>
      <c r="G25" s="14"/>
      <c r="H25" s="14"/>
      <c r="I25" s="14"/>
      <c r="J25" s="56">
        <f t="shared" si="2"/>
        <v>55.8</v>
      </c>
      <c r="K25" s="56" t="str">
        <f t="shared" si="3"/>
        <v/>
      </c>
      <c r="L25" s="14"/>
      <c r="M25" s="14"/>
      <c r="N25" s="56">
        <f t="shared" si="4"/>
        <v>27.9</v>
      </c>
      <c r="O25" s="56" t="str">
        <f t="shared" si="5"/>
        <v/>
      </c>
      <c r="P25" s="56" t="str">
        <f t="shared" si="6"/>
        <v/>
      </c>
      <c r="Q25" s="56">
        <f t="shared" si="7"/>
        <v>186</v>
      </c>
      <c r="R25" s="56" t="str">
        <f t="shared" si="8"/>
        <v/>
      </c>
      <c r="S25" s="5" t="str">
        <f t="shared" si="9"/>
        <v>MISSING DIRECT EMISSIONS</v>
      </c>
      <c r="T25" s="57">
        <v>46752.0</v>
      </c>
      <c r="U25" s="5" t="s">
        <v>241</v>
      </c>
    </row>
    <row r="26" ht="15.75" customHeight="1">
      <c r="A26" s="5" t="s">
        <v>997</v>
      </c>
      <c r="B26" s="5" t="s">
        <v>171</v>
      </c>
      <c r="C26" s="5" t="s">
        <v>41</v>
      </c>
      <c r="D26" s="42">
        <v>1617372.0</v>
      </c>
      <c r="E26" s="42">
        <v>1771879.0</v>
      </c>
      <c r="F26" s="42">
        <f t="shared" si="1"/>
        <v>3389251</v>
      </c>
      <c r="G26" s="14"/>
      <c r="H26" s="14"/>
      <c r="I26" s="14"/>
      <c r="J26" s="56">
        <f t="shared" si="2"/>
        <v>1016775.3</v>
      </c>
      <c r="K26" s="56" t="str">
        <f t="shared" si="3"/>
        <v/>
      </c>
      <c r="L26" s="14"/>
      <c r="M26" s="14"/>
      <c r="N26" s="56">
        <f t="shared" si="4"/>
        <v>508387.65</v>
      </c>
      <c r="O26" s="56" t="str">
        <f t="shared" si="5"/>
        <v/>
      </c>
      <c r="P26" s="56" t="str">
        <f t="shared" si="6"/>
        <v/>
      </c>
      <c r="Q26" s="56">
        <f t="shared" si="7"/>
        <v>3389251</v>
      </c>
      <c r="R26" s="56" t="str">
        <f t="shared" si="8"/>
        <v/>
      </c>
      <c r="S26" s="5" t="str">
        <f t="shared" si="9"/>
        <v>MISSING DIRECT EMISSIONS</v>
      </c>
      <c r="T26" s="57">
        <v>46752.0</v>
      </c>
      <c r="U26" s="5" t="s">
        <v>241</v>
      </c>
    </row>
    <row r="27" ht="15.75" customHeight="1">
      <c r="A27" s="5" t="s">
        <v>998</v>
      </c>
      <c r="B27" s="5" t="s">
        <v>173</v>
      </c>
      <c r="C27" s="5" t="s">
        <v>41</v>
      </c>
      <c r="D27" s="42">
        <v>9663688.0</v>
      </c>
      <c r="E27" s="42">
        <v>1.0586856E7</v>
      </c>
      <c r="F27" s="42">
        <f t="shared" si="1"/>
        <v>20250544</v>
      </c>
      <c r="G27" s="14"/>
      <c r="H27" s="14"/>
      <c r="I27" s="14"/>
      <c r="J27" s="56">
        <f t="shared" si="2"/>
        <v>6075163.2</v>
      </c>
      <c r="K27" s="56" t="str">
        <f t="shared" si="3"/>
        <v/>
      </c>
      <c r="L27" s="14"/>
      <c r="M27" s="14"/>
      <c r="N27" s="56">
        <f t="shared" si="4"/>
        <v>3037581.6</v>
      </c>
      <c r="O27" s="56" t="str">
        <f t="shared" si="5"/>
        <v/>
      </c>
      <c r="P27" s="56" t="str">
        <f t="shared" si="6"/>
        <v/>
      </c>
      <c r="Q27" s="56">
        <f t="shared" si="7"/>
        <v>20250544</v>
      </c>
      <c r="R27" s="56" t="str">
        <f t="shared" si="8"/>
        <v/>
      </c>
      <c r="S27" s="5" t="str">
        <f t="shared" si="9"/>
        <v>MISSING DIRECT EMISSIONS</v>
      </c>
      <c r="T27" s="57">
        <v>46752.0</v>
      </c>
      <c r="U27" s="5" t="s">
        <v>241</v>
      </c>
    </row>
    <row r="28" ht="15.75" customHeight="1">
      <c r="A28" s="5" t="s">
        <v>999</v>
      </c>
      <c r="B28" s="5" t="s">
        <v>175</v>
      </c>
      <c r="C28" s="5" t="s">
        <v>41</v>
      </c>
      <c r="D28" s="42">
        <v>3623243.0</v>
      </c>
      <c r="E28" s="42">
        <v>3969369.0</v>
      </c>
      <c r="F28" s="42">
        <f t="shared" si="1"/>
        <v>7592612</v>
      </c>
      <c r="G28" s="14"/>
      <c r="H28" s="14"/>
      <c r="I28" s="14"/>
      <c r="J28" s="56">
        <f t="shared" si="2"/>
        <v>2277783.6</v>
      </c>
      <c r="K28" s="56" t="str">
        <f t="shared" si="3"/>
        <v/>
      </c>
      <c r="L28" s="14"/>
      <c r="M28" s="14"/>
      <c r="N28" s="56">
        <f t="shared" si="4"/>
        <v>1138891.8</v>
      </c>
      <c r="O28" s="56" t="str">
        <f t="shared" si="5"/>
        <v/>
      </c>
      <c r="P28" s="56" t="str">
        <f t="shared" si="6"/>
        <v/>
      </c>
      <c r="Q28" s="56">
        <f t="shared" si="7"/>
        <v>7592612</v>
      </c>
      <c r="R28" s="56" t="str">
        <f t="shared" si="8"/>
        <v/>
      </c>
      <c r="S28" s="5" t="str">
        <f t="shared" si="9"/>
        <v>MISSING DIRECT EMISSIONS</v>
      </c>
      <c r="T28" s="57">
        <v>46752.0</v>
      </c>
      <c r="U28" s="5" t="s">
        <v>241</v>
      </c>
    </row>
    <row r="29" ht="15.75" customHeight="1">
      <c r="A29" s="5" t="s">
        <v>1000</v>
      </c>
      <c r="B29" s="5" t="s">
        <v>176</v>
      </c>
      <c r="C29" s="5" t="s">
        <v>41</v>
      </c>
      <c r="D29" s="42">
        <v>2728391.0</v>
      </c>
      <c r="E29" s="42">
        <v>2989033.0</v>
      </c>
      <c r="F29" s="42">
        <f t="shared" si="1"/>
        <v>5717424</v>
      </c>
      <c r="G29" s="14"/>
      <c r="H29" s="14"/>
      <c r="I29" s="14"/>
      <c r="J29" s="56">
        <f t="shared" si="2"/>
        <v>1715227.2</v>
      </c>
      <c r="K29" s="56" t="str">
        <f t="shared" si="3"/>
        <v/>
      </c>
      <c r="L29" s="14"/>
      <c r="M29" s="14"/>
      <c r="N29" s="56">
        <f t="shared" si="4"/>
        <v>857613.6</v>
      </c>
      <c r="O29" s="56" t="str">
        <f t="shared" si="5"/>
        <v/>
      </c>
      <c r="P29" s="56" t="str">
        <f t="shared" si="6"/>
        <v/>
      </c>
      <c r="Q29" s="56">
        <f t="shared" si="7"/>
        <v>5717424</v>
      </c>
      <c r="R29" s="56" t="str">
        <f t="shared" si="8"/>
        <v/>
      </c>
      <c r="S29" s="5" t="str">
        <f t="shared" si="9"/>
        <v>MISSING DIRECT EMISSIONS</v>
      </c>
      <c r="T29" s="57">
        <v>46752.0</v>
      </c>
      <c r="U29" s="5" t="s">
        <v>241</v>
      </c>
    </row>
    <row r="30" ht="15.75" customHeight="1">
      <c r="A30" s="5" t="s">
        <v>1001</v>
      </c>
      <c r="B30" s="5" t="s">
        <v>177</v>
      </c>
      <c r="C30" s="5" t="s">
        <v>41</v>
      </c>
      <c r="D30" s="42">
        <v>5199840.0</v>
      </c>
      <c r="E30" s="42">
        <v>5696578.0</v>
      </c>
      <c r="F30" s="42">
        <f t="shared" si="1"/>
        <v>10896418</v>
      </c>
      <c r="G30" s="14"/>
      <c r="H30" s="14"/>
      <c r="I30" s="14"/>
      <c r="J30" s="56">
        <f t="shared" si="2"/>
        <v>3268925.4</v>
      </c>
      <c r="K30" s="56" t="str">
        <f t="shared" si="3"/>
        <v/>
      </c>
      <c r="L30" s="14"/>
      <c r="M30" s="14"/>
      <c r="N30" s="56">
        <f t="shared" si="4"/>
        <v>1634462.7</v>
      </c>
      <c r="O30" s="56" t="str">
        <f t="shared" si="5"/>
        <v/>
      </c>
      <c r="P30" s="56" t="str">
        <f t="shared" si="6"/>
        <v/>
      </c>
      <c r="Q30" s="56">
        <f t="shared" si="7"/>
        <v>10896418</v>
      </c>
      <c r="R30" s="56" t="str">
        <f t="shared" si="8"/>
        <v/>
      </c>
      <c r="S30" s="5" t="str">
        <f t="shared" si="9"/>
        <v>MISSING DIRECT EMISSIONS</v>
      </c>
      <c r="T30" s="57">
        <v>46752.0</v>
      </c>
      <c r="U30" s="5" t="s">
        <v>241</v>
      </c>
    </row>
    <row r="31" ht="15.75" customHeight="1">
      <c r="A31" s="5" t="s">
        <v>1002</v>
      </c>
      <c r="B31" s="5" t="s">
        <v>180</v>
      </c>
      <c r="C31" s="5" t="s">
        <v>41</v>
      </c>
      <c r="D31" s="42">
        <v>1006602.0</v>
      </c>
      <c r="E31" s="42">
        <v>1102763.0</v>
      </c>
      <c r="F31" s="42">
        <f t="shared" si="1"/>
        <v>2109365</v>
      </c>
      <c r="G31" s="14"/>
      <c r="H31" s="14"/>
      <c r="I31" s="14"/>
      <c r="J31" s="56">
        <f t="shared" si="2"/>
        <v>632809.5</v>
      </c>
      <c r="K31" s="56" t="str">
        <f t="shared" si="3"/>
        <v/>
      </c>
      <c r="L31" s="14"/>
      <c r="M31" s="14"/>
      <c r="N31" s="56">
        <f t="shared" si="4"/>
        <v>316404.75</v>
      </c>
      <c r="O31" s="56" t="str">
        <f t="shared" si="5"/>
        <v/>
      </c>
      <c r="P31" s="56" t="str">
        <f t="shared" si="6"/>
        <v/>
      </c>
      <c r="Q31" s="56">
        <f t="shared" si="7"/>
        <v>2109365</v>
      </c>
      <c r="R31" s="56" t="str">
        <f t="shared" si="8"/>
        <v/>
      </c>
      <c r="S31" s="5" t="str">
        <f t="shared" si="9"/>
        <v>MISSING DIRECT EMISSIONS</v>
      </c>
      <c r="T31" s="57">
        <v>46752.0</v>
      </c>
      <c r="U31" s="5" t="s">
        <v>241</v>
      </c>
    </row>
    <row r="32" ht="15.75" customHeight="1">
      <c r="A32" s="5" t="s">
        <v>1003</v>
      </c>
      <c r="B32" s="5" t="s">
        <v>182</v>
      </c>
      <c r="C32" s="5" t="s">
        <v>41</v>
      </c>
      <c r="D32" s="42">
        <v>1550998.0</v>
      </c>
      <c r="E32" s="42">
        <v>1699164.0</v>
      </c>
      <c r="F32" s="42">
        <f t="shared" si="1"/>
        <v>3250162</v>
      </c>
      <c r="G32" s="14"/>
      <c r="H32" s="14"/>
      <c r="I32" s="14"/>
      <c r="J32" s="56">
        <f t="shared" si="2"/>
        <v>975048.6</v>
      </c>
      <c r="K32" s="56" t="str">
        <f t="shared" si="3"/>
        <v/>
      </c>
      <c r="L32" s="14"/>
      <c r="M32" s="14"/>
      <c r="N32" s="56">
        <f t="shared" si="4"/>
        <v>487524.3</v>
      </c>
      <c r="O32" s="56" t="str">
        <f t="shared" si="5"/>
        <v/>
      </c>
      <c r="P32" s="56" t="str">
        <f t="shared" si="6"/>
        <v/>
      </c>
      <c r="Q32" s="56">
        <f t="shared" si="7"/>
        <v>3250162</v>
      </c>
      <c r="R32" s="56" t="str">
        <f t="shared" si="8"/>
        <v/>
      </c>
      <c r="S32" s="5" t="str">
        <f t="shared" si="9"/>
        <v>MISSING DIRECT EMISSIONS</v>
      </c>
      <c r="T32" s="57">
        <v>46752.0</v>
      </c>
      <c r="U32" s="5" t="s">
        <v>241</v>
      </c>
    </row>
    <row r="33" ht="15.75" customHeight="1">
      <c r="A33" s="5" t="s">
        <v>1004</v>
      </c>
      <c r="B33" s="5" t="s">
        <v>183</v>
      </c>
      <c r="C33" s="5" t="s">
        <v>41</v>
      </c>
      <c r="D33" s="42">
        <v>924021.0</v>
      </c>
      <c r="E33" s="42">
        <v>1012292.0</v>
      </c>
      <c r="F33" s="42">
        <f t="shared" si="1"/>
        <v>1936313</v>
      </c>
      <c r="G33" s="14"/>
      <c r="H33" s="14"/>
      <c r="I33" s="14"/>
      <c r="J33" s="56">
        <f t="shared" si="2"/>
        <v>580893.9</v>
      </c>
      <c r="K33" s="56" t="str">
        <f t="shared" si="3"/>
        <v/>
      </c>
      <c r="L33" s="14"/>
      <c r="M33" s="14"/>
      <c r="N33" s="56">
        <f t="shared" si="4"/>
        <v>290446.95</v>
      </c>
      <c r="O33" s="56" t="str">
        <f t="shared" si="5"/>
        <v/>
      </c>
      <c r="P33" s="56" t="str">
        <f t="shared" si="6"/>
        <v/>
      </c>
      <c r="Q33" s="56">
        <f t="shared" si="7"/>
        <v>1936313</v>
      </c>
      <c r="R33" s="56" t="str">
        <f t="shared" si="8"/>
        <v/>
      </c>
      <c r="S33" s="5" t="str">
        <f t="shared" si="9"/>
        <v>MISSING DIRECT EMISSIONS</v>
      </c>
      <c r="T33" s="57">
        <v>46752.0</v>
      </c>
      <c r="U33" s="5" t="s">
        <v>241</v>
      </c>
    </row>
    <row r="34" ht="15.75" customHeight="1">
      <c r="A34" s="5" t="s">
        <v>1005</v>
      </c>
      <c r="B34" s="5" t="s">
        <v>185</v>
      </c>
      <c r="C34" s="5" t="s">
        <v>41</v>
      </c>
      <c r="D34" s="42">
        <v>1240305.0</v>
      </c>
      <c r="E34" s="42">
        <v>1358791.0</v>
      </c>
      <c r="F34" s="42">
        <f t="shared" si="1"/>
        <v>2599096</v>
      </c>
      <c r="G34" s="14"/>
      <c r="H34" s="14"/>
      <c r="I34" s="14"/>
      <c r="J34" s="56">
        <f t="shared" si="2"/>
        <v>779728.8</v>
      </c>
      <c r="K34" s="56" t="str">
        <f t="shared" si="3"/>
        <v/>
      </c>
      <c r="L34" s="14"/>
      <c r="M34" s="14"/>
      <c r="N34" s="56">
        <f t="shared" si="4"/>
        <v>389864.4</v>
      </c>
      <c r="O34" s="56" t="str">
        <f t="shared" si="5"/>
        <v/>
      </c>
      <c r="P34" s="56" t="str">
        <f t="shared" si="6"/>
        <v/>
      </c>
      <c r="Q34" s="56">
        <f t="shared" si="7"/>
        <v>2599096</v>
      </c>
      <c r="R34" s="56" t="str">
        <f t="shared" si="8"/>
        <v/>
      </c>
      <c r="S34" s="5" t="str">
        <f t="shared" si="9"/>
        <v>MISSING DIRECT EMISSIONS</v>
      </c>
      <c r="T34" s="57">
        <v>46752.0</v>
      </c>
      <c r="U34" s="5" t="s">
        <v>241</v>
      </c>
    </row>
    <row r="35" ht="15.75" customHeight="1">
      <c r="A35" s="5" t="s">
        <v>1006</v>
      </c>
      <c r="B35" s="5" t="s">
        <v>187</v>
      </c>
      <c r="C35" s="5" t="s">
        <v>41</v>
      </c>
      <c r="D35" s="42">
        <v>5539.0</v>
      </c>
      <c r="E35" s="42">
        <v>6068.0</v>
      </c>
      <c r="F35" s="42">
        <f t="shared" si="1"/>
        <v>11607</v>
      </c>
      <c r="G35" s="14"/>
      <c r="H35" s="14"/>
      <c r="I35" s="14"/>
      <c r="J35" s="56">
        <f t="shared" si="2"/>
        <v>3482.1</v>
      </c>
      <c r="K35" s="56" t="str">
        <f t="shared" si="3"/>
        <v/>
      </c>
      <c r="L35" s="14"/>
      <c r="M35" s="14"/>
      <c r="N35" s="56">
        <f t="shared" si="4"/>
        <v>1741.05</v>
      </c>
      <c r="O35" s="56" t="str">
        <f t="shared" si="5"/>
        <v/>
      </c>
      <c r="P35" s="56" t="str">
        <f t="shared" si="6"/>
        <v/>
      </c>
      <c r="Q35" s="56">
        <f t="shared" si="7"/>
        <v>11607</v>
      </c>
      <c r="R35" s="56" t="str">
        <f t="shared" si="8"/>
        <v/>
      </c>
      <c r="S35" s="5" t="str">
        <f t="shared" si="9"/>
        <v>MISSING DIRECT EMISSIONS</v>
      </c>
      <c r="T35" s="57">
        <v>46752.0</v>
      </c>
      <c r="U35" s="5" t="s">
        <v>241</v>
      </c>
    </row>
    <row r="36" ht="15.75" customHeight="1">
      <c r="A36" s="5" t="s">
        <v>1007</v>
      </c>
      <c r="B36" s="5" t="s">
        <v>189</v>
      </c>
      <c r="C36" s="5" t="s">
        <v>108</v>
      </c>
      <c r="D36" s="42">
        <v>255476.0</v>
      </c>
      <c r="E36" s="42">
        <v>297830.0</v>
      </c>
      <c r="F36" s="42">
        <f t="shared" si="1"/>
        <v>553306</v>
      </c>
      <c r="G36" s="14"/>
      <c r="H36" s="14"/>
      <c r="I36" s="14"/>
      <c r="J36" s="56">
        <f t="shared" si="2"/>
        <v>165991.8</v>
      </c>
      <c r="K36" s="56" t="str">
        <f t="shared" si="3"/>
        <v/>
      </c>
      <c r="L36" s="14"/>
      <c r="M36" s="14"/>
      <c r="N36" s="56">
        <f t="shared" si="4"/>
        <v>82995.9</v>
      </c>
      <c r="O36" s="56" t="str">
        <f t="shared" si="5"/>
        <v/>
      </c>
      <c r="P36" s="56" t="str">
        <f t="shared" si="6"/>
        <v/>
      </c>
      <c r="Q36" s="56">
        <f t="shared" si="7"/>
        <v>553306</v>
      </c>
      <c r="R36" s="56" t="str">
        <f t="shared" si="8"/>
        <v/>
      </c>
      <c r="S36" s="5" t="str">
        <f t="shared" si="9"/>
        <v>MISSING DIRECT EMISSIONS</v>
      </c>
      <c r="T36" s="57">
        <v>46752.0</v>
      </c>
      <c r="U36" s="5" t="s">
        <v>241</v>
      </c>
    </row>
    <row r="37" ht="15.75" customHeight="1">
      <c r="A37" s="5" t="s">
        <v>1008</v>
      </c>
      <c r="B37" s="5" t="s">
        <v>193</v>
      </c>
      <c r="C37" s="5" t="s">
        <v>108</v>
      </c>
      <c r="D37" s="42">
        <v>391158.0</v>
      </c>
      <c r="E37" s="42">
        <v>456006.0</v>
      </c>
      <c r="F37" s="42">
        <f t="shared" si="1"/>
        <v>847164</v>
      </c>
      <c r="G37" s="14"/>
      <c r="H37" s="14"/>
      <c r="I37" s="14"/>
      <c r="J37" s="56">
        <f t="shared" si="2"/>
        <v>254149.2</v>
      </c>
      <c r="K37" s="56" t="str">
        <f t="shared" si="3"/>
        <v/>
      </c>
      <c r="L37" s="14"/>
      <c r="M37" s="14"/>
      <c r="N37" s="56">
        <f t="shared" si="4"/>
        <v>127074.6</v>
      </c>
      <c r="O37" s="56" t="str">
        <f t="shared" si="5"/>
        <v/>
      </c>
      <c r="P37" s="56" t="str">
        <f t="shared" si="6"/>
        <v/>
      </c>
      <c r="Q37" s="56">
        <f t="shared" si="7"/>
        <v>847164</v>
      </c>
      <c r="R37" s="56" t="str">
        <f t="shared" si="8"/>
        <v/>
      </c>
      <c r="S37" s="5" t="str">
        <f t="shared" si="9"/>
        <v>MISSING DIRECT EMISSIONS</v>
      </c>
      <c r="T37" s="57">
        <v>46752.0</v>
      </c>
      <c r="U37" s="5" t="s">
        <v>241</v>
      </c>
    </row>
    <row r="38" ht="15.75" customHeight="1">
      <c r="A38" s="5" t="s">
        <v>1009</v>
      </c>
      <c r="B38" s="5" t="s">
        <v>195</v>
      </c>
      <c r="C38" s="5" t="s">
        <v>108</v>
      </c>
      <c r="D38" s="42">
        <v>33053.0</v>
      </c>
      <c r="E38" s="42">
        <v>38533.0</v>
      </c>
      <c r="F38" s="42">
        <f t="shared" si="1"/>
        <v>71586</v>
      </c>
      <c r="G38" s="14"/>
      <c r="H38" s="14"/>
      <c r="I38" s="14"/>
      <c r="J38" s="56">
        <f t="shared" si="2"/>
        <v>21475.8</v>
      </c>
      <c r="K38" s="56" t="str">
        <f t="shared" si="3"/>
        <v/>
      </c>
      <c r="L38" s="14"/>
      <c r="M38" s="14"/>
      <c r="N38" s="56">
        <f t="shared" si="4"/>
        <v>10737.9</v>
      </c>
      <c r="O38" s="56" t="str">
        <f t="shared" si="5"/>
        <v/>
      </c>
      <c r="P38" s="56" t="str">
        <f t="shared" si="6"/>
        <v/>
      </c>
      <c r="Q38" s="56">
        <f t="shared" si="7"/>
        <v>71586</v>
      </c>
      <c r="R38" s="56" t="str">
        <f t="shared" si="8"/>
        <v/>
      </c>
      <c r="S38" s="5" t="str">
        <f t="shared" si="9"/>
        <v>MISSING DIRECT EMISSIONS</v>
      </c>
      <c r="T38" s="57">
        <v>46752.0</v>
      </c>
      <c r="U38" s="5" t="s">
        <v>241</v>
      </c>
    </row>
    <row r="39" ht="15.75" customHeight="1">
      <c r="A39" s="5" t="s">
        <v>1010</v>
      </c>
      <c r="B39" s="5" t="s">
        <v>197</v>
      </c>
      <c r="C39" s="5" t="s">
        <v>108</v>
      </c>
      <c r="D39" s="42">
        <v>902.0</v>
      </c>
      <c r="E39" s="42">
        <v>1052.0</v>
      </c>
      <c r="F39" s="42">
        <f t="shared" si="1"/>
        <v>1954</v>
      </c>
      <c r="G39" s="14"/>
      <c r="H39" s="14"/>
      <c r="I39" s="14"/>
      <c r="J39" s="56">
        <f t="shared" si="2"/>
        <v>586.2</v>
      </c>
      <c r="K39" s="56" t="str">
        <f t="shared" si="3"/>
        <v/>
      </c>
      <c r="L39" s="14"/>
      <c r="M39" s="14"/>
      <c r="N39" s="56">
        <f t="shared" si="4"/>
        <v>293.1</v>
      </c>
      <c r="O39" s="56" t="str">
        <f t="shared" si="5"/>
        <v/>
      </c>
      <c r="P39" s="56" t="str">
        <f t="shared" si="6"/>
        <v/>
      </c>
      <c r="Q39" s="56">
        <f t="shared" si="7"/>
        <v>1954</v>
      </c>
      <c r="R39" s="56" t="str">
        <f t="shared" si="8"/>
        <v/>
      </c>
      <c r="S39" s="5" t="str">
        <f t="shared" si="9"/>
        <v>MISSING DIRECT EMISSIONS</v>
      </c>
      <c r="T39" s="57">
        <v>46752.0</v>
      </c>
      <c r="U39" s="5" t="s">
        <v>241</v>
      </c>
    </row>
    <row r="40" ht="15.75" customHeight="1">
      <c r="A40" s="5" t="s">
        <v>1011</v>
      </c>
      <c r="B40" s="5" t="s">
        <v>199</v>
      </c>
      <c r="C40" s="5" t="s">
        <v>108</v>
      </c>
      <c r="D40" s="42">
        <v>2406.0</v>
      </c>
      <c r="E40" s="42">
        <v>2804.0</v>
      </c>
      <c r="F40" s="42">
        <f t="shared" si="1"/>
        <v>5210</v>
      </c>
      <c r="G40" s="14"/>
      <c r="H40" s="14"/>
      <c r="I40" s="14"/>
      <c r="J40" s="56">
        <f t="shared" si="2"/>
        <v>1563</v>
      </c>
      <c r="K40" s="56" t="str">
        <f t="shared" si="3"/>
        <v/>
      </c>
      <c r="L40" s="14"/>
      <c r="M40" s="14"/>
      <c r="N40" s="56">
        <f t="shared" si="4"/>
        <v>781.5</v>
      </c>
      <c r="O40" s="56" t="str">
        <f t="shared" si="5"/>
        <v/>
      </c>
      <c r="P40" s="56" t="str">
        <f t="shared" si="6"/>
        <v/>
      </c>
      <c r="Q40" s="56">
        <f t="shared" si="7"/>
        <v>5210</v>
      </c>
      <c r="R40" s="56" t="str">
        <f t="shared" si="8"/>
        <v/>
      </c>
      <c r="S40" s="5" t="str">
        <f t="shared" si="9"/>
        <v>MISSING DIRECT EMISSIONS</v>
      </c>
      <c r="T40" s="57">
        <v>46752.0</v>
      </c>
      <c r="U40" s="5" t="s">
        <v>241</v>
      </c>
    </row>
    <row r="41" ht="15.75" customHeight="1">
      <c r="A41" s="5" t="s">
        <v>1012</v>
      </c>
      <c r="B41" s="5" t="s">
        <v>201</v>
      </c>
      <c r="C41" s="5" t="s">
        <v>108</v>
      </c>
      <c r="D41" s="42">
        <v>1.366693E7</v>
      </c>
      <c r="E41" s="42">
        <v>1.5932703E7</v>
      </c>
      <c r="F41" s="42">
        <f t="shared" si="1"/>
        <v>29599633</v>
      </c>
      <c r="G41" s="14"/>
      <c r="H41" s="14"/>
      <c r="I41" s="14"/>
      <c r="J41" s="56">
        <f t="shared" si="2"/>
        <v>8879889.9</v>
      </c>
      <c r="K41" s="56" t="str">
        <f t="shared" si="3"/>
        <v/>
      </c>
      <c r="L41" s="14"/>
      <c r="M41" s="14"/>
      <c r="N41" s="56">
        <f t="shared" si="4"/>
        <v>4439944.95</v>
      </c>
      <c r="O41" s="56" t="str">
        <f t="shared" si="5"/>
        <v/>
      </c>
      <c r="P41" s="56" t="str">
        <f t="shared" si="6"/>
        <v/>
      </c>
      <c r="Q41" s="56">
        <f t="shared" si="7"/>
        <v>29599633</v>
      </c>
      <c r="R41" s="56" t="str">
        <f t="shared" si="8"/>
        <v/>
      </c>
      <c r="S41" s="5" t="str">
        <f t="shared" si="9"/>
        <v>MISSING DIRECT EMISSIONS</v>
      </c>
      <c r="T41" s="57">
        <v>46752.0</v>
      </c>
      <c r="U41" s="5" t="s">
        <v>241</v>
      </c>
    </row>
    <row r="42" ht="15.75" customHeight="1">
      <c r="A42" s="5" t="s">
        <v>1013</v>
      </c>
      <c r="B42" s="5" t="s">
        <v>202</v>
      </c>
      <c r="C42" s="5" t="s">
        <v>108</v>
      </c>
      <c r="D42" s="42">
        <v>1.1218848E7</v>
      </c>
      <c r="E42" s="42">
        <v>1.3078765E7</v>
      </c>
      <c r="F42" s="42">
        <f t="shared" si="1"/>
        <v>24297613</v>
      </c>
      <c r="G42" s="14"/>
      <c r="H42" s="14"/>
      <c r="I42" s="14"/>
      <c r="J42" s="56">
        <f t="shared" si="2"/>
        <v>7289283.9</v>
      </c>
      <c r="K42" s="56" t="str">
        <f t="shared" si="3"/>
        <v/>
      </c>
      <c r="L42" s="14"/>
      <c r="M42" s="14"/>
      <c r="N42" s="56">
        <f t="shared" si="4"/>
        <v>3644641.95</v>
      </c>
      <c r="O42" s="56" t="str">
        <f t="shared" si="5"/>
        <v/>
      </c>
      <c r="P42" s="56" t="str">
        <f t="shared" si="6"/>
        <v/>
      </c>
      <c r="Q42" s="56">
        <f t="shared" si="7"/>
        <v>24297613</v>
      </c>
      <c r="R42" s="56" t="str">
        <f t="shared" si="8"/>
        <v/>
      </c>
      <c r="S42" s="5" t="str">
        <f t="shared" si="9"/>
        <v>MISSING DIRECT EMISSIONS</v>
      </c>
      <c r="T42" s="57">
        <v>46752.0</v>
      </c>
      <c r="U42" s="5" t="s">
        <v>241</v>
      </c>
    </row>
    <row r="43" ht="15.75" customHeight="1">
      <c r="A43" s="5" t="s">
        <v>1014</v>
      </c>
      <c r="B43" s="5" t="s">
        <v>204</v>
      </c>
      <c r="C43" s="5" t="s">
        <v>108</v>
      </c>
      <c r="D43" s="42">
        <v>12842.0</v>
      </c>
      <c r="E43" s="42">
        <v>14971.0</v>
      </c>
      <c r="F43" s="42">
        <f t="shared" si="1"/>
        <v>27813</v>
      </c>
      <c r="G43" s="14"/>
      <c r="H43" s="14"/>
      <c r="I43" s="14"/>
      <c r="J43" s="56">
        <f t="shared" si="2"/>
        <v>8343.9</v>
      </c>
      <c r="K43" s="56" t="str">
        <f t="shared" si="3"/>
        <v/>
      </c>
      <c r="L43" s="14"/>
      <c r="M43" s="14"/>
      <c r="N43" s="56">
        <f t="shared" si="4"/>
        <v>4171.95</v>
      </c>
      <c r="O43" s="56" t="str">
        <f t="shared" si="5"/>
        <v/>
      </c>
      <c r="P43" s="56" t="str">
        <f t="shared" si="6"/>
        <v/>
      </c>
      <c r="Q43" s="56">
        <f t="shared" si="7"/>
        <v>27813</v>
      </c>
      <c r="R43" s="56" t="str">
        <f t="shared" si="8"/>
        <v/>
      </c>
      <c r="S43" s="5" t="str">
        <f t="shared" si="9"/>
        <v>MISSING DIRECT EMISSIONS</v>
      </c>
      <c r="T43" s="57">
        <v>46752.0</v>
      </c>
      <c r="U43" s="5" t="s">
        <v>241</v>
      </c>
    </row>
    <row r="44" ht="15.75" customHeight="1">
      <c r="A44" s="5" t="s">
        <v>1015</v>
      </c>
      <c r="B44" s="5" t="s">
        <v>206</v>
      </c>
      <c r="C44" s="5" t="s">
        <v>108</v>
      </c>
      <c r="D44" s="42">
        <v>52001.0</v>
      </c>
      <c r="E44" s="42">
        <v>60622.0</v>
      </c>
      <c r="F44" s="42">
        <f t="shared" si="1"/>
        <v>112623</v>
      </c>
      <c r="G44" s="14"/>
      <c r="H44" s="14"/>
      <c r="I44" s="14"/>
      <c r="J44" s="56">
        <f t="shared" si="2"/>
        <v>33786.9</v>
      </c>
      <c r="K44" s="56" t="str">
        <f t="shared" si="3"/>
        <v/>
      </c>
      <c r="L44" s="14"/>
      <c r="M44" s="14"/>
      <c r="N44" s="56">
        <f t="shared" si="4"/>
        <v>16893.45</v>
      </c>
      <c r="O44" s="56" t="str">
        <f t="shared" si="5"/>
        <v/>
      </c>
      <c r="P44" s="56" t="str">
        <f t="shared" si="6"/>
        <v/>
      </c>
      <c r="Q44" s="56">
        <f t="shared" si="7"/>
        <v>112623</v>
      </c>
      <c r="R44" s="56" t="str">
        <f t="shared" si="8"/>
        <v/>
      </c>
      <c r="S44" s="5" t="str">
        <f t="shared" si="9"/>
        <v>MISSING DIRECT EMISSIONS</v>
      </c>
      <c r="T44" s="57">
        <v>46752.0</v>
      </c>
      <c r="U44" s="5" t="s">
        <v>241</v>
      </c>
    </row>
    <row r="45" ht="15.75" customHeight="1">
      <c r="A45" s="5" t="s">
        <v>1016</v>
      </c>
      <c r="B45" s="5" t="s">
        <v>208</v>
      </c>
      <c r="C45" s="5" t="s">
        <v>108</v>
      </c>
      <c r="D45" s="42">
        <v>14952.0</v>
      </c>
      <c r="E45" s="42">
        <v>17431.0</v>
      </c>
      <c r="F45" s="42">
        <f t="shared" si="1"/>
        <v>32383</v>
      </c>
      <c r="G45" s="14"/>
      <c r="H45" s="14"/>
      <c r="I45" s="14"/>
      <c r="J45" s="56">
        <f t="shared" si="2"/>
        <v>9714.9</v>
      </c>
      <c r="K45" s="56" t="str">
        <f t="shared" si="3"/>
        <v/>
      </c>
      <c r="L45" s="14"/>
      <c r="M45" s="14"/>
      <c r="N45" s="56">
        <f t="shared" si="4"/>
        <v>4857.45</v>
      </c>
      <c r="O45" s="56" t="str">
        <f t="shared" si="5"/>
        <v/>
      </c>
      <c r="P45" s="56" t="str">
        <f t="shared" si="6"/>
        <v/>
      </c>
      <c r="Q45" s="56">
        <f t="shared" si="7"/>
        <v>32383</v>
      </c>
      <c r="R45" s="56" t="str">
        <f t="shared" si="8"/>
        <v/>
      </c>
      <c r="S45" s="5" t="str">
        <f t="shared" si="9"/>
        <v>MISSING DIRECT EMISSIONS</v>
      </c>
      <c r="T45" s="57">
        <v>46752.0</v>
      </c>
      <c r="U45" s="5" t="s">
        <v>241</v>
      </c>
    </row>
    <row r="46" ht="15.75" customHeight="1">
      <c r="A46" s="5" t="s">
        <v>1017</v>
      </c>
      <c r="B46" s="5" t="s">
        <v>210</v>
      </c>
      <c r="C46" s="5" t="s">
        <v>108</v>
      </c>
      <c r="D46" s="42">
        <v>46390.0</v>
      </c>
      <c r="E46" s="42">
        <v>54081.0</v>
      </c>
      <c r="F46" s="42">
        <f t="shared" si="1"/>
        <v>100471</v>
      </c>
      <c r="G46" s="14"/>
      <c r="H46" s="14"/>
      <c r="I46" s="14"/>
      <c r="J46" s="56">
        <f t="shared" si="2"/>
        <v>30141.3</v>
      </c>
      <c r="K46" s="56" t="str">
        <f t="shared" si="3"/>
        <v/>
      </c>
      <c r="L46" s="14"/>
      <c r="M46" s="14"/>
      <c r="N46" s="56">
        <f t="shared" si="4"/>
        <v>15070.65</v>
      </c>
      <c r="O46" s="56" t="str">
        <f t="shared" si="5"/>
        <v/>
      </c>
      <c r="P46" s="56" t="str">
        <f t="shared" si="6"/>
        <v/>
      </c>
      <c r="Q46" s="56">
        <f t="shared" si="7"/>
        <v>100471</v>
      </c>
      <c r="R46" s="56" t="str">
        <f t="shared" si="8"/>
        <v/>
      </c>
      <c r="S46" s="5" t="str">
        <f t="shared" si="9"/>
        <v>MISSING DIRECT EMISSIONS</v>
      </c>
      <c r="T46" s="57">
        <v>46752.0</v>
      </c>
      <c r="U46" s="5" t="s">
        <v>241</v>
      </c>
    </row>
    <row r="47" ht="15.75" customHeight="1">
      <c r="A47" s="5" t="s">
        <v>1018</v>
      </c>
      <c r="B47" s="5" t="s">
        <v>212</v>
      </c>
      <c r="C47" s="5" t="s">
        <v>108</v>
      </c>
      <c r="D47" s="42">
        <v>50549.0</v>
      </c>
      <c r="E47" s="42">
        <v>58930.0</v>
      </c>
      <c r="F47" s="42">
        <f t="shared" si="1"/>
        <v>109479</v>
      </c>
      <c r="G47" s="14"/>
      <c r="H47" s="14"/>
      <c r="I47" s="14"/>
      <c r="J47" s="56">
        <f t="shared" si="2"/>
        <v>32843.7</v>
      </c>
      <c r="K47" s="56" t="str">
        <f t="shared" si="3"/>
        <v/>
      </c>
      <c r="L47" s="14"/>
      <c r="M47" s="14"/>
      <c r="N47" s="56">
        <f t="shared" si="4"/>
        <v>16421.85</v>
      </c>
      <c r="O47" s="56" t="str">
        <f t="shared" si="5"/>
        <v/>
      </c>
      <c r="P47" s="56" t="str">
        <f t="shared" si="6"/>
        <v/>
      </c>
      <c r="Q47" s="56">
        <f t="shared" si="7"/>
        <v>109479</v>
      </c>
      <c r="R47" s="56" t="str">
        <f t="shared" si="8"/>
        <v/>
      </c>
      <c r="S47" s="5" t="str">
        <f t="shared" si="9"/>
        <v>MISSING DIRECT EMISSIONS</v>
      </c>
      <c r="T47" s="57">
        <v>46752.0</v>
      </c>
      <c r="U47" s="5" t="s">
        <v>241</v>
      </c>
    </row>
    <row r="48" ht="15.75" customHeight="1">
      <c r="A48" s="5" t="s">
        <v>1019</v>
      </c>
      <c r="B48" s="5" t="s">
        <v>214</v>
      </c>
      <c r="C48" s="5" t="s">
        <v>108</v>
      </c>
      <c r="D48" s="42">
        <v>44367.0</v>
      </c>
      <c r="E48" s="42">
        <v>51723.0</v>
      </c>
      <c r="F48" s="42">
        <f t="shared" si="1"/>
        <v>96090</v>
      </c>
      <c r="G48" s="14"/>
      <c r="H48" s="14"/>
      <c r="I48" s="14"/>
      <c r="J48" s="56">
        <f t="shared" si="2"/>
        <v>28827</v>
      </c>
      <c r="K48" s="56" t="str">
        <f t="shared" si="3"/>
        <v/>
      </c>
      <c r="L48" s="14"/>
      <c r="M48" s="14"/>
      <c r="N48" s="56">
        <f t="shared" si="4"/>
        <v>14413.5</v>
      </c>
      <c r="O48" s="56" t="str">
        <f t="shared" si="5"/>
        <v/>
      </c>
      <c r="P48" s="56" t="str">
        <f t="shared" si="6"/>
        <v/>
      </c>
      <c r="Q48" s="56">
        <f t="shared" si="7"/>
        <v>96090</v>
      </c>
      <c r="R48" s="56" t="str">
        <f t="shared" si="8"/>
        <v/>
      </c>
      <c r="S48" s="5" t="str">
        <f t="shared" si="9"/>
        <v>MISSING DIRECT EMISSIONS</v>
      </c>
      <c r="T48" s="57">
        <v>46752.0</v>
      </c>
      <c r="U48" s="5" t="s">
        <v>241</v>
      </c>
    </row>
    <row r="49" ht="15.75" customHeight="1">
      <c r="A49" s="5" t="s">
        <v>1020</v>
      </c>
      <c r="B49" s="5" t="s">
        <v>216</v>
      </c>
      <c r="C49" s="5" t="s">
        <v>108</v>
      </c>
      <c r="D49" s="42">
        <v>2050.0</v>
      </c>
      <c r="E49" s="42">
        <v>2390.0</v>
      </c>
      <c r="F49" s="42">
        <f t="shared" si="1"/>
        <v>4440</v>
      </c>
      <c r="G49" s="14"/>
      <c r="H49" s="14"/>
      <c r="I49" s="14"/>
      <c r="J49" s="56">
        <f t="shared" si="2"/>
        <v>1332</v>
      </c>
      <c r="K49" s="56" t="str">
        <f t="shared" si="3"/>
        <v/>
      </c>
      <c r="L49" s="14"/>
      <c r="M49" s="14"/>
      <c r="N49" s="56">
        <f t="shared" si="4"/>
        <v>666</v>
      </c>
      <c r="O49" s="56" t="str">
        <f t="shared" si="5"/>
        <v/>
      </c>
      <c r="P49" s="56" t="str">
        <f t="shared" si="6"/>
        <v/>
      </c>
      <c r="Q49" s="56">
        <f t="shared" si="7"/>
        <v>4440</v>
      </c>
      <c r="R49" s="56" t="str">
        <f t="shared" si="8"/>
        <v/>
      </c>
      <c r="S49" s="5" t="str">
        <f t="shared" si="9"/>
        <v>MISSING DIRECT EMISSIONS</v>
      </c>
      <c r="T49" s="57">
        <v>46752.0</v>
      </c>
      <c r="U49" s="5" t="s">
        <v>241</v>
      </c>
    </row>
    <row r="50" ht="15.75" customHeight="1">
      <c r="A50" s="5" t="s">
        <v>1021</v>
      </c>
      <c r="B50" s="5" t="s">
        <v>218</v>
      </c>
      <c r="C50" s="5" t="s">
        <v>108</v>
      </c>
      <c r="D50" s="42">
        <v>265.0</v>
      </c>
      <c r="E50" s="42">
        <v>310.0</v>
      </c>
      <c r="F50" s="42">
        <f t="shared" si="1"/>
        <v>575</v>
      </c>
      <c r="G50" s="14"/>
      <c r="H50" s="14"/>
      <c r="I50" s="14"/>
      <c r="J50" s="56">
        <f t="shared" si="2"/>
        <v>172.5</v>
      </c>
      <c r="K50" s="56" t="str">
        <f t="shared" si="3"/>
        <v/>
      </c>
      <c r="L50" s="14"/>
      <c r="M50" s="14"/>
      <c r="N50" s="56">
        <f t="shared" si="4"/>
        <v>86.25</v>
      </c>
      <c r="O50" s="56" t="str">
        <f t="shared" si="5"/>
        <v/>
      </c>
      <c r="P50" s="56" t="str">
        <f t="shared" si="6"/>
        <v/>
      </c>
      <c r="Q50" s="56">
        <f t="shared" si="7"/>
        <v>575</v>
      </c>
      <c r="R50" s="56" t="str">
        <f t="shared" si="8"/>
        <v/>
      </c>
      <c r="S50" s="5" t="str">
        <f t="shared" si="9"/>
        <v>MISSING DIRECT EMISSIONS</v>
      </c>
      <c r="T50" s="57">
        <v>46752.0</v>
      </c>
      <c r="U50" s="5" t="s">
        <v>241</v>
      </c>
    </row>
    <row r="51" ht="15.75" customHeight="1">
      <c r="A51" s="5" t="s">
        <v>1022</v>
      </c>
      <c r="B51" s="5" t="s">
        <v>221</v>
      </c>
      <c r="C51" s="5" t="s">
        <v>108</v>
      </c>
      <c r="D51" s="42">
        <v>2559.0</v>
      </c>
      <c r="E51" s="42">
        <v>2983.0</v>
      </c>
      <c r="F51" s="42">
        <f t="shared" si="1"/>
        <v>5542</v>
      </c>
      <c r="G51" s="14"/>
      <c r="H51" s="14"/>
      <c r="I51" s="14"/>
      <c r="J51" s="56">
        <f t="shared" si="2"/>
        <v>1662.6</v>
      </c>
      <c r="K51" s="56" t="str">
        <f t="shared" si="3"/>
        <v/>
      </c>
      <c r="L51" s="14"/>
      <c r="M51" s="14"/>
      <c r="N51" s="56">
        <f t="shared" si="4"/>
        <v>831.3</v>
      </c>
      <c r="O51" s="56" t="str">
        <f t="shared" si="5"/>
        <v/>
      </c>
      <c r="P51" s="56" t="str">
        <f t="shared" si="6"/>
        <v/>
      </c>
      <c r="Q51" s="56">
        <f t="shared" si="7"/>
        <v>5542</v>
      </c>
      <c r="R51" s="56" t="str">
        <f t="shared" si="8"/>
        <v/>
      </c>
      <c r="S51" s="5" t="str">
        <f t="shared" si="9"/>
        <v>MISSING DIRECT EMISSIONS</v>
      </c>
      <c r="T51" s="57">
        <v>46752.0</v>
      </c>
      <c r="U51" s="5" t="s">
        <v>241</v>
      </c>
    </row>
    <row r="52" ht="15.75" customHeight="1">
      <c r="A52" s="5" t="s">
        <v>1023</v>
      </c>
      <c r="B52" s="5" t="s">
        <v>229</v>
      </c>
      <c r="C52" s="5" t="s">
        <v>108</v>
      </c>
      <c r="D52" s="42">
        <v>246.0</v>
      </c>
      <c r="E52" s="42">
        <v>287.0</v>
      </c>
      <c r="F52" s="42">
        <f t="shared" si="1"/>
        <v>533</v>
      </c>
      <c r="G52" s="14"/>
      <c r="H52" s="14"/>
      <c r="I52" s="14"/>
      <c r="J52" s="56">
        <f t="shared" si="2"/>
        <v>159.9</v>
      </c>
      <c r="K52" s="56" t="str">
        <f t="shared" si="3"/>
        <v/>
      </c>
      <c r="L52" s="14"/>
      <c r="M52" s="14"/>
      <c r="N52" s="56">
        <f t="shared" si="4"/>
        <v>79.95</v>
      </c>
      <c r="O52" s="56" t="str">
        <f t="shared" si="5"/>
        <v/>
      </c>
      <c r="P52" s="56" t="str">
        <f t="shared" si="6"/>
        <v/>
      </c>
      <c r="Q52" s="56">
        <f t="shared" si="7"/>
        <v>533</v>
      </c>
      <c r="R52" s="56" t="str">
        <f t="shared" si="8"/>
        <v/>
      </c>
      <c r="S52" s="5" t="str">
        <f t="shared" si="9"/>
        <v>MISSING DIRECT EMISSIONS</v>
      </c>
      <c r="T52" s="57">
        <v>46752.0</v>
      </c>
      <c r="U52" s="5" t="s">
        <v>241</v>
      </c>
    </row>
    <row r="53" ht="15.75" customHeight="1">
      <c r="A53" s="5" t="s">
        <v>1024</v>
      </c>
      <c r="B53" s="5" t="s">
        <v>243</v>
      </c>
      <c r="C53" s="5" t="s">
        <v>108</v>
      </c>
      <c r="D53" s="42">
        <v>6602.0</v>
      </c>
      <c r="E53" s="42">
        <v>7696.0</v>
      </c>
      <c r="F53" s="42">
        <f t="shared" si="1"/>
        <v>14298</v>
      </c>
      <c r="G53" s="14"/>
      <c r="H53" s="14"/>
      <c r="I53" s="14"/>
      <c r="J53" s="56">
        <f t="shared" si="2"/>
        <v>4289.4</v>
      </c>
      <c r="K53" s="56" t="str">
        <f t="shared" si="3"/>
        <v/>
      </c>
      <c r="L53" s="14"/>
      <c r="M53" s="14"/>
      <c r="N53" s="56">
        <f t="shared" si="4"/>
        <v>2144.7</v>
      </c>
      <c r="O53" s="56" t="str">
        <f t="shared" si="5"/>
        <v/>
      </c>
      <c r="P53" s="56" t="str">
        <f t="shared" si="6"/>
        <v/>
      </c>
      <c r="Q53" s="56">
        <f t="shared" si="7"/>
        <v>14298</v>
      </c>
      <c r="R53" s="56" t="str">
        <f t="shared" si="8"/>
        <v/>
      </c>
      <c r="S53" s="5" t="str">
        <f t="shared" si="9"/>
        <v>MISSING DIRECT EMISSIONS</v>
      </c>
      <c r="T53" s="57">
        <v>46752.0</v>
      </c>
      <c r="U53" s="5" t="s">
        <v>241</v>
      </c>
    </row>
    <row r="54" ht="15.75" customHeight="1">
      <c r="A54" s="5" t="s">
        <v>1025</v>
      </c>
      <c r="B54" s="5" t="s">
        <v>258</v>
      </c>
      <c r="C54" s="5" t="s">
        <v>108</v>
      </c>
      <c r="D54" s="42">
        <v>715.0</v>
      </c>
      <c r="E54" s="42">
        <v>833.0</v>
      </c>
      <c r="F54" s="42">
        <f t="shared" si="1"/>
        <v>1548</v>
      </c>
      <c r="G54" s="14"/>
      <c r="H54" s="14"/>
      <c r="I54" s="14"/>
      <c r="J54" s="56">
        <f t="shared" si="2"/>
        <v>464.4</v>
      </c>
      <c r="K54" s="56" t="str">
        <f t="shared" si="3"/>
        <v/>
      </c>
      <c r="L54" s="14"/>
      <c r="M54" s="14"/>
      <c r="N54" s="56">
        <f t="shared" si="4"/>
        <v>232.2</v>
      </c>
      <c r="O54" s="56" t="str">
        <f t="shared" si="5"/>
        <v/>
      </c>
      <c r="P54" s="56" t="str">
        <f t="shared" si="6"/>
        <v/>
      </c>
      <c r="Q54" s="56">
        <f t="shared" si="7"/>
        <v>1548</v>
      </c>
      <c r="R54" s="56" t="str">
        <f t="shared" si="8"/>
        <v/>
      </c>
      <c r="S54" s="5" t="str">
        <f t="shared" si="9"/>
        <v>MISSING DIRECT EMISSIONS</v>
      </c>
      <c r="T54" s="57">
        <v>46752.0</v>
      </c>
      <c r="U54" s="5" t="s">
        <v>241</v>
      </c>
    </row>
    <row r="55" ht="15.75" customHeight="1">
      <c r="A55" s="5" t="s">
        <v>1026</v>
      </c>
      <c r="B55" s="5" t="s">
        <v>277</v>
      </c>
      <c r="C55" s="5" t="s">
        <v>108</v>
      </c>
      <c r="D55" s="42">
        <v>4494857.0</v>
      </c>
      <c r="E55" s="42">
        <v>5240036.0</v>
      </c>
      <c r="F55" s="42">
        <f t="shared" si="1"/>
        <v>9734893</v>
      </c>
      <c r="G55" s="14"/>
      <c r="H55" s="14"/>
      <c r="I55" s="14"/>
      <c r="J55" s="56">
        <f t="shared" si="2"/>
        <v>2920467.9</v>
      </c>
      <c r="K55" s="56" t="str">
        <f t="shared" si="3"/>
        <v/>
      </c>
      <c r="L55" s="14"/>
      <c r="M55" s="14"/>
      <c r="N55" s="56">
        <f t="shared" si="4"/>
        <v>1460233.95</v>
      </c>
      <c r="O55" s="56" t="str">
        <f t="shared" si="5"/>
        <v/>
      </c>
      <c r="P55" s="56" t="str">
        <f t="shared" si="6"/>
        <v/>
      </c>
      <c r="Q55" s="56">
        <f t="shared" si="7"/>
        <v>9734893</v>
      </c>
      <c r="R55" s="56" t="str">
        <f t="shared" si="8"/>
        <v/>
      </c>
      <c r="S55" s="5" t="str">
        <f t="shared" si="9"/>
        <v>MISSING DIRECT EMISSIONS</v>
      </c>
      <c r="T55" s="57">
        <v>46752.0</v>
      </c>
      <c r="U55" s="5" t="s">
        <v>241</v>
      </c>
    </row>
    <row r="56" ht="15.75" customHeight="1">
      <c r="A56" s="5" t="s">
        <v>1027</v>
      </c>
      <c r="B56" s="5" t="s">
        <v>297</v>
      </c>
      <c r="C56" s="5" t="s">
        <v>108</v>
      </c>
      <c r="D56" s="42">
        <v>487238.0</v>
      </c>
      <c r="E56" s="42">
        <v>568015.0</v>
      </c>
      <c r="F56" s="42">
        <f t="shared" si="1"/>
        <v>1055253</v>
      </c>
      <c r="G56" s="14"/>
      <c r="H56" s="14"/>
      <c r="I56" s="14"/>
      <c r="J56" s="56">
        <f t="shared" si="2"/>
        <v>316575.9</v>
      </c>
      <c r="K56" s="56" t="str">
        <f t="shared" si="3"/>
        <v/>
      </c>
      <c r="L56" s="14"/>
      <c r="M56" s="14"/>
      <c r="N56" s="56">
        <f t="shared" si="4"/>
        <v>158287.95</v>
      </c>
      <c r="O56" s="56" t="str">
        <f t="shared" si="5"/>
        <v/>
      </c>
      <c r="P56" s="56" t="str">
        <f t="shared" si="6"/>
        <v/>
      </c>
      <c r="Q56" s="56">
        <f t="shared" si="7"/>
        <v>1055253</v>
      </c>
      <c r="R56" s="56" t="str">
        <f t="shared" si="8"/>
        <v/>
      </c>
      <c r="S56" s="5" t="str">
        <f t="shared" si="9"/>
        <v>MISSING DIRECT EMISSIONS</v>
      </c>
      <c r="T56" s="57">
        <v>46752.0</v>
      </c>
      <c r="U56" s="5" t="s">
        <v>241</v>
      </c>
    </row>
    <row r="57" ht="15.75" customHeight="1">
      <c r="A57" s="5" t="s">
        <v>1028</v>
      </c>
      <c r="B57" s="5" t="s">
        <v>308</v>
      </c>
      <c r="C57" s="5" t="s">
        <v>108</v>
      </c>
      <c r="D57" s="42">
        <v>11961.0</v>
      </c>
      <c r="E57" s="42">
        <v>13944.0</v>
      </c>
      <c r="F57" s="42">
        <f t="shared" si="1"/>
        <v>25905</v>
      </c>
      <c r="G57" s="14"/>
      <c r="H57" s="14"/>
      <c r="I57" s="14"/>
      <c r="J57" s="56">
        <f t="shared" si="2"/>
        <v>7771.5</v>
      </c>
      <c r="K57" s="56" t="str">
        <f t="shared" si="3"/>
        <v/>
      </c>
      <c r="L57" s="14"/>
      <c r="M57" s="14"/>
      <c r="N57" s="56">
        <f t="shared" si="4"/>
        <v>3885.75</v>
      </c>
      <c r="O57" s="56" t="str">
        <f t="shared" si="5"/>
        <v/>
      </c>
      <c r="P57" s="56" t="str">
        <f t="shared" si="6"/>
        <v/>
      </c>
      <c r="Q57" s="56">
        <f t="shared" si="7"/>
        <v>25905</v>
      </c>
      <c r="R57" s="56" t="str">
        <f t="shared" si="8"/>
        <v/>
      </c>
      <c r="S57" s="5" t="str">
        <f t="shared" si="9"/>
        <v>MISSING DIRECT EMISSIONS</v>
      </c>
      <c r="T57" s="57">
        <v>46752.0</v>
      </c>
      <c r="U57" s="5" t="s">
        <v>241</v>
      </c>
    </row>
    <row r="58" ht="15.75" customHeight="1">
      <c r="A58" s="5" t="s">
        <v>1029</v>
      </c>
      <c r="B58" s="5" t="s">
        <v>325</v>
      </c>
      <c r="C58" s="5" t="s">
        <v>108</v>
      </c>
      <c r="D58" s="42">
        <v>15530.0</v>
      </c>
      <c r="E58" s="42">
        <v>18105.0</v>
      </c>
      <c r="F58" s="42">
        <f t="shared" si="1"/>
        <v>33635</v>
      </c>
      <c r="G58" s="14"/>
      <c r="H58" s="14"/>
      <c r="I58" s="14"/>
      <c r="J58" s="56">
        <f t="shared" si="2"/>
        <v>10090.5</v>
      </c>
      <c r="K58" s="56" t="str">
        <f t="shared" si="3"/>
        <v/>
      </c>
      <c r="L58" s="14"/>
      <c r="M58" s="14"/>
      <c r="N58" s="56">
        <f t="shared" si="4"/>
        <v>5045.25</v>
      </c>
      <c r="O58" s="56" t="str">
        <f t="shared" si="5"/>
        <v/>
      </c>
      <c r="P58" s="56" t="str">
        <f t="shared" si="6"/>
        <v/>
      </c>
      <c r="Q58" s="56">
        <f t="shared" si="7"/>
        <v>33635</v>
      </c>
      <c r="R58" s="56" t="str">
        <f t="shared" si="8"/>
        <v/>
      </c>
      <c r="S58" s="5" t="str">
        <f t="shared" si="9"/>
        <v>MISSING DIRECT EMISSIONS</v>
      </c>
      <c r="T58" s="57">
        <v>46752.0</v>
      </c>
      <c r="U58" s="5" t="s">
        <v>241</v>
      </c>
    </row>
    <row r="59" ht="15.75" customHeight="1">
      <c r="A59" s="5" t="s">
        <v>1030</v>
      </c>
      <c r="B59" s="5" t="s">
        <v>334</v>
      </c>
      <c r="C59" s="5" t="s">
        <v>108</v>
      </c>
      <c r="D59" s="42">
        <v>2893.0</v>
      </c>
      <c r="E59" s="42">
        <v>3372.0</v>
      </c>
      <c r="F59" s="42">
        <f t="shared" si="1"/>
        <v>6265</v>
      </c>
      <c r="G59" s="14"/>
      <c r="H59" s="14"/>
      <c r="I59" s="14"/>
      <c r="J59" s="56">
        <f t="shared" si="2"/>
        <v>1879.5</v>
      </c>
      <c r="K59" s="56" t="str">
        <f t="shared" si="3"/>
        <v/>
      </c>
      <c r="L59" s="14"/>
      <c r="M59" s="14"/>
      <c r="N59" s="56">
        <f t="shared" si="4"/>
        <v>939.75</v>
      </c>
      <c r="O59" s="56" t="str">
        <f t="shared" si="5"/>
        <v/>
      </c>
      <c r="P59" s="56" t="str">
        <f t="shared" si="6"/>
        <v/>
      </c>
      <c r="Q59" s="56">
        <f t="shared" si="7"/>
        <v>6265</v>
      </c>
      <c r="R59" s="56" t="str">
        <f t="shared" si="8"/>
        <v/>
      </c>
      <c r="S59" s="5" t="str">
        <f t="shared" si="9"/>
        <v>MISSING DIRECT EMISSIONS</v>
      </c>
      <c r="T59" s="57">
        <v>46752.0</v>
      </c>
      <c r="U59" s="5" t="s">
        <v>241</v>
      </c>
    </row>
    <row r="60" ht="15.75" customHeight="1">
      <c r="A60" s="5" t="s">
        <v>1031</v>
      </c>
      <c r="B60" s="5" t="s">
        <v>337</v>
      </c>
      <c r="C60" s="5" t="s">
        <v>108</v>
      </c>
      <c r="D60" s="42">
        <v>236403.0</v>
      </c>
      <c r="E60" s="42">
        <v>275595.0</v>
      </c>
      <c r="F60" s="42">
        <f t="shared" si="1"/>
        <v>511998</v>
      </c>
      <c r="G60" s="14"/>
      <c r="H60" s="14"/>
      <c r="I60" s="14"/>
      <c r="J60" s="56">
        <f t="shared" si="2"/>
        <v>153599.4</v>
      </c>
      <c r="K60" s="56" t="str">
        <f t="shared" si="3"/>
        <v/>
      </c>
      <c r="L60" s="14"/>
      <c r="M60" s="14"/>
      <c r="N60" s="56">
        <f t="shared" si="4"/>
        <v>76799.7</v>
      </c>
      <c r="O60" s="56" t="str">
        <f t="shared" si="5"/>
        <v/>
      </c>
      <c r="P60" s="56" t="str">
        <f t="shared" si="6"/>
        <v/>
      </c>
      <c r="Q60" s="56">
        <f t="shared" si="7"/>
        <v>511998</v>
      </c>
      <c r="R60" s="56" t="str">
        <f t="shared" si="8"/>
        <v/>
      </c>
      <c r="S60" s="5" t="str">
        <f t="shared" si="9"/>
        <v>MISSING DIRECT EMISSIONS</v>
      </c>
      <c r="T60" s="57">
        <v>46752.0</v>
      </c>
      <c r="U60" s="5" t="s">
        <v>241</v>
      </c>
    </row>
    <row r="61" ht="15.75" customHeight="1">
      <c r="A61" s="5" t="s">
        <v>1032</v>
      </c>
      <c r="B61" s="5" t="s">
        <v>339</v>
      </c>
      <c r="C61" s="5" t="s">
        <v>123</v>
      </c>
      <c r="D61" s="42">
        <v>109943.0</v>
      </c>
      <c r="E61" s="42">
        <v>120305.0</v>
      </c>
      <c r="F61" s="42">
        <f t="shared" si="1"/>
        <v>230248</v>
      </c>
      <c r="G61" s="14"/>
      <c r="H61" s="14"/>
      <c r="I61" s="14"/>
      <c r="J61" s="56">
        <f t="shared" si="2"/>
        <v>69074.4</v>
      </c>
      <c r="K61" s="56" t="str">
        <f t="shared" si="3"/>
        <v/>
      </c>
      <c r="L61" s="14"/>
      <c r="M61" s="14"/>
      <c r="N61" s="56">
        <f t="shared" si="4"/>
        <v>34537.2</v>
      </c>
      <c r="O61" s="56" t="str">
        <f t="shared" si="5"/>
        <v/>
      </c>
      <c r="P61" s="56" t="str">
        <f t="shared" si="6"/>
        <v/>
      </c>
      <c r="Q61" s="56">
        <f t="shared" si="7"/>
        <v>230248</v>
      </c>
      <c r="R61" s="56" t="str">
        <f t="shared" si="8"/>
        <v/>
      </c>
      <c r="S61" s="5" t="str">
        <f t="shared" si="9"/>
        <v>MISSING DIRECT EMISSIONS</v>
      </c>
      <c r="T61" s="57">
        <v>46752.0</v>
      </c>
      <c r="U61" s="5" t="s">
        <v>241</v>
      </c>
    </row>
    <row r="62" ht="15.75" customHeight="1">
      <c r="A62" s="5" t="s">
        <v>1033</v>
      </c>
      <c r="B62" s="5" t="s">
        <v>343</v>
      </c>
      <c r="C62" s="5" t="s">
        <v>123</v>
      </c>
      <c r="D62" s="42">
        <v>648135.0</v>
      </c>
      <c r="E62" s="42">
        <v>709220.0</v>
      </c>
      <c r="F62" s="42">
        <f t="shared" si="1"/>
        <v>1357355</v>
      </c>
      <c r="G62" s="14"/>
      <c r="H62" s="14"/>
      <c r="I62" s="14"/>
      <c r="J62" s="56">
        <f t="shared" si="2"/>
        <v>407206.5</v>
      </c>
      <c r="K62" s="56" t="str">
        <f t="shared" si="3"/>
        <v/>
      </c>
      <c r="L62" s="14"/>
      <c r="M62" s="14"/>
      <c r="N62" s="56">
        <f t="shared" si="4"/>
        <v>203603.25</v>
      </c>
      <c r="O62" s="56" t="str">
        <f t="shared" si="5"/>
        <v/>
      </c>
      <c r="P62" s="56" t="str">
        <f t="shared" si="6"/>
        <v/>
      </c>
      <c r="Q62" s="56">
        <f t="shared" si="7"/>
        <v>1357355</v>
      </c>
      <c r="R62" s="56" t="str">
        <f t="shared" si="8"/>
        <v/>
      </c>
      <c r="S62" s="5" t="str">
        <f t="shared" si="9"/>
        <v>MISSING DIRECT EMISSIONS</v>
      </c>
      <c r="T62" s="57">
        <v>46752.0</v>
      </c>
      <c r="U62" s="5" t="s">
        <v>241</v>
      </c>
    </row>
    <row r="63" ht="15.75" customHeight="1">
      <c r="A63" s="5" t="s">
        <v>1034</v>
      </c>
      <c r="B63" s="5" t="s">
        <v>345</v>
      </c>
      <c r="C63" s="5" t="s">
        <v>123</v>
      </c>
      <c r="D63" s="42">
        <v>369109.0</v>
      </c>
      <c r="E63" s="42">
        <v>403897.0</v>
      </c>
      <c r="F63" s="42">
        <f t="shared" si="1"/>
        <v>773006</v>
      </c>
      <c r="G63" s="14"/>
      <c r="H63" s="14"/>
      <c r="I63" s="14"/>
      <c r="J63" s="56">
        <f t="shared" si="2"/>
        <v>231901.8</v>
      </c>
      <c r="K63" s="56" t="str">
        <f t="shared" si="3"/>
        <v/>
      </c>
      <c r="L63" s="14"/>
      <c r="M63" s="14"/>
      <c r="N63" s="56">
        <f t="shared" si="4"/>
        <v>115950.9</v>
      </c>
      <c r="O63" s="56" t="str">
        <f t="shared" si="5"/>
        <v/>
      </c>
      <c r="P63" s="56" t="str">
        <f t="shared" si="6"/>
        <v/>
      </c>
      <c r="Q63" s="56">
        <f t="shared" si="7"/>
        <v>773006</v>
      </c>
      <c r="R63" s="56" t="str">
        <f t="shared" si="8"/>
        <v/>
      </c>
      <c r="S63" s="5" t="str">
        <f t="shared" si="9"/>
        <v>MISSING DIRECT EMISSIONS</v>
      </c>
      <c r="T63" s="57">
        <v>46752.0</v>
      </c>
      <c r="U63" s="5" t="s">
        <v>241</v>
      </c>
    </row>
    <row r="64" ht="15.75" customHeight="1">
      <c r="A64" s="5" t="s">
        <v>1035</v>
      </c>
      <c r="B64" s="5" t="s">
        <v>347</v>
      </c>
      <c r="C64" s="5" t="s">
        <v>123</v>
      </c>
      <c r="D64" s="42">
        <v>359956.0</v>
      </c>
      <c r="E64" s="42">
        <v>393882.0</v>
      </c>
      <c r="F64" s="42">
        <f t="shared" si="1"/>
        <v>753838</v>
      </c>
      <c r="G64" s="14"/>
      <c r="H64" s="14"/>
      <c r="I64" s="14"/>
      <c r="J64" s="56">
        <f t="shared" si="2"/>
        <v>226151.4</v>
      </c>
      <c r="K64" s="56" t="str">
        <f t="shared" si="3"/>
        <v/>
      </c>
      <c r="L64" s="14"/>
      <c r="M64" s="14"/>
      <c r="N64" s="56">
        <f t="shared" si="4"/>
        <v>113075.7</v>
      </c>
      <c r="O64" s="56" t="str">
        <f t="shared" si="5"/>
        <v/>
      </c>
      <c r="P64" s="56" t="str">
        <f t="shared" si="6"/>
        <v/>
      </c>
      <c r="Q64" s="56">
        <f t="shared" si="7"/>
        <v>753838</v>
      </c>
      <c r="R64" s="56" t="str">
        <f t="shared" si="8"/>
        <v/>
      </c>
      <c r="S64" s="5" t="str">
        <f t="shared" si="9"/>
        <v>MISSING DIRECT EMISSIONS</v>
      </c>
      <c r="T64" s="57">
        <v>46752.0</v>
      </c>
      <c r="U64" s="5" t="s">
        <v>241</v>
      </c>
    </row>
    <row r="65" ht="15.75" customHeight="1">
      <c r="A65" s="5" t="s">
        <v>1036</v>
      </c>
      <c r="B65" s="5" t="s">
        <v>349</v>
      </c>
      <c r="C65" s="5" t="s">
        <v>123</v>
      </c>
      <c r="D65" s="42">
        <v>171860.0</v>
      </c>
      <c r="E65" s="42">
        <v>188058.0</v>
      </c>
      <c r="F65" s="42">
        <f t="shared" si="1"/>
        <v>359918</v>
      </c>
      <c r="G65" s="14"/>
      <c r="H65" s="14"/>
      <c r="I65" s="14"/>
      <c r="J65" s="56">
        <f t="shared" si="2"/>
        <v>107975.4</v>
      </c>
      <c r="K65" s="56" t="str">
        <f t="shared" si="3"/>
        <v/>
      </c>
      <c r="L65" s="14"/>
      <c r="M65" s="14"/>
      <c r="N65" s="56">
        <f t="shared" si="4"/>
        <v>53987.7</v>
      </c>
      <c r="O65" s="56" t="str">
        <f t="shared" si="5"/>
        <v/>
      </c>
      <c r="P65" s="56" t="str">
        <f t="shared" si="6"/>
        <v/>
      </c>
      <c r="Q65" s="56">
        <f t="shared" si="7"/>
        <v>359918</v>
      </c>
      <c r="R65" s="56" t="str">
        <f t="shared" si="8"/>
        <v/>
      </c>
      <c r="S65" s="5" t="str">
        <f t="shared" si="9"/>
        <v>MISSING DIRECT EMISSIONS</v>
      </c>
      <c r="T65" s="57">
        <v>46752.0</v>
      </c>
      <c r="U65" s="5" t="s">
        <v>241</v>
      </c>
    </row>
    <row r="66" ht="15.75" customHeight="1">
      <c r="A66" s="5" t="s">
        <v>1037</v>
      </c>
      <c r="B66" s="5" t="s">
        <v>351</v>
      </c>
      <c r="C66" s="5" t="s">
        <v>123</v>
      </c>
      <c r="D66" s="42">
        <v>400233.0</v>
      </c>
      <c r="E66" s="42">
        <v>437954.0</v>
      </c>
      <c r="F66" s="42">
        <f t="shared" si="1"/>
        <v>838187</v>
      </c>
      <c r="G66" s="14"/>
      <c r="H66" s="14"/>
      <c r="I66" s="14"/>
      <c r="J66" s="56">
        <f t="shared" si="2"/>
        <v>251456.1</v>
      </c>
      <c r="K66" s="56" t="str">
        <f t="shared" si="3"/>
        <v/>
      </c>
      <c r="L66" s="14"/>
      <c r="M66" s="14"/>
      <c r="N66" s="56">
        <f t="shared" si="4"/>
        <v>125728.05</v>
      </c>
      <c r="O66" s="56" t="str">
        <f t="shared" si="5"/>
        <v/>
      </c>
      <c r="P66" s="56" t="str">
        <f t="shared" si="6"/>
        <v/>
      </c>
      <c r="Q66" s="56">
        <f t="shared" si="7"/>
        <v>838187</v>
      </c>
      <c r="R66" s="56" t="str">
        <f t="shared" si="8"/>
        <v/>
      </c>
      <c r="S66" s="5" t="str">
        <f t="shared" si="9"/>
        <v>MISSING DIRECT EMISSIONS</v>
      </c>
      <c r="T66" s="57">
        <v>46752.0</v>
      </c>
      <c r="U66" s="5" t="s">
        <v>241</v>
      </c>
    </row>
    <row r="67" ht="15.75" customHeight="1">
      <c r="A67" s="5" t="s">
        <v>1038</v>
      </c>
      <c r="B67" s="5" t="s">
        <v>353</v>
      </c>
      <c r="C67" s="5" t="s">
        <v>123</v>
      </c>
      <c r="D67" s="42">
        <v>598709.0</v>
      </c>
      <c r="E67" s="42">
        <v>655136.0</v>
      </c>
      <c r="F67" s="42">
        <f t="shared" si="1"/>
        <v>1253845</v>
      </c>
      <c r="G67" s="14"/>
      <c r="H67" s="14"/>
      <c r="I67" s="14"/>
      <c r="J67" s="56">
        <f t="shared" si="2"/>
        <v>376153.5</v>
      </c>
      <c r="K67" s="56" t="str">
        <f t="shared" si="3"/>
        <v/>
      </c>
      <c r="L67" s="14"/>
      <c r="M67" s="14"/>
      <c r="N67" s="56">
        <f t="shared" si="4"/>
        <v>188076.75</v>
      </c>
      <c r="O67" s="56" t="str">
        <f t="shared" si="5"/>
        <v/>
      </c>
      <c r="P67" s="56" t="str">
        <f t="shared" si="6"/>
        <v/>
      </c>
      <c r="Q67" s="56">
        <f t="shared" si="7"/>
        <v>1253845</v>
      </c>
      <c r="R67" s="56" t="str">
        <f t="shared" si="8"/>
        <v/>
      </c>
      <c r="S67" s="5" t="str">
        <f t="shared" si="9"/>
        <v>MISSING DIRECT EMISSIONS</v>
      </c>
      <c r="T67" s="57">
        <v>46752.0</v>
      </c>
      <c r="U67" s="5" t="s">
        <v>241</v>
      </c>
    </row>
    <row r="68" ht="15.75" customHeight="1">
      <c r="A68" s="5" t="s">
        <v>1039</v>
      </c>
      <c r="B68" s="5" t="s">
        <v>355</v>
      </c>
      <c r="C68" s="5" t="s">
        <v>123</v>
      </c>
      <c r="D68" s="42">
        <v>126022.0</v>
      </c>
      <c r="E68" s="42">
        <v>137899.0</v>
      </c>
      <c r="F68" s="42">
        <f t="shared" si="1"/>
        <v>263921</v>
      </c>
      <c r="G68" s="14"/>
      <c r="H68" s="14"/>
      <c r="I68" s="14"/>
      <c r="J68" s="56">
        <f t="shared" si="2"/>
        <v>79176.3</v>
      </c>
      <c r="K68" s="56" t="str">
        <f t="shared" si="3"/>
        <v/>
      </c>
      <c r="L68" s="14"/>
      <c r="M68" s="14"/>
      <c r="N68" s="56">
        <f t="shared" si="4"/>
        <v>39588.15</v>
      </c>
      <c r="O68" s="56" t="str">
        <f t="shared" si="5"/>
        <v/>
      </c>
      <c r="P68" s="56" t="str">
        <f t="shared" si="6"/>
        <v/>
      </c>
      <c r="Q68" s="56">
        <f t="shared" si="7"/>
        <v>263921</v>
      </c>
      <c r="R68" s="56" t="str">
        <f t="shared" si="8"/>
        <v/>
      </c>
      <c r="S68" s="5" t="str">
        <f t="shared" si="9"/>
        <v>MISSING DIRECT EMISSIONS</v>
      </c>
      <c r="T68" s="57">
        <v>46752.0</v>
      </c>
      <c r="U68" s="5" t="s">
        <v>241</v>
      </c>
    </row>
    <row r="69" ht="15.75" customHeight="1">
      <c r="A69" s="5" t="s">
        <v>1040</v>
      </c>
      <c r="B69" s="5" t="s">
        <v>357</v>
      </c>
      <c r="C69" s="5" t="s">
        <v>123</v>
      </c>
      <c r="D69" s="42">
        <v>836948.0</v>
      </c>
      <c r="E69" s="42">
        <v>915828.0</v>
      </c>
      <c r="F69" s="42">
        <f t="shared" si="1"/>
        <v>1752776</v>
      </c>
      <c r="G69" s="14"/>
      <c r="H69" s="14"/>
      <c r="I69" s="14"/>
      <c r="J69" s="56">
        <f t="shared" si="2"/>
        <v>525832.8</v>
      </c>
      <c r="K69" s="56" t="str">
        <f t="shared" si="3"/>
        <v/>
      </c>
      <c r="L69" s="14"/>
      <c r="M69" s="14"/>
      <c r="N69" s="56">
        <f t="shared" si="4"/>
        <v>262916.4</v>
      </c>
      <c r="O69" s="56" t="str">
        <f t="shared" si="5"/>
        <v/>
      </c>
      <c r="P69" s="56" t="str">
        <f t="shared" si="6"/>
        <v/>
      </c>
      <c r="Q69" s="56">
        <f t="shared" si="7"/>
        <v>1752776</v>
      </c>
      <c r="R69" s="56" t="str">
        <f t="shared" si="8"/>
        <v/>
      </c>
      <c r="S69" s="5" t="str">
        <f t="shared" si="9"/>
        <v>MISSING DIRECT EMISSIONS</v>
      </c>
      <c r="T69" s="57">
        <v>46752.0</v>
      </c>
      <c r="U69" s="5" t="s">
        <v>241</v>
      </c>
    </row>
    <row r="70" ht="15.75" customHeight="1">
      <c r="A70" s="5" t="s">
        <v>1041</v>
      </c>
      <c r="B70" s="5" t="s">
        <v>359</v>
      </c>
      <c r="C70" s="5" t="s">
        <v>123</v>
      </c>
      <c r="D70" s="42">
        <v>124008.0</v>
      </c>
      <c r="E70" s="42">
        <v>135696.0</v>
      </c>
      <c r="F70" s="42">
        <f t="shared" si="1"/>
        <v>259704</v>
      </c>
      <c r="G70" s="14"/>
      <c r="H70" s="14"/>
      <c r="I70" s="14"/>
      <c r="J70" s="56">
        <f t="shared" si="2"/>
        <v>77911.2</v>
      </c>
      <c r="K70" s="56" t="str">
        <f t="shared" si="3"/>
        <v/>
      </c>
      <c r="L70" s="14"/>
      <c r="M70" s="14"/>
      <c r="N70" s="56">
        <f t="shared" si="4"/>
        <v>38955.6</v>
      </c>
      <c r="O70" s="56" t="str">
        <f t="shared" si="5"/>
        <v/>
      </c>
      <c r="P70" s="56" t="str">
        <f t="shared" si="6"/>
        <v/>
      </c>
      <c r="Q70" s="56">
        <f t="shared" si="7"/>
        <v>259704</v>
      </c>
      <c r="R70" s="56" t="str">
        <f t="shared" si="8"/>
        <v/>
      </c>
      <c r="S70" s="5" t="str">
        <f t="shared" si="9"/>
        <v>MISSING DIRECT EMISSIONS</v>
      </c>
      <c r="T70" s="57">
        <v>46752.0</v>
      </c>
      <c r="U70" s="5" t="s">
        <v>241</v>
      </c>
    </row>
    <row r="71" ht="15.75" customHeight="1">
      <c r="A71" s="5" t="s">
        <v>1042</v>
      </c>
      <c r="B71" s="5" t="s">
        <v>361</v>
      </c>
      <c r="C71" s="5" t="s">
        <v>123</v>
      </c>
      <c r="D71" s="42">
        <v>638702.0</v>
      </c>
      <c r="E71" s="42">
        <v>698898.0</v>
      </c>
      <c r="F71" s="42">
        <f t="shared" si="1"/>
        <v>1337600</v>
      </c>
      <c r="G71" s="14"/>
      <c r="H71" s="14"/>
      <c r="I71" s="14"/>
      <c r="J71" s="56">
        <f t="shared" si="2"/>
        <v>401280</v>
      </c>
      <c r="K71" s="56" t="str">
        <f t="shared" si="3"/>
        <v/>
      </c>
      <c r="L71" s="14"/>
      <c r="M71" s="14"/>
      <c r="N71" s="56">
        <f t="shared" si="4"/>
        <v>200640</v>
      </c>
      <c r="O71" s="56" t="str">
        <f t="shared" si="5"/>
        <v/>
      </c>
      <c r="P71" s="56" t="str">
        <f t="shared" si="6"/>
        <v/>
      </c>
      <c r="Q71" s="56">
        <f t="shared" si="7"/>
        <v>1337600</v>
      </c>
      <c r="R71" s="56" t="str">
        <f t="shared" si="8"/>
        <v/>
      </c>
      <c r="S71" s="5" t="str">
        <f t="shared" si="9"/>
        <v>MISSING DIRECT EMISSIONS</v>
      </c>
      <c r="T71" s="57">
        <v>46752.0</v>
      </c>
      <c r="U71" s="5" t="s">
        <v>241</v>
      </c>
    </row>
    <row r="72" ht="15.75" customHeight="1">
      <c r="A72" s="5" t="s">
        <v>1043</v>
      </c>
      <c r="B72" s="5" t="s">
        <v>363</v>
      </c>
      <c r="C72" s="5" t="s">
        <v>123</v>
      </c>
      <c r="D72" s="42">
        <v>592455.0</v>
      </c>
      <c r="E72" s="42">
        <v>648292.0</v>
      </c>
      <c r="F72" s="42">
        <f t="shared" si="1"/>
        <v>1240747</v>
      </c>
      <c r="G72" s="14"/>
      <c r="H72" s="14"/>
      <c r="I72" s="14"/>
      <c r="J72" s="56">
        <f t="shared" si="2"/>
        <v>372224.1</v>
      </c>
      <c r="K72" s="56" t="str">
        <f t="shared" si="3"/>
        <v/>
      </c>
      <c r="L72" s="14"/>
      <c r="M72" s="14"/>
      <c r="N72" s="56">
        <f t="shared" si="4"/>
        <v>186112.05</v>
      </c>
      <c r="O72" s="56" t="str">
        <f t="shared" si="5"/>
        <v/>
      </c>
      <c r="P72" s="56" t="str">
        <f t="shared" si="6"/>
        <v/>
      </c>
      <c r="Q72" s="56">
        <f t="shared" si="7"/>
        <v>1240747</v>
      </c>
      <c r="R72" s="56" t="str">
        <f t="shared" si="8"/>
        <v/>
      </c>
      <c r="S72" s="5" t="str">
        <f t="shared" si="9"/>
        <v>MISSING DIRECT EMISSIONS</v>
      </c>
      <c r="T72" s="57">
        <v>46752.0</v>
      </c>
      <c r="U72" s="5" t="s">
        <v>241</v>
      </c>
    </row>
    <row r="73" ht="15.75" customHeight="1">
      <c r="A73" s="5" t="s">
        <v>1044</v>
      </c>
      <c r="B73" s="5" t="s">
        <v>365</v>
      </c>
      <c r="C73" s="5" t="s">
        <v>123</v>
      </c>
      <c r="D73" s="42">
        <v>480806.0</v>
      </c>
      <c r="E73" s="42">
        <v>526121.0</v>
      </c>
      <c r="F73" s="42">
        <f t="shared" si="1"/>
        <v>1006927</v>
      </c>
      <c r="G73" s="14"/>
      <c r="H73" s="14"/>
      <c r="I73" s="14"/>
      <c r="J73" s="56">
        <f t="shared" si="2"/>
        <v>302078.1</v>
      </c>
      <c r="K73" s="56" t="str">
        <f t="shared" si="3"/>
        <v/>
      </c>
      <c r="L73" s="14"/>
      <c r="M73" s="14"/>
      <c r="N73" s="56">
        <f t="shared" si="4"/>
        <v>151039.05</v>
      </c>
      <c r="O73" s="56" t="str">
        <f t="shared" si="5"/>
        <v/>
      </c>
      <c r="P73" s="56" t="str">
        <f t="shared" si="6"/>
        <v/>
      </c>
      <c r="Q73" s="56">
        <f t="shared" si="7"/>
        <v>1006927</v>
      </c>
      <c r="R73" s="56" t="str">
        <f t="shared" si="8"/>
        <v/>
      </c>
      <c r="S73" s="5" t="str">
        <f t="shared" si="9"/>
        <v>MISSING DIRECT EMISSIONS</v>
      </c>
      <c r="T73" s="57">
        <v>46752.0</v>
      </c>
      <c r="U73" s="5" t="s">
        <v>241</v>
      </c>
    </row>
    <row r="74" ht="15.75" customHeight="1">
      <c r="A74" s="5" t="s">
        <v>1045</v>
      </c>
      <c r="B74" s="5" t="s">
        <v>367</v>
      </c>
      <c r="C74" s="5" t="s">
        <v>123</v>
      </c>
      <c r="D74" s="42">
        <v>404692.0</v>
      </c>
      <c r="E74" s="42">
        <v>442833.0</v>
      </c>
      <c r="F74" s="42">
        <f t="shared" si="1"/>
        <v>847525</v>
      </c>
      <c r="G74" s="14"/>
      <c r="H74" s="14"/>
      <c r="I74" s="14"/>
      <c r="J74" s="56">
        <f t="shared" si="2"/>
        <v>254257.5</v>
      </c>
      <c r="K74" s="56" t="str">
        <f t="shared" si="3"/>
        <v/>
      </c>
      <c r="L74" s="14"/>
      <c r="M74" s="14"/>
      <c r="N74" s="56">
        <f t="shared" si="4"/>
        <v>127128.75</v>
      </c>
      <c r="O74" s="56" t="str">
        <f t="shared" si="5"/>
        <v/>
      </c>
      <c r="P74" s="56" t="str">
        <f t="shared" si="6"/>
        <v/>
      </c>
      <c r="Q74" s="56">
        <f t="shared" si="7"/>
        <v>847525</v>
      </c>
      <c r="R74" s="56" t="str">
        <f t="shared" si="8"/>
        <v/>
      </c>
      <c r="S74" s="5" t="str">
        <f t="shared" si="9"/>
        <v>MISSING DIRECT EMISSIONS</v>
      </c>
      <c r="T74" s="57">
        <v>46752.0</v>
      </c>
      <c r="U74" s="5" t="s">
        <v>241</v>
      </c>
    </row>
    <row r="75" ht="15.75" customHeight="1">
      <c r="A75" s="5" t="s">
        <v>1046</v>
      </c>
      <c r="B75" s="5" t="s">
        <v>369</v>
      </c>
      <c r="C75" s="5" t="s">
        <v>123</v>
      </c>
      <c r="D75" s="42">
        <v>679217.0</v>
      </c>
      <c r="E75" s="42">
        <v>743232.0</v>
      </c>
      <c r="F75" s="42">
        <f t="shared" si="1"/>
        <v>1422449</v>
      </c>
      <c r="G75" s="14"/>
      <c r="H75" s="14"/>
      <c r="I75" s="14"/>
      <c r="J75" s="56">
        <f t="shared" si="2"/>
        <v>426734.7</v>
      </c>
      <c r="K75" s="56" t="str">
        <f t="shared" si="3"/>
        <v/>
      </c>
      <c r="L75" s="14"/>
      <c r="M75" s="14"/>
      <c r="N75" s="56">
        <f t="shared" si="4"/>
        <v>213367.35</v>
      </c>
      <c r="O75" s="56" t="str">
        <f t="shared" si="5"/>
        <v/>
      </c>
      <c r="P75" s="56" t="str">
        <f t="shared" si="6"/>
        <v/>
      </c>
      <c r="Q75" s="56">
        <f t="shared" si="7"/>
        <v>1422449</v>
      </c>
      <c r="R75" s="56" t="str">
        <f t="shared" si="8"/>
        <v/>
      </c>
      <c r="S75" s="5" t="str">
        <f t="shared" si="9"/>
        <v>MISSING DIRECT EMISSIONS</v>
      </c>
      <c r="T75" s="57">
        <v>46752.0</v>
      </c>
      <c r="U75" s="5" t="s">
        <v>241</v>
      </c>
    </row>
    <row r="76" ht="15.75" customHeight="1">
      <c r="A76" s="5" t="s">
        <v>1047</v>
      </c>
      <c r="B76" s="5" t="s">
        <v>371</v>
      </c>
      <c r="C76" s="5" t="s">
        <v>123</v>
      </c>
      <c r="D76" s="42">
        <v>104067.0</v>
      </c>
      <c r="E76" s="42">
        <v>113875.0</v>
      </c>
      <c r="F76" s="42">
        <f t="shared" si="1"/>
        <v>217942</v>
      </c>
      <c r="G76" s="14"/>
      <c r="H76" s="14"/>
      <c r="I76" s="14"/>
      <c r="J76" s="56">
        <f t="shared" si="2"/>
        <v>65382.6</v>
      </c>
      <c r="K76" s="56" t="str">
        <f t="shared" si="3"/>
        <v/>
      </c>
      <c r="L76" s="14"/>
      <c r="M76" s="14"/>
      <c r="N76" s="56">
        <f t="shared" si="4"/>
        <v>32691.3</v>
      </c>
      <c r="O76" s="56" t="str">
        <f t="shared" si="5"/>
        <v/>
      </c>
      <c r="P76" s="56" t="str">
        <f t="shared" si="6"/>
        <v/>
      </c>
      <c r="Q76" s="56">
        <f t="shared" si="7"/>
        <v>217942</v>
      </c>
      <c r="R76" s="56" t="str">
        <f t="shared" si="8"/>
        <v/>
      </c>
      <c r="S76" s="5" t="str">
        <f t="shared" si="9"/>
        <v>MISSING DIRECT EMISSIONS</v>
      </c>
      <c r="T76" s="57">
        <v>46752.0</v>
      </c>
      <c r="U76" s="5" t="s">
        <v>241</v>
      </c>
    </row>
    <row r="77" ht="15.75" customHeight="1">
      <c r="A77" s="5" t="s">
        <v>1048</v>
      </c>
      <c r="B77" s="5" t="s">
        <v>373</v>
      </c>
      <c r="C77" s="5" t="s">
        <v>123</v>
      </c>
      <c r="D77" s="42">
        <v>1616252.0</v>
      </c>
      <c r="E77" s="42">
        <v>1768581.0</v>
      </c>
      <c r="F77" s="42">
        <f t="shared" si="1"/>
        <v>3384833</v>
      </c>
      <c r="G77" s="14"/>
      <c r="H77" s="14"/>
      <c r="I77" s="14"/>
      <c r="J77" s="56">
        <f t="shared" si="2"/>
        <v>1015449.9</v>
      </c>
      <c r="K77" s="56" t="str">
        <f t="shared" si="3"/>
        <v/>
      </c>
      <c r="L77" s="14"/>
      <c r="M77" s="14"/>
      <c r="N77" s="56">
        <f t="shared" si="4"/>
        <v>507724.95</v>
      </c>
      <c r="O77" s="56" t="str">
        <f t="shared" si="5"/>
        <v/>
      </c>
      <c r="P77" s="56" t="str">
        <f t="shared" si="6"/>
        <v/>
      </c>
      <c r="Q77" s="56">
        <f t="shared" si="7"/>
        <v>3384833</v>
      </c>
      <c r="R77" s="56" t="str">
        <f t="shared" si="8"/>
        <v/>
      </c>
      <c r="S77" s="5" t="str">
        <f t="shared" si="9"/>
        <v>MISSING DIRECT EMISSIONS</v>
      </c>
      <c r="T77" s="57">
        <v>46752.0</v>
      </c>
      <c r="U77" s="5" t="s">
        <v>241</v>
      </c>
    </row>
    <row r="78" ht="15.75" customHeight="1">
      <c r="A78" s="5" t="s">
        <v>1049</v>
      </c>
      <c r="B78" s="5" t="s">
        <v>375</v>
      </c>
      <c r="C78" s="5" t="s">
        <v>123</v>
      </c>
      <c r="D78" s="42">
        <v>933095.0</v>
      </c>
      <c r="E78" s="42">
        <v>1021037.0</v>
      </c>
      <c r="F78" s="42">
        <f t="shared" si="1"/>
        <v>1954132</v>
      </c>
      <c r="G78" s="14"/>
      <c r="H78" s="14"/>
      <c r="I78" s="14"/>
      <c r="J78" s="56">
        <f t="shared" si="2"/>
        <v>586239.6</v>
      </c>
      <c r="K78" s="56" t="str">
        <f t="shared" si="3"/>
        <v/>
      </c>
      <c r="L78" s="14"/>
      <c r="M78" s="14"/>
      <c r="N78" s="56">
        <f t="shared" si="4"/>
        <v>293119.8</v>
      </c>
      <c r="O78" s="56" t="str">
        <f t="shared" si="5"/>
        <v/>
      </c>
      <c r="P78" s="56" t="str">
        <f t="shared" si="6"/>
        <v/>
      </c>
      <c r="Q78" s="56">
        <f t="shared" si="7"/>
        <v>1954132</v>
      </c>
      <c r="R78" s="56" t="str">
        <f t="shared" si="8"/>
        <v/>
      </c>
      <c r="S78" s="5" t="str">
        <f t="shared" si="9"/>
        <v>MISSING DIRECT EMISSIONS</v>
      </c>
      <c r="T78" s="57">
        <v>46752.0</v>
      </c>
      <c r="U78" s="5" t="s">
        <v>241</v>
      </c>
    </row>
    <row r="79" ht="15.75" customHeight="1">
      <c r="A79" s="5" t="s">
        <v>1050</v>
      </c>
      <c r="B79" s="5" t="s">
        <v>377</v>
      </c>
      <c r="C79" s="5" t="s">
        <v>123</v>
      </c>
      <c r="D79" s="42">
        <v>989857.0</v>
      </c>
      <c r="E79" s="42">
        <v>1083149.0</v>
      </c>
      <c r="F79" s="42">
        <f t="shared" si="1"/>
        <v>2073006</v>
      </c>
      <c r="G79" s="14"/>
      <c r="H79" s="14"/>
      <c r="I79" s="14"/>
      <c r="J79" s="56">
        <f t="shared" si="2"/>
        <v>621901.8</v>
      </c>
      <c r="K79" s="56" t="str">
        <f t="shared" si="3"/>
        <v/>
      </c>
      <c r="L79" s="14"/>
      <c r="M79" s="14"/>
      <c r="N79" s="56">
        <f t="shared" si="4"/>
        <v>310950.9</v>
      </c>
      <c r="O79" s="56" t="str">
        <f t="shared" si="5"/>
        <v/>
      </c>
      <c r="P79" s="56" t="str">
        <f t="shared" si="6"/>
        <v/>
      </c>
      <c r="Q79" s="56">
        <f t="shared" si="7"/>
        <v>2073006</v>
      </c>
      <c r="R79" s="56" t="str">
        <f t="shared" si="8"/>
        <v/>
      </c>
      <c r="S79" s="5" t="str">
        <f t="shared" si="9"/>
        <v>MISSING DIRECT EMISSIONS</v>
      </c>
      <c r="T79" s="57">
        <v>46752.0</v>
      </c>
      <c r="U79" s="5" t="s">
        <v>241</v>
      </c>
    </row>
    <row r="80" ht="15.75" customHeight="1">
      <c r="A80" s="5" t="s">
        <v>1051</v>
      </c>
      <c r="B80" s="5" t="s">
        <v>379</v>
      </c>
      <c r="C80" s="5" t="s">
        <v>123</v>
      </c>
      <c r="D80" s="42">
        <v>1175783.0</v>
      </c>
      <c r="E80" s="42">
        <v>1286599.0</v>
      </c>
      <c r="F80" s="42">
        <f t="shared" si="1"/>
        <v>2462382</v>
      </c>
      <c r="G80" s="14"/>
      <c r="H80" s="14"/>
      <c r="I80" s="14"/>
      <c r="J80" s="56">
        <f t="shared" si="2"/>
        <v>738714.6</v>
      </c>
      <c r="K80" s="56" t="str">
        <f t="shared" si="3"/>
        <v/>
      </c>
      <c r="L80" s="14"/>
      <c r="M80" s="14"/>
      <c r="N80" s="56">
        <f t="shared" si="4"/>
        <v>369357.3</v>
      </c>
      <c r="O80" s="56" t="str">
        <f t="shared" si="5"/>
        <v/>
      </c>
      <c r="P80" s="56" t="str">
        <f t="shared" si="6"/>
        <v/>
      </c>
      <c r="Q80" s="56">
        <f t="shared" si="7"/>
        <v>2462382</v>
      </c>
      <c r="R80" s="56" t="str">
        <f t="shared" si="8"/>
        <v/>
      </c>
      <c r="S80" s="5" t="str">
        <f t="shared" si="9"/>
        <v>MISSING DIRECT EMISSIONS</v>
      </c>
      <c r="T80" s="57">
        <v>46752.0</v>
      </c>
      <c r="U80" s="5" t="s">
        <v>241</v>
      </c>
    </row>
    <row r="81" ht="15.75" customHeight="1">
      <c r="A81" s="5" t="s">
        <v>1052</v>
      </c>
      <c r="B81" s="5" t="s">
        <v>381</v>
      </c>
      <c r="C81" s="5" t="s">
        <v>123</v>
      </c>
      <c r="D81" s="42">
        <v>2453235.0</v>
      </c>
      <c r="E81" s="42">
        <v>2684448.0</v>
      </c>
      <c r="F81" s="42">
        <f t="shared" si="1"/>
        <v>5137683</v>
      </c>
      <c r="G81" s="14"/>
      <c r="H81" s="14"/>
      <c r="I81" s="14"/>
      <c r="J81" s="56">
        <f t="shared" si="2"/>
        <v>1541304.9</v>
      </c>
      <c r="K81" s="56" t="str">
        <f t="shared" si="3"/>
        <v/>
      </c>
      <c r="L81" s="14"/>
      <c r="M81" s="14"/>
      <c r="N81" s="56">
        <f t="shared" si="4"/>
        <v>770652.45</v>
      </c>
      <c r="O81" s="56" t="str">
        <f t="shared" si="5"/>
        <v/>
      </c>
      <c r="P81" s="56" t="str">
        <f t="shared" si="6"/>
        <v/>
      </c>
      <c r="Q81" s="56">
        <f t="shared" si="7"/>
        <v>5137683</v>
      </c>
      <c r="R81" s="56" t="str">
        <f t="shared" si="8"/>
        <v/>
      </c>
      <c r="S81" s="5" t="str">
        <f t="shared" si="9"/>
        <v>MISSING DIRECT EMISSIONS</v>
      </c>
      <c r="T81" s="57">
        <v>46752.0</v>
      </c>
      <c r="U81" s="5" t="s">
        <v>241</v>
      </c>
    </row>
    <row r="82" ht="15.75" customHeight="1">
      <c r="A82" s="5" t="s">
        <v>1053</v>
      </c>
      <c r="B82" s="5" t="s">
        <v>383</v>
      </c>
      <c r="C82" s="5" t="s">
        <v>123</v>
      </c>
      <c r="D82" s="42">
        <v>133575.0</v>
      </c>
      <c r="E82" s="42">
        <v>146165.0</v>
      </c>
      <c r="F82" s="42">
        <f t="shared" si="1"/>
        <v>279740</v>
      </c>
      <c r="G82" s="14"/>
      <c r="H82" s="14"/>
      <c r="I82" s="14"/>
      <c r="J82" s="56">
        <f t="shared" si="2"/>
        <v>83922</v>
      </c>
      <c r="K82" s="56" t="str">
        <f t="shared" si="3"/>
        <v/>
      </c>
      <c r="L82" s="14"/>
      <c r="M82" s="14"/>
      <c r="N82" s="56">
        <f t="shared" si="4"/>
        <v>41961</v>
      </c>
      <c r="O82" s="56" t="str">
        <f t="shared" si="5"/>
        <v/>
      </c>
      <c r="P82" s="56" t="str">
        <f t="shared" si="6"/>
        <v/>
      </c>
      <c r="Q82" s="56">
        <f t="shared" si="7"/>
        <v>279740</v>
      </c>
      <c r="R82" s="56" t="str">
        <f t="shared" si="8"/>
        <v/>
      </c>
      <c r="S82" s="5" t="str">
        <f t="shared" si="9"/>
        <v>MISSING DIRECT EMISSIONS</v>
      </c>
      <c r="T82" s="57">
        <v>46752.0</v>
      </c>
      <c r="U82" s="5" t="s">
        <v>241</v>
      </c>
    </row>
    <row r="83" ht="15.75" customHeight="1">
      <c r="A83" s="5" t="s">
        <v>1054</v>
      </c>
      <c r="B83" s="5" t="s">
        <v>385</v>
      </c>
      <c r="C83" s="5" t="s">
        <v>123</v>
      </c>
      <c r="D83" s="42">
        <v>6853859.0</v>
      </c>
      <c r="E83" s="42">
        <v>7499822.0</v>
      </c>
      <c r="F83" s="42">
        <f t="shared" si="1"/>
        <v>14353681</v>
      </c>
      <c r="G83" s="14"/>
      <c r="H83" s="14"/>
      <c r="I83" s="14"/>
      <c r="J83" s="56">
        <f t="shared" si="2"/>
        <v>4306104.3</v>
      </c>
      <c r="K83" s="56" t="str">
        <f t="shared" si="3"/>
        <v/>
      </c>
      <c r="L83" s="14"/>
      <c r="M83" s="14"/>
      <c r="N83" s="56">
        <f t="shared" si="4"/>
        <v>2153052.15</v>
      </c>
      <c r="O83" s="56" t="str">
        <f t="shared" si="5"/>
        <v/>
      </c>
      <c r="P83" s="56" t="str">
        <f t="shared" si="6"/>
        <v/>
      </c>
      <c r="Q83" s="56">
        <f t="shared" si="7"/>
        <v>14353681</v>
      </c>
      <c r="R83" s="56" t="str">
        <f t="shared" si="8"/>
        <v/>
      </c>
      <c r="S83" s="5" t="str">
        <f t="shared" si="9"/>
        <v>MISSING DIRECT EMISSIONS</v>
      </c>
      <c r="T83" s="57">
        <v>46752.0</v>
      </c>
      <c r="U83" s="5" t="s">
        <v>241</v>
      </c>
    </row>
    <row r="84" ht="15.75" customHeight="1">
      <c r="A84" s="5" t="s">
        <v>1055</v>
      </c>
      <c r="B84" s="5" t="s">
        <v>387</v>
      </c>
      <c r="C84" s="5" t="s">
        <v>123</v>
      </c>
      <c r="D84" s="42">
        <v>822644.0</v>
      </c>
      <c r="E84" s="42">
        <v>900177.0</v>
      </c>
      <c r="F84" s="42">
        <f t="shared" si="1"/>
        <v>1722821</v>
      </c>
      <c r="G84" s="14"/>
      <c r="H84" s="14"/>
      <c r="I84" s="14"/>
      <c r="J84" s="56">
        <f t="shared" si="2"/>
        <v>516846.3</v>
      </c>
      <c r="K84" s="56" t="str">
        <f t="shared" si="3"/>
        <v/>
      </c>
      <c r="L84" s="14"/>
      <c r="M84" s="14"/>
      <c r="N84" s="56">
        <f t="shared" si="4"/>
        <v>258423.15</v>
      </c>
      <c r="O84" s="56" t="str">
        <f t="shared" si="5"/>
        <v/>
      </c>
      <c r="P84" s="56" t="str">
        <f t="shared" si="6"/>
        <v/>
      </c>
      <c r="Q84" s="56">
        <f t="shared" si="7"/>
        <v>1722821</v>
      </c>
      <c r="R84" s="56" t="str">
        <f t="shared" si="8"/>
        <v/>
      </c>
      <c r="S84" s="5" t="str">
        <f t="shared" si="9"/>
        <v>MISSING DIRECT EMISSIONS</v>
      </c>
      <c r="T84" s="57">
        <v>46752.0</v>
      </c>
      <c r="U84" s="5" t="s">
        <v>241</v>
      </c>
    </row>
    <row r="85" ht="15.75" customHeight="1">
      <c r="A85" s="5" t="s">
        <v>1056</v>
      </c>
      <c r="B85" s="5" t="s">
        <v>389</v>
      </c>
      <c r="C85" s="5" t="s">
        <v>123</v>
      </c>
      <c r="D85" s="42">
        <v>5297794.0</v>
      </c>
      <c r="E85" s="42">
        <v>5797101.0</v>
      </c>
      <c r="F85" s="42">
        <f t="shared" si="1"/>
        <v>11094895</v>
      </c>
      <c r="G85" s="14"/>
      <c r="H85" s="14"/>
      <c r="I85" s="14"/>
      <c r="J85" s="56">
        <f t="shared" si="2"/>
        <v>3328468.5</v>
      </c>
      <c r="K85" s="56" t="str">
        <f t="shared" si="3"/>
        <v/>
      </c>
      <c r="L85" s="14"/>
      <c r="M85" s="14"/>
      <c r="N85" s="56">
        <f t="shared" si="4"/>
        <v>1664234.25</v>
      </c>
      <c r="O85" s="56" t="str">
        <f t="shared" si="5"/>
        <v/>
      </c>
      <c r="P85" s="56" t="str">
        <f t="shared" si="6"/>
        <v/>
      </c>
      <c r="Q85" s="56">
        <f t="shared" si="7"/>
        <v>11094895</v>
      </c>
      <c r="R85" s="56" t="str">
        <f t="shared" si="8"/>
        <v/>
      </c>
      <c r="S85" s="5" t="str">
        <f t="shared" si="9"/>
        <v>MISSING DIRECT EMISSIONS</v>
      </c>
      <c r="T85" s="57">
        <v>46752.0</v>
      </c>
      <c r="U85" s="5" t="s">
        <v>241</v>
      </c>
    </row>
    <row r="86" ht="15.75" customHeight="1">
      <c r="A86" s="5" t="s">
        <v>1057</v>
      </c>
      <c r="B86" s="5" t="s">
        <v>391</v>
      </c>
      <c r="C86" s="5" t="s">
        <v>123</v>
      </c>
      <c r="D86" s="42">
        <v>714977.0</v>
      </c>
      <c r="E86" s="42">
        <v>782362.0</v>
      </c>
      <c r="F86" s="42">
        <f t="shared" si="1"/>
        <v>1497339</v>
      </c>
      <c r="G86" s="14"/>
      <c r="H86" s="14"/>
      <c r="I86" s="14"/>
      <c r="J86" s="56">
        <f t="shared" si="2"/>
        <v>449201.7</v>
      </c>
      <c r="K86" s="56" t="str">
        <f t="shared" si="3"/>
        <v/>
      </c>
      <c r="L86" s="14"/>
      <c r="M86" s="14"/>
      <c r="N86" s="56">
        <f t="shared" si="4"/>
        <v>224600.85</v>
      </c>
      <c r="O86" s="56" t="str">
        <f t="shared" si="5"/>
        <v/>
      </c>
      <c r="P86" s="56" t="str">
        <f t="shared" si="6"/>
        <v/>
      </c>
      <c r="Q86" s="56">
        <f t="shared" si="7"/>
        <v>1497339</v>
      </c>
      <c r="R86" s="56" t="str">
        <f t="shared" si="8"/>
        <v/>
      </c>
      <c r="S86" s="5" t="str">
        <f t="shared" si="9"/>
        <v>MISSING DIRECT EMISSIONS</v>
      </c>
      <c r="T86" s="57">
        <v>46752.0</v>
      </c>
      <c r="U86" s="5" t="s">
        <v>241</v>
      </c>
    </row>
    <row r="87" ht="15.75" customHeight="1">
      <c r="A87" s="5" t="s">
        <v>1058</v>
      </c>
      <c r="B87" s="5" t="s">
        <v>392</v>
      </c>
      <c r="C87" s="5" t="s">
        <v>123</v>
      </c>
      <c r="D87" s="42">
        <v>2701207.0</v>
      </c>
      <c r="E87" s="42">
        <v>2955791.0</v>
      </c>
      <c r="F87" s="42">
        <f t="shared" si="1"/>
        <v>5656998</v>
      </c>
      <c r="G87" s="14"/>
      <c r="H87" s="14"/>
      <c r="I87" s="14"/>
      <c r="J87" s="56">
        <f t="shared" si="2"/>
        <v>1697099.4</v>
      </c>
      <c r="K87" s="56" t="str">
        <f t="shared" si="3"/>
        <v/>
      </c>
      <c r="L87" s="14"/>
      <c r="M87" s="14"/>
      <c r="N87" s="56">
        <f t="shared" si="4"/>
        <v>848549.7</v>
      </c>
      <c r="O87" s="56" t="str">
        <f t="shared" si="5"/>
        <v/>
      </c>
      <c r="P87" s="56" t="str">
        <f t="shared" si="6"/>
        <v/>
      </c>
      <c r="Q87" s="56">
        <f t="shared" si="7"/>
        <v>5656998</v>
      </c>
      <c r="R87" s="56" t="str">
        <f t="shared" si="8"/>
        <v/>
      </c>
      <c r="S87" s="5" t="str">
        <f t="shared" si="9"/>
        <v>MISSING DIRECT EMISSIONS</v>
      </c>
      <c r="T87" s="57">
        <v>46752.0</v>
      </c>
      <c r="U87" s="5" t="s">
        <v>241</v>
      </c>
    </row>
    <row r="88" ht="15.75" customHeight="1">
      <c r="A88" s="5" t="s">
        <v>1059</v>
      </c>
      <c r="B88" s="5" t="s">
        <v>394</v>
      </c>
      <c r="C88" s="5" t="s">
        <v>123</v>
      </c>
      <c r="D88" s="42">
        <v>357054.0</v>
      </c>
      <c r="E88" s="42">
        <v>390705.0</v>
      </c>
      <c r="F88" s="42">
        <f t="shared" si="1"/>
        <v>747759</v>
      </c>
      <c r="G88" s="14"/>
      <c r="H88" s="14"/>
      <c r="I88" s="14"/>
      <c r="J88" s="56">
        <f t="shared" si="2"/>
        <v>224327.7</v>
      </c>
      <c r="K88" s="56" t="str">
        <f t="shared" si="3"/>
        <v/>
      </c>
      <c r="L88" s="14"/>
      <c r="M88" s="14"/>
      <c r="N88" s="56">
        <f t="shared" si="4"/>
        <v>112163.85</v>
      </c>
      <c r="O88" s="56" t="str">
        <f t="shared" si="5"/>
        <v/>
      </c>
      <c r="P88" s="56" t="str">
        <f t="shared" si="6"/>
        <v/>
      </c>
      <c r="Q88" s="56">
        <f t="shared" si="7"/>
        <v>747759</v>
      </c>
      <c r="R88" s="56" t="str">
        <f t="shared" si="8"/>
        <v/>
      </c>
      <c r="S88" s="5" t="str">
        <f t="shared" si="9"/>
        <v>MISSING DIRECT EMISSIONS</v>
      </c>
      <c r="T88" s="57">
        <v>46752.0</v>
      </c>
      <c r="U88" s="5" t="s">
        <v>241</v>
      </c>
    </row>
    <row r="89" ht="15.75" customHeight="1">
      <c r="A89" s="5" t="s">
        <v>1060</v>
      </c>
      <c r="B89" s="5" t="s">
        <v>396</v>
      </c>
      <c r="C89" s="5" t="s">
        <v>123</v>
      </c>
      <c r="D89" s="42">
        <v>2907941.0</v>
      </c>
      <c r="E89" s="42">
        <v>3182009.0</v>
      </c>
      <c r="F89" s="42">
        <f t="shared" si="1"/>
        <v>6089950</v>
      </c>
      <c r="G89" s="14"/>
      <c r="H89" s="14"/>
      <c r="I89" s="14"/>
      <c r="J89" s="56">
        <f t="shared" si="2"/>
        <v>1826985</v>
      </c>
      <c r="K89" s="56" t="str">
        <f t="shared" si="3"/>
        <v/>
      </c>
      <c r="L89" s="14"/>
      <c r="M89" s="14"/>
      <c r="N89" s="56">
        <f t="shared" si="4"/>
        <v>913492.5</v>
      </c>
      <c r="O89" s="56" t="str">
        <f t="shared" si="5"/>
        <v/>
      </c>
      <c r="P89" s="56" t="str">
        <f t="shared" si="6"/>
        <v/>
      </c>
      <c r="Q89" s="56">
        <f t="shared" si="7"/>
        <v>6089950</v>
      </c>
      <c r="R89" s="56" t="str">
        <f t="shared" si="8"/>
        <v/>
      </c>
      <c r="S89" s="5" t="str">
        <f t="shared" si="9"/>
        <v>MISSING DIRECT EMISSIONS</v>
      </c>
      <c r="T89" s="57">
        <v>46752.0</v>
      </c>
      <c r="U89" s="5" t="s">
        <v>241</v>
      </c>
    </row>
    <row r="90" ht="15.75" customHeight="1">
      <c r="A90" s="5" t="s">
        <v>1061</v>
      </c>
      <c r="B90" s="5" t="s">
        <v>398</v>
      </c>
      <c r="C90" s="5" t="s">
        <v>123</v>
      </c>
      <c r="D90" s="42">
        <v>1217320.0</v>
      </c>
      <c r="E90" s="42">
        <v>1332050.0</v>
      </c>
      <c r="F90" s="42">
        <f t="shared" si="1"/>
        <v>2549370</v>
      </c>
      <c r="G90" s="14"/>
      <c r="H90" s="14"/>
      <c r="I90" s="14"/>
      <c r="J90" s="56">
        <f t="shared" si="2"/>
        <v>764811</v>
      </c>
      <c r="K90" s="56" t="str">
        <f t="shared" si="3"/>
        <v/>
      </c>
      <c r="L90" s="14"/>
      <c r="M90" s="14"/>
      <c r="N90" s="56">
        <f t="shared" si="4"/>
        <v>382405.5</v>
      </c>
      <c r="O90" s="56" t="str">
        <f t="shared" si="5"/>
        <v/>
      </c>
      <c r="P90" s="56" t="str">
        <f t="shared" si="6"/>
        <v/>
      </c>
      <c r="Q90" s="56">
        <f t="shared" si="7"/>
        <v>2549370</v>
      </c>
      <c r="R90" s="56" t="str">
        <f t="shared" si="8"/>
        <v/>
      </c>
      <c r="S90" s="5" t="str">
        <f t="shared" si="9"/>
        <v>MISSING DIRECT EMISSIONS</v>
      </c>
      <c r="T90" s="57">
        <v>46752.0</v>
      </c>
      <c r="U90" s="5" t="s">
        <v>241</v>
      </c>
    </row>
    <row r="91" ht="15.75" customHeight="1">
      <c r="A91" s="5" t="s">
        <v>1062</v>
      </c>
      <c r="B91" s="5" t="s">
        <v>400</v>
      </c>
      <c r="C91" s="5" t="s">
        <v>123</v>
      </c>
      <c r="D91" s="42">
        <v>2072885.0</v>
      </c>
      <c r="E91" s="42">
        <v>2268250.0</v>
      </c>
      <c r="F91" s="42">
        <f t="shared" si="1"/>
        <v>4341135</v>
      </c>
      <c r="G91" s="14"/>
      <c r="H91" s="14"/>
      <c r="I91" s="14"/>
      <c r="J91" s="56">
        <f t="shared" si="2"/>
        <v>1302340.5</v>
      </c>
      <c r="K91" s="56" t="str">
        <f t="shared" si="3"/>
        <v/>
      </c>
      <c r="L91" s="14"/>
      <c r="M91" s="14"/>
      <c r="N91" s="56">
        <f t="shared" si="4"/>
        <v>651170.25</v>
      </c>
      <c r="O91" s="56" t="str">
        <f t="shared" si="5"/>
        <v/>
      </c>
      <c r="P91" s="56" t="str">
        <f t="shared" si="6"/>
        <v/>
      </c>
      <c r="Q91" s="56">
        <f t="shared" si="7"/>
        <v>4341135</v>
      </c>
      <c r="R91" s="56" t="str">
        <f t="shared" si="8"/>
        <v/>
      </c>
      <c r="S91" s="5" t="str">
        <f t="shared" si="9"/>
        <v>MISSING DIRECT EMISSIONS</v>
      </c>
      <c r="T91" s="57">
        <v>46752.0</v>
      </c>
      <c r="U91" s="5" t="s">
        <v>241</v>
      </c>
    </row>
    <row r="92" ht="15.75" customHeight="1">
      <c r="A92" s="5" t="s">
        <v>1063</v>
      </c>
      <c r="B92" s="5" t="s">
        <v>403</v>
      </c>
      <c r="C92" s="5" t="s">
        <v>123</v>
      </c>
      <c r="D92" s="42">
        <v>1242230.0</v>
      </c>
      <c r="E92" s="42">
        <v>1359308.0</v>
      </c>
      <c r="F92" s="42">
        <f t="shared" si="1"/>
        <v>2601538</v>
      </c>
      <c r="G92" s="14"/>
      <c r="H92" s="14"/>
      <c r="I92" s="14"/>
      <c r="J92" s="56">
        <f t="shared" si="2"/>
        <v>780461.4</v>
      </c>
      <c r="K92" s="56" t="str">
        <f t="shared" si="3"/>
        <v/>
      </c>
      <c r="L92" s="14"/>
      <c r="M92" s="14"/>
      <c r="N92" s="56">
        <f t="shared" si="4"/>
        <v>390230.7</v>
      </c>
      <c r="O92" s="56" t="str">
        <f t="shared" si="5"/>
        <v/>
      </c>
      <c r="P92" s="56" t="str">
        <f t="shared" si="6"/>
        <v/>
      </c>
      <c r="Q92" s="56">
        <f t="shared" si="7"/>
        <v>2601538</v>
      </c>
      <c r="R92" s="56" t="str">
        <f t="shared" si="8"/>
        <v/>
      </c>
      <c r="S92" s="5" t="str">
        <f t="shared" si="9"/>
        <v>MISSING DIRECT EMISSIONS</v>
      </c>
      <c r="T92" s="57">
        <v>46752.0</v>
      </c>
      <c r="U92" s="5" t="s">
        <v>241</v>
      </c>
    </row>
    <row r="93" ht="15.75" customHeight="1">
      <c r="A93" s="5" t="s">
        <v>1064</v>
      </c>
      <c r="B93" s="5" t="s">
        <v>405</v>
      </c>
      <c r="C93" s="5" t="s">
        <v>123</v>
      </c>
      <c r="D93" s="42">
        <v>2510131.0</v>
      </c>
      <c r="E93" s="42">
        <v>2746706.0</v>
      </c>
      <c r="F93" s="42">
        <f t="shared" si="1"/>
        <v>5256837</v>
      </c>
      <c r="G93" s="14"/>
      <c r="H93" s="14"/>
      <c r="I93" s="14"/>
      <c r="J93" s="56">
        <f t="shared" si="2"/>
        <v>1577051.1</v>
      </c>
      <c r="K93" s="56" t="str">
        <f t="shared" si="3"/>
        <v/>
      </c>
      <c r="L93" s="14"/>
      <c r="M93" s="14"/>
      <c r="N93" s="56">
        <f t="shared" si="4"/>
        <v>788525.55</v>
      </c>
      <c r="O93" s="56" t="str">
        <f t="shared" si="5"/>
        <v/>
      </c>
      <c r="P93" s="56" t="str">
        <f t="shared" si="6"/>
        <v/>
      </c>
      <c r="Q93" s="56">
        <f t="shared" si="7"/>
        <v>5256837</v>
      </c>
      <c r="R93" s="56" t="str">
        <f t="shared" si="8"/>
        <v/>
      </c>
      <c r="S93" s="5" t="str">
        <f t="shared" si="9"/>
        <v>MISSING DIRECT EMISSIONS</v>
      </c>
      <c r="T93" s="57">
        <v>46752.0</v>
      </c>
      <c r="U93" s="5" t="s">
        <v>241</v>
      </c>
    </row>
    <row r="94" ht="15.75" customHeight="1">
      <c r="A94" s="5" t="s">
        <v>1065</v>
      </c>
      <c r="B94" s="5" t="s">
        <v>407</v>
      </c>
      <c r="C94" s="5" t="s">
        <v>123</v>
      </c>
      <c r="D94" s="42">
        <v>8511370.0</v>
      </c>
      <c r="E94" s="42">
        <v>9313550.0</v>
      </c>
      <c r="F94" s="42">
        <f t="shared" si="1"/>
        <v>17824920</v>
      </c>
      <c r="G94" s="14"/>
      <c r="H94" s="14"/>
      <c r="I94" s="14"/>
      <c r="J94" s="56">
        <f t="shared" si="2"/>
        <v>5347476</v>
      </c>
      <c r="K94" s="56" t="str">
        <f t="shared" si="3"/>
        <v/>
      </c>
      <c r="L94" s="14"/>
      <c r="M94" s="14"/>
      <c r="N94" s="56">
        <f t="shared" si="4"/>
        <v>2673738</v>
      </c>
      <c r="O94" s="56" t="str">
        <f t="shared" si="5"/>
        <v/>
      </c>
      <c r="P94" s="56" t="str">
        <f t="shared" si="6"/>
        <v/>
      </c>
      <c r="Q94" s="56">
        <f t="shared" si="7"/>
        <v>17824920</v>
      </c>
      <c r="R94" s="56" t="str">
        <f t="shared" si="8"/>
        <v/>
      </c>
      <c r="S94" s="5" t="str">
        <f t="shared" si="9"/>
        <v>MISSING DIRECT EMISSIONS</v>
      </c>
      <c r="T94" s="57">
        <v>46752.0</v>
      </c>
      <c r="U94" s="5" t="s">
        <v>241</v>
      </c>
    </row>
    <row r="95" ht="15.75" customHeight="1">
      <c r="A95" s="5" t="s">
        <v>1066</v>
      </c>
      <c r="B95" s="5" t="s">
        <v>409</v>
      </c>
      <c r="C95" s="5" t="s">
        <v>123</v>
      </c>
      <c r="D95" s="42">
        <v>499301.0</v>
      </c>
      <c r="E95" s="42">
        <v>546359.0</v>
      </c>
      <c r="F95" s="42">
        <f t="shared" si="1"/>
        <v>1045660</v>
      </c>
      <c r="G95" s="14"/>
      <c r="H95" s="14"/>
      <c r="I95" s="14"/>
      <c r="J95" s="56">
        <f t="shared" si="2"/>
        <v>313698</v>
      </c>
      <c r="K95" s="56" t="str">
        <f t="shared" si="3"/>
        <v/>
      </c>
      <c r="L95" s="14"/>
      <c r="M95" s="14"/>
      <c r="N95" s="56">
        <f t="shared" si="4"/>
        <v>156849</v>
      </c>
      <c r="O95" s="56" t="str">
        <f t="shared" si="5"/>
        <v/>
      </c>
      <c r="P95" s="56" t="str">
        <f t="shared" si="6"/>
        <v/>
      </c>
      <c r="Q95" s="56">
        <f t="shared" si="7"/>
        <v>1045660</v>
      </c>
      <c r="R95" s="56" t="str">
        <f t="shared" si="8"/>
        <v/>
      </c>
      <c r="S95" s="5" t="str">
        <f t="shared" si="9"/>
        <v>MISSING DIRECT EMISSIONS</v>
      </c>
      <c r="T95" s="57">
        <v>46752.0</v>
      </c>
      <c r="U95" s="5" t="s">
        <v>241</v>
      </c>
    </row>
    <row r="96" ht="15.75" customHeight="1">
      <c r="A96" s="5" t="s">
        <v>1067</v>
      </c>
      <c r="B96" s="5" t="s">
        <v>411</v>
      </c>
      <c r="C96" s="5" t="s">
        <v>123</v>
      </c>
      <c r="D96" s="42">
        <v>3875392.0</v>
      </c>
      <c r="E96" s="42">
        <v>4240640.0</v>
      </c>
      <c r="F96" s="42">
        <f t="shared" si="1"/>
        <v>8116032</v>
      </c>
      <c r="G96" s="14"/>
      <c r="H96" s="14"/>
      <c r="I96" s="14"/>
      <c r="J96" s="56">
        <f t="shared" si="2"/>
        <v>2434809.6</v>
      </c>
      <c r="K96" s="56" t="str">
        <f t="shared" si="3"/>
        <v/>
      </c>
      <c r="L96" s="14"/>
      <c r="M96" s="14"/>
      <c r="N96" s="56">
        <f t="shared" si="4"/>
        <v>1217404.8</v>
      </c>
      <c r="O96" s="56" t="str">
        <f t="shared" si="5"/>
        <v/>
      </c>
      <c r="P96" s="56" t="str">
        <f t="shared" si="6"/>
        <v/>
      </c>
      <c r="Q96" s="56">
        <f t="shared" si="7"/>
        <v>8116032</v>
      </c>
      <c r="R96" s="56" t="str">
        <f t="shared" si="8"/>
        <v/>
      </c>
      <c r="S96" s="5" t="str">
        <f t="shared" si="9"/>
        <v>MISSING DIRECT EMISSIONS</v>
      </c>
      <c r="T96" s="57">
        <v>46752.0</v>
      </c>
      <c r="U96" s="5" t="s">
        <v>241</v>
      </c>
    </row>
    <row r="97" ht="15.75" customHeight="1">
      <c r="A97" s="5" t="s">
        <v>1068</v>
      </c>
      <c r="B97" s="5" t="s">
        <v>413</v>
      </c>
      <c r="C97" s="5" t="s">
        <v>123</v>
      </c>
      <c r="D97" s="42">
        <v>841042.0</v>
      </c>
      <c r="E97" s="42">
        <v>920308.0</v>
      </c>
      <c r="F97" s="42">
        <f t="shared" si="1"/>
        <v>1761350</v>
      </c>
      <c r="G97" s="14"/>
      <c r="H97" s="14"/>
      <c r="I97" s="14"/>
      <c r="J97" s="56">
        <f t="shared" si="2"/>
        <v>528405</v>
      </c>
      <c r="K97" s="56" t="str">
        <f t="shared" si="3"/>
        <v/>
      </c>
      <c r="L97" s="14"/>
      <c r="M97" s="14"/>
      <c r="N97" s="56">
        <f t="shared" si="4"/>
        <v>264202.5</v>
      </c>
      <c r="O97" s="56" t="str">
        <f t="shared" si="5"/>
        <v/>
      </c>
      <c r="P97" s="56" t="str">
        <f t="shared" si="6"/>
        <v/>
      </c>
      <c r="Q97" s="56">
        <f t="shared" si="7"/>
        <v>1761350</v>
      </c>
      <c r="R97" s="56" t="str">
        <f t="shared" si="8"/>
        <v/>
      </c>
      <c r="S97" s="5" t="str">
        <f t="shared" si="9"/>
        <v>MISSING DIRECT EMISSIONS</v>
      </c>
      <c r="T97" s="57">
        <v>46752.0</v>
      </c>
      <c r="U97" s="5" t="s">
        <v>241</v>
      </c>
    </row>
    <row r="98" ht="15.75" customHeight="1">
      <c r="A98" s="5" t="s">
        <v>1069</v>
      </c>
      <c r="B98" s="5" t="s">
        <v>415</v>
      </c>
      <c r="C98" s="5" t="s">
        <v>123</v>
      </c>
      <c r="D98" s="42">
        <v>4681235.0</v>
      </c>
      <c r="E98" s="42">
        <v>5122432.0</v>
      </c>
      <c r="F98" s="42">
        <f t="shared" si="1"/>
        <v>9803667</v>
      </c>
      <c r="G98" s="14"/>
      <c r="H98" s="14"/>
      <c r="I98" s="14"/>
      <c r="J98" s="56">
        <f t="shared" si="2"/>
        <v>2941100.1</v>
      </c>
      <c r="K98" s="56" t="str">
        <f t="shared" si="3"/>
        <v/>
      </c>
      <c r="L98" s="14"/>
      <c r="M98" s="14"/>
      <c r="N98" s="56">
        <f t="shared" si="4"/>
        <v>1470550.05</v>
      </c>
      <c r="O98" s="56" t="str">
        <f t="shared" si="5"/>
        <v/>
      </c>
      <c r="P98" s="56" t="str">
        <f t="shared" si="6"/>
        <v/>
      </c>
      <c r="Q98" s="56">
        <f t="shared" si="7"/>
        <v>9803667</v>
      </c>
      <c r="R98" s="56" t="str">
        <f t="shared" si="8"/>
        <v/>
      </c>
      <c r="S98" s="5" t="str">
        <f t="shared" si="9"/>
        <v>MISSING DIRECT EMISSIONS</v>
      </c>
      <c r="T98" s="57">
        <v>46752.0</v>
      </c>
      <c r="U98" s="5" t="s">
        <v>241</v>
      </c>
    </row>
    <row r="99" ht="15.75" customHeight="1">
      <c r="A99" s="5" t="s">
        <v>1070</v>
      </c>
      <c r="B99" s="5" t="s">
        <v>417</v>
      </c>
      <c r="C99" s="5" t="s">
        <v>123</v>
      </c>
      <c r="D99" s="42">
        <v>507149.0</v>
      </c>
      <c r="E99" s="42">
        <v>554947.0</v>
      </c>
      <c r="F99" s="42">
        <f t="shared" si="1"/>
        <v>1062096</v>
      </c>
      <c r="G99" s="14"/>
      <c r="H99" s="14"/>
      <c r="I99" s="14"/>
      <c r="J99" s="56">
        <f t="shared" si="2"/>
        <v>318628.8</v>
      </c>
      <c r="K99" s="56" t="str">
        <f t="shared" si="3"/>
        <v/>
      </c>
      <c r="L99" s="14"/>
      <c r="M99" s="14"/>
      <c r="N99" s="56">
        <f t="shared" si="4"/>
        <v>159314.4</v>
      </c>
      <c r="O99" s="56" t="str">
        <f t="shared" si="5"/>
        <v/>
      </c>
      <c r="P99" s="56" t="str">
        <f t="shared" si="6"/>
        <v/>
      </c>
      <c r="Q99" s="56">
        <f t="shared" si="7"/>
        <v>1062096</v>
      </c>
      <c r="R99" s="56" t="str">
        <f t="shared" si="8"/>
        <v/>
      </c>
      <c r="S99" s="5" t="str">
        <f t="shared" si="9"/>
        <v>MISSING DIRECT EMISSIONS</v>
      </c>
      <c r="T99" s="57">
        <v>46752.0</v>
      </c>
      <c r="U99" s="5" t="s">
        <v>241</v>
      </c>
    </row>
    <row r="100" ht="15.75" customHeight="1">
      <c r="A100" s="5" t="s">
        <v>1071</v>
      </c>
      <c r="B100" s="5" t="s">
        <v>419</v>
      </c>
      <c r="C100" s="5" t="s">
        <v>123</v>
      </c>
      <c r="D100" s="42">
        <v>1290862.0</v>
      </c>
      <c r="E100" s="42">
        <v>1412524.0</v>
      </c>
      <c r="F100" s="42">
        <f t="shared" si="1"/>
        <v>2703386</v>
      </c>
      <c r="G100" s="14"/>
      <c r="H100" s="14"/>
      <c r="I100" s="14"/>
      <c r="J100" s="56">
        <f t="shared" si="2"/>
        <v>811015.8</v>
      </c>
      <c r="K100" s="56" t="str">
        <f t="shared" si="3"/>
        <v/>
      </c>
      <c r="L100" s="14"/>
      <c r="M100" s="14"/>
      <c r="N100" s="56">
        <f t="shared" si="4"/>
        <v>405507.9</v>
      </c>
      <c r="O100" s="56" t="str">
        <f t="shared" si="5"/>
        <v/>
      </c>
      <c r="P100" s="56" t="str">
        <f t="shared" si="6"/>
        <v/>
      </c>
      <c r="Q100" s="56">
        <f t="shared" si="7"/>
        <v>2703386</v>
      </c>
      <c r="R100" s="56" t="str">
        <f t="shared" si="8"/>
        <v/>
      </c>
      <c r="S100" s="5" t="str">
        <f t="shared" si="9"/>
        <v>MISSING DIRECT EMISSIONS</v>
      </c>
      <c r="T100" s="57">
        <v>46752.0</v>
      </c>
      <c r="U100" s="5" t="s">
        <v>241</v>
      </c>
    </row>
    <row r="101" ht="15.75" customHeight="1">
      <c r="A101" s="5" t="s">
        <v>1072</v>
      </c>
      <c r="B101" s="5" t="s">
        <v>421</v>
      </c>
      <c r="C101" s="5" t="s">
        <v>123</v>
      </c>
      <c r="D101" s="42">
        <v>1137938.0</v>
      </c>
      <c r="E101" s="42">
        <v>1245186.0</v>
      </c>
      <c r="F101" s="42">
        <f t="shared" si="1"/>
        <v>2383124</v>
      </c>
      <c r="G101" s="14"/>
      <c r="H101" s="14"/>
      <c r="I101" s="14"/>
      <c r="J101" s="56">
        <f t="shared" si="2"/>
        <v>714937.2</v>
      </c>
      <c r="K101" s="56" t="str">
        <f t="shared" si="3"/>
        <v/>
      </c>
      <c r="L101" s="14"/>
      <c r="M101" s="14"/>
      <c r="N101" s="56">
        <f t="shared" si="4"/>
        <v>357468.6</v>
      </c>
      <c r="O101" s="56" t="str">
        <f t="shared" si="5"/>
        <v/>
      </c>
      <c r="P101" s="56" t="str">
        <f t="shared" si="6"/>
        <v/>
      </c>
      <c r="Q101" s="56">
        <f t="shared" si="7"/>
        <v>2383124</v>
      </c>
      <c r="R101" s="56" t="str">
        <f t="shared" si="8"/>
        <v/>
      </c>
      <c r="S101" s="5" t="str">
        <f t="shared" si="9"/>
        <v>MISSING DIRECT EMISSIONS</v>
      </c>
      <c r="T101" s="57">
        <v>46752.0</v>
      </c>
      <c r="U101" s="5" t="s">
        <v>241</v>
      </c>
    </row>
    <row r="102" ht="15.75" customHeight="1">
      <c r="A102" s="5" t="s">
        <v>1073</v>
      </c>
      <c r="B102" s="5" t="s">
        <v>423</v>
      </c>
      <c r="C102" s="5" t="s">
        <v>123</v>
      </c>
      <c r="D102" s="42">
        <v>727399.0</v>
      </c>
      <c r="E102" s="42">
        <v>795955.0</v>
      </c>
      <c r="F102" s="42">
        <f t="shared" si="1"/>
        <v>1523354</v>
      </c>
      <c r="G102" s="14"/>
      <c r="H102" s="14"/>
      <c r="I102" s="14"/>
      <c r="J102" s="56">
        <f t="shared" si="2"/>
        <v>457006.2</v>
      </c>
      <c r="K102" s="56" t="str">
        <f t="shared" si="3"/>
        <v/>
      </c>
      <c r="L102" s="14"/>
      <c r="M102" s="14"/>
      <c r="N102" s="56">
        <f t="shared" si="4"/>
        <v>228503.1</v>
      </c>
      <c r="O102" s="56" t="str">
        <f t="shared" si="5"/>
        <v/>
      </c>
      <c r="P102" s="56" t="str">
        <f t="shared" si="6"/>
        <v/>
      </c>
      <c r="Q102" s="56">
        <f t="shared" si="7"/>
        <v>1523354</v>
      </c>
      <c r="R102" s="56" t="str">
        <f t="shared" si="8"/>
        <v/>
      </c>
      <c r="S102" s="5" t="str">
        <f t="shared" si="9"/>
        <v>MISSING DIRECT EMISSIONS</v>
      </c>
      <c r="T102" s="57">
        <v>46752.0</v>
      </c>
      <c r="U102" s="5" t="s">
        <v>241</v>
      </c>
    </row>
    <row r="103" ht="15.75" customHeight="1">
      <c r="A103" s="5" t="s">
        <v>1074</v>
      </c>
      <c r="B103" s="5" t="s">
        <v>425</v>
      </c>
      <c r="C103" s="5" t="s">
        <v>123</v>
      </c>
      <c r="D103" s="42">
        <v>271549.0</v>
      </c>
      <c r="E103" s="42">
        <v>297142.0</v>
      </c>
      <c r="F103" s="42">
        <f t="shared" si="1"/>
        <v>568691</v>
      </c>
      <c r="G103" s="14"/>
      <c r="H103" s="14"/>
      <c r="I103" s="14"/>
      <c r="J103" s="56">
        <f t="shared" si="2"/>
        <v>170607.3</v>
      </c>
      <c r="K103" s="56" t="str">
        <f t="shared" si="3"/>
        <v/>
      </c>
      <c r="L103" s="14"/>
      <c r="M103" s="14"/>
      <c r="N103" s="56">
        <f t="shared" si="4"/>
        <v>85303.65</v>
      </c>
      <c r="O103" s="56" t="str">
        <f t="shared" si="5"/>
        <v/>
      </c>
      <c r="P103" s="56" t="str">
        <f t="shared" si="6"/>
        <v/>
      </c>
      <c r="Q103" s="56">
        <f t="shared" si="7"/>
        <v>568691</v>
      </c>
      <c r="R103" s="56" t="str">
        <f t="shared" si="8"/>
        <v/>
      </c>
      <c r="S103" s="5" t="str">
        <f t="shared" si="9"/>
        <v>MISSING DIRECT EMISSIONS</v>
      </c>
      <c r="T103" s="57">
        <v>46752.0</v>
      </c>
      <c r="U103" s="5" t="s">
        <v>241</v>
      </c>
    </row>
    <row r="104" ht="15.75" customHeight="1">
      <c r="A104" s="5" t="s">
        <v>1075</v>
      </c>
      <c r="B104" s="5" t="s">
        <v>427</v>
      </c>
      <c r="C104" s="5" t="s">
        <v>123</v>
      </c>
      <c r="D104" s="42">
        <v>354936.0</v>
      </c>
      <c r="E104" s="42">
        <v>388387.0</v>
      </c>
      <c r="F104" s="42">
        <f t="shared" si="1"/>
        <v>743323</v>
      </c>
      <c r="G104" s="14"/>
      <c r="H104" s="14"/>
      <c r="I104" s="14"/>
      <c r="J104" s="56">
        <f t="shared" si="2"/>
        <v>222996.9</v>
      </c>
      <c r="K104" s="56" t="str">
        <f t="shared" si="3"/>
        <v/>
      </c>
      <c r="L104" s="14"/>
      <c r="M104" s="14"/>
      <c r="N104" s="56">
        <f t="shared" si="4"/>
        <v>111498.45</v>
      </c>
      <c r="O104" s="56" t="str">
        <f t="shared" si="5"/>
        <v/>
      </c>
      <c r="P104" s="56" t="str">
        <f t="shared" si="6"/>
        <v/>
      </c>
      <c r="Q104" s="56">
        <f t="shared" si="7"/>
        <v>743323</v>
      </c>
      <c r="R104" s="56" t="str">
        <f t="shared" si="8"/>
        <v/>
      </c>
      <c r="S104" s="5" t="str">
        <f t="shared" si="9"/>
        <v>MISSING DIRECT EMISSIONS</v>
      </c>
      <c r="T104" s="57">
        <v>46752.0</v>
      </c>
      <c r="U104" s="5" t="s">
        <v>241</v>
      </c>
    </row>
    <row r="105" ht="15.75" customHeight="1">
      <c r="A105" s="5" t="s">
        <v>1076</v>
      </c>
      <c r="B105" s="5" t="s">
        <v>429</v>
      </c>
      <c r="C105" s="5" t="s">
        <v>123</v>
      </c>
      <c r="D105" s="42">
        <v>1254493.0</v>
      </c>
      <c r="E105" s="42">
        <v>1372727.0</v>
      </c>
      <c r="F105" s="42">
        <f t="shared" si="1"/>
        <v>2627220</v>
      </c>
      <c r="G105" s="14"/>
      <c r="H105" s="14"/>
      <c r="I105" s="14"/>
      <c r="J105" s="56">
        <f t="shared" si="2"/>
        <v>788166</v>
      </c>
      <c r="K105" s="56" t="str">
        <f t="shared" si="3"/>
        <v/>
      </c>
      <c r="L105" s="14"/>
      <c r="M105" s="14"/>
      <c r="N105" s="56">
        <f t="shared" si="4"/>
        <v>394083</v>
      </c>
      <c r="O105" s="56" t="str">
        <f t="shared" si="5"/>
        <v/>
      </c>
      <c r="P105" s="56" t="str">
        <f t="shared" si="6"/>
        <v/>
      </c>
      <c r="Q105" s="56">
        <f t="shared" si="7"/>
        <v>2627220</v>
      </c>
      <c r="R105" s="56" t="str">
        <f t="shared" si="8"/>
        <v/>
      </c>
      <c r="S105" s="5" t="str">
        <f t="shared" si="9"/>
        <v>MISSING DIRECT EMISSIONS</v>
      </c>
      <c r="T105" s="57">
        <v>46752.0</v>
      </c>
      <c r="U105" s="5" t="s">
        <v>241</v>
      </c>
    </row>
    <row r="106" ht="15.75" customHeight="1">
      <c r="A106" s="5" t="s">
        <v>1077</v>
      </c>
      <c r="B106" s="5" t="s">
        <v>431</v>
      </c>
      <c r="C106" s="5" t="s">
        <v>123</v>
      </c>
      <c r="D106" s="42">
        <v>835087.0</v>
      </c>
      <c r="E106" s="42">
        <v>913792.0</v>
      </c>
      <c r="F106" s="42">
        <f t="shared" si="1"/>
        <v>1748879</v>
      </c>
      <c r="G106" s="14"/>
      <c r="H106" s="14"/>
      <c r="I106" s="14"/>
      <c r="J106" s="56">
        <f t="shared" si="2"/>
        <v>524663.7</v>
      </c>
      <c r="K106" s="56" t="str">
        <f t="shared" si="3"/>
        <v/>
      </c>
      <c r="L106" s="14"/>
      <c r="M106" s="14"/>
      <c r="N106" s="56">
        <f t="shared" si="4"/>
        <v>262331.85</v>
      </c>
      <c r="O106" s="56" t="str">
        <f t="shared" si="5"/>
        <v/>
      </c>
      <c r="P106" s="56" t="str">
        <f t="shared" si="6"/>
        <v/>
      </c>
      <c r="Q106" s="56">
        <f t="shared" si="7"/>
        <v>1748879</v>
      </c>
      <c r="R106" s="56" t="str">
        <f t="shared" si="8"/>
        <v/>
      </c>
      <c r="S106" s="5" t="str">
        <f t="shared" si="9"/>
        <v>MISSING DIRECT EMISSIONS</v>
      </c>
      <c r="T106" s="57">
        <v>46752.0</v>
      </c>
      <c r="U106" s="5" t="s">
        <v>241</v>
      </c>
    </row>
    <row r="107" ht="15.75" customHeight="1">
      <c r="A107" s="5" t="s">
        <v>1078</v>
      </c>
      <c r="B107" s="5" t="s">
        <v>433</v>
      </c>
      <c r="C107" s="5" t="s">
        <v>123</v>
      </c>
      <c r="D107" s="42">
        <v>1982913.0</v>
      </c>
      <c r="E107" s="42">
        <v>2169798.0</v>
      </c>
      <c r="F107" s="42">
        <f t="shared" si="1"/>
        <v>4152711</v>
      </c>
      <c r="G107" s="14"/>
      <c r="H107" s="14"/>
      <c r="I107" s="14"/>
      <c r="J107" s="56">
        <f t="shared" si="2"/>
        <v>1245813.3</v>
      </c>
      <c r="K107" s="56" t="str">
        <f t="shared" si="3"/>
        <v/>
      </c>
      <c r="L107" s="14"/>
      <c r="M107" s="14"/>
      <c r="N107" s="56">
        <f t="shared" si="4"/>
        <v>622906.65</v>
      </c>
      <c r="O107" s="56" t="str">
        <f t="shared" si="5"/>
        <v/>
      </c>
      <c r="P107" s="56" t="str">
        <f t="shared" si="6"/>
        <v/>
      </c>
      <c r="Q107" s="56">
        <f t="shared" si="7"/>
        <v>4152711</v>
      </c>
      <c r="R107" s="56" t="str">
        <f t="shared" si="8"/>
        <v/>
      </c>
      <c r="S107" s="5" t="str">
        <f t="shared" si="9"/>
        <v>MISSING DIRECT EMISSIONS</v>
      </c>
      <c r="T107" s="57">
        <v>46752.0</v>
      </c>
      <c r="U107" s="5" t="s">
        <v>241</v>
      </c>
    </row>
    <row r="108" ht="15.75" customHeight="1">
      <c r="A108" s="5" t="s">
        <v>1079</v>
      </c>
      <c r="B108" s="5" t="s">
        <v>435</v>
      </c>
      <c r="C108" s="5" t="s">
        <v>123</v>
      </c>
      <c r="D108" s="42">
        <v>1072694.0</v>
      </c>
      <c r="E108" s="42">
        <v>1173794.0</v>
      </c>
      <c r="F108" s="42">
        <f t="shared" si="1"/>
        <v>2246488</v>
      </c>
      <c r="G108" s="14"/>
      <c r="H108" s="14"/>
      <c r="I108" s="14"/>
      <c r="J108" s="56">
        <f t="shared" si="2"/>
        <v>673946.4</v>
      </c>
      <c r="K108" s="56" t="str">
        <f t="shared" si="3"/>
        <v/>
      </c>
      <c r="L108" s="14"/>
      <c r="M108" s="14"/>
      <c r="N108" s="56">
        <f t="shared" si="4"/>
        <v>336973.2</v>
      </c>
      <c r="O108" s="56" t="str">
        <f t="shared" si="5"/>
        <v/>
      </c>
      <c r="P108" s="56" t="str">
        <f t="shared" si="6"/>
        <v/>
      </c>
      <c r="Q108" s="56">
        <f t="shared" si="7"/>
        <v>2246488</v>
      </c>
      <c r="R108" s="56" t="str">
        <f t="shared" si="8"/>
        <v/>
      </c>
      <c r="S108" s="5" t="str">
        <f t="shared" si="9"/>
        <v>MISSING DIRECT EMISSIONS</v>
      </c>
      <c r="T108" s="57">
        <v>46752.0</v>
      </c>
      <c r="U108" s="5" t="s">
        <v>241</v>
      </c>
    </row>
    <row r="109" ht="15.75" customHeight="1">
      <c r="A109" s="5" t="s">
        <v>1080</v>
      </c>
      <c r="B109" s="5" t="s">
        <v>444</v>
      </c>
      <c r="C109" s="5" t="s">
        <v>123</v>
      </c>
      <c r="D109" s="42">
        <v>2045386.0</v>
      </c>
      <c r="E109" s="42">
        <v>2238159.0</v>
      </c>
      <c r="F109" s="42">
        <f t="shared" si="1"/>
        <v>4283545</v>
      </c>
      <c r="G109" s="14"/>
      <c r="H109" s="14"/>
      <c r="I109" s="14"/>
      <c r="J109" s="56">
        <f t="shared" si="2"/>
        <v>1285063.5</v>
      </c>
      <c r="K109" s="56" t="str">
        <f t="shared" si="3"/>
        <v/>
      </c>
      <c r="L109" s="14"/>
      <c r="M109" s="14"/>
      <c r="N109" s="56">
        <f t="shared" si="4"/>
        <v>642531.75</v>
      </c>
      <c r="O109" s="56" t="str">
        <f t="shared" si="5"/>
        <v/>
      </c>
      <c r="P109" s="56" t="str">
        <f t="shared" si="6"/>
        <v/>
      </c>
      <c r="Q109" s="56">
        <f t="shared" si="7"/>
        <v>4283545</v>
      </c>
      <c r="R109" s="56" t="str">
        <f t="shared" si="8"/>
        <v/>
      </c>
      <c r="S109" s="5" t="str">
        <f t="shared" si="9"/>
        <v>MISSING DIRECT EMISSIONS</v>
      </c>
      <c r="T109" s="57">
        <v>46752.0</v>
      </c>
      <c r="U109" s="5" t="s">
        <v>241</v>
      </c>
    </row>
    <row r="110" ht="15.75" customHeight="1">
      <c r="A110" s="5" t="s">
        <v>1081</v>
      </c>
      <c r="B110" s="5" t="s">
        <v>448</v>
      </c>
      <c r="C110" s="5" t="s">
        <v>123</v>
      </c>
      <c r="D110" s="42">
        <v>1505630.0</v>
      </c>
      <c r="E110" s="42">
        <v>1647533.0</v>
      </c>
      <c r="F110" s="42">
        <f t="shared" si="1"/>
        <v>3153163</v>
      </c>
      <c r="G110" s="14"/>
      <c r="H110" s="14"/>
      <c r="I110" s="14"/>
      <c r="J110" s="56">
        <f t="shared" si="2"/>
        <v>945948.9</v>
      </c>
      <c r="K110" s="56" t="str">
        <f t="shared" si="3"/>
        <v/>
      </c>
      <c r="L110" s="14"/>
      <c r="M110" s="14"/>
      <c r="N110" s="56">
        <f t="shared" si="4"/>
        <v>472974.45</v>
      </c>
      <c r="O110" s="56" t="str">
        <f t="shared" si="5"/>
        <v/>
      </c>
      <c r="P110" s="56" t="str">
        <f t="shared" si="6"/>
        <v/>
      </c>
      <c r="Q110" s="56">
        <f t="shared" si="7"/>
        <v>3153163</v>
      </c>
      <c r="R110" s="56" t="str">
        <f t="shared" si="8"/>
        <v/>
      </c>
      <c r="S110" s="5" t="str">
        <f t="shared" si="9"/>
        <v>MISSING DIRECT EMISSIONS</v>
      </c>
      <c r="T110" s="57">
        <v>46752.0</v>
      </c>
      <c r="U110" s="5" t="s">
        <v>241</v>
      </c>
    </row>
    <row r="111" ht="15.75" customHeight="1">
      <c r="A111" s="5" t="s">
        <v>1082</v>
      </c>
      <c r="B111" s="5" t="s">
        <v>454</v>
      </c>
      <c r="C111" s="5" t="s">
        <v>123</v>
      </c>
      <c r="D111" s="42">
        <v>1324157.0</v>
      </c>
      <c r="E111" s="42">
        <v>1448956.0</v>
      </c>
      <c r="F111" s="42">
        <f t="shared" si="1"/>
        <v>2773113</v>
      </c>
      <c r="G111" s="14"/>
      <c r="H111" s="14"/>
      <c r="I111" s="14"/>
      <c r="J111" s="56">
        <f t="shared" si="2"/>
        <v>831933.9</v>
      </c>
      <c r="K111" s="56" t="str">
        <f t="shared" si="3"/>
        <v/>
      </c>
      <c r="L111" s="14"/>
      <c r="M111" s="14"/>
      <c r="N111" s="56">
        <f t="shared" si="4"/>
        <v>415966.95</v>
      </c>
      <c r="O111" s="56" t="str">
        <f t="shared" si="5"/>
        <v/>
      </c>
      <c r="P111" s="56" t="str">
        <f t="shared" si="6"/>
        <v/>
      </c>
      <c r="Q111" s="56">
        <f t="shared" si="7"/>
        <v>2773113</v>
      </c>
      <c r="R111" s="56" t="str">
        <f t="shared" si="8"/>
        <v/>
      </c>
      <c r="S111" s="5" t="str">
        <f t="shared" si="9"/>
        <v>MISSING DIRECT EMISSIONS</v>
      </c>
      <c r="T111" s="57">
        <v>46752.0</v>
      </c>
      <c r="U111" s="5" t="s">
        <v>241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S2:S111">
    <cfRule type="expression" dxfId="1" priority="1">
      <formula>S2="SURPLUS"</formula>
    </cfRule>
  </conditionalFormatting>
  <conditionalFormatting sqref="S2:S111">
    <cfRule type="expression" dxfId="2" priority="2">
      <formula>S2="BALANCED"</formula>
    </cfRule>
  </conditionalFormatting>
  <conditionalFormatting sqref="S2:S111">
    <cfRule type="expression" dxfId="9" priority="3">
      <formula>S2="DEFICIT"</formula>
    </cfRule>
  </conditionalFormatting>
  <conditionalFormatting sqref="S2:S111">
    <cfRule type="expression" dxfId="9" priority="4">
      <formula>LEFT(S2,7)="INVALID"</formula>
    </cfRule>
  </conditionalFormatting>
  <conditionalFormatting sqref="S2:S111">
    <cfRule type="expression" dxfId="10" priority="5">
      <formula>LEFT(S2,7)="MISSING"</formula>
    </cfRule>
  </conditionalFormatting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" width="28.0"/>
    <col customWidth="1" min="3" max="3" width="42.0"/>
    <col customWidth="1" min="4" max="4" width="30.0"/>
    <col customWidth="1" min="5" max="5" width="42.0"/>
    <col customWidth="1" min="6" max="6" width="18.0"/>
    <col customWidth="1" min="7" max="26" width="8.63"/>
  </cols>
  <sheetData>
    <row r="1" ht="30.0" customHeight="1">
      <c r="A1" s="58" t="s">
        <v>1083</v>
      </c>
    </row>
    <row r="2">
      <c r="A2" s="5"/>
      <c r="B2" s="5"/>
      <c r="C2" s="5"/>
      <c r="D2" s="5"/>
      <c r="E2" s="5"/>
      <c r="F2" s="5"/>
    </row>
    <row r="3">
      <c r="A3" s="54" t="s">
        <v>1084</v>
      </c>
    </row>
    <row r="4">
      <c r="A4" s="5" t="s">
        <v>1085</v>
      </c>
      <c r="B4" s="59">
        <v>46278.0</v>
      </c>
      <c r="C4" s="5" t="s">
        <v>1086</v>
      </c>
      <c r="D4" s="54" t="s">
        <v>1087</v>
      </c>
      <c r="E4" s="21" t="str">
        <f t="array" ref="E4">IFERROR(INDEX(OFFICIAL_ALLOCATIONS!$B$2:$B$111,MATCH(B5,OFFICIAL_ALLOCATIONS!$A$2:$A$111,0)),B6)</f>
        <v/>
      </c>
      <c r="F4" s="5"/>
    </row>
    <row r="5">
      <c r="A5" s="5" t="s">
        <v>1088</v>
      </c>
      <c r="B5" s="17"/>
      <c r="C5" s="5" t="s">
        <v>1089</v>
      </c>
      <c r="D5" s="54" t="s">
        <v>1090</v>
      </c>
      <c r="E5" s="21" t="str">
        <f t="array" ref="E5">IFERROR(INDEX(OFFICIAL_ALLOCATIONS!$D$2:$D$111,MATCH(B5,OFFICIAL_ALLOCATIONS!$A$2:$A$111,0)),B7)</f>
        <v/>
      </c>
      <c r="F5" s="5"/>
    </row>
    <row r="6">
      <c r="A6" s="5" t="s">
        <v>1091</v>
      </c>
      <c r="B6" s="17"/>
      <c r="C6" s="5" t="s">
        <v>1092</v>
      </c>
      <c r="D6" s="54" t="s">
        <v>1093</v>
      </c>
      <c r="E6" s="21" t="str">
        <f t="array" ref="E6">IFERROR(INDEX(OFFICIAL_ALLOCATIONS!$C$2:$C$111,MATCH(B5,OFFICIAL_ALLOCATIONS!$A$2:$A$111,0)),B9)</f>
        <v/>
      </c>
      <c r="F6" s="5"/>
    </row>
    <row r="7">
      <c r="A7" s="5" t="s">
        <v>17</v>
      </c>
      <c r="B7" s="17"/>
      <c r="C7" s="5" t="s">
        <v>1094</v>
      </c>
      <c r="D7" s="54" t="s">
        <v>11</v>
      </c>
      <c r="E7" s="21" t="str">
        <f>IF(E6="Thermal power","Electricity",IF(E6="Iron &amp; steel","Crude steel",IF(E6="Cement","Clinker","")))</f>
        <v/>
      </c>
      <c r="F7" s="5"/>
    </row>
    <row r="8">
      <c r="A8" s="5" t="s">
        <v>1095</v>
      </c>
      <c r="B8" s="17"/>
      <c r="C8" s="5" t="s">
        <v>1096</v>
      </c>
      <c r="D8" s="54" t="s">
        <v>14</v>
      </c>
      <c r="E8" s="21" t="str">
        <f>IF(E6="Thermal power","kWh",IF(E6="Iron &amp; steel","t crude steel",IF(E6="Cement","t clinker","")))</f>
        <v/>
      </c>
      <c r="F8" s="5"/>
    </row>
    <row r="9">
      <c r="A9" s="5" t="s">
        <v>7</v>
      </c>
      <c r="B9" s="17"/>
      <c r="C9" s="5" t="s">
        <v>1097</v>
      </c>
      <c r="D9" s="54" t="s">
        <v>1098</v>
      </c>
      <c r="E9" s="21" t="str">
        <f t="array" ref="E9">IF(B5="","",IF(B14=2025,INDEX(OFFICIAL_ALLOCATIONS!$E$2:$E$111,MATCH(B5,OFFICIAL_ALLOCATIONS!$A$2:$A$111,0)),INDEX(OFFICIAL_ALLOCATIONS!$F$2:$F$111,MATCH(B5,OFFICIAL_ALLOCATIONS!$A$2:$A$111,0))))</f>
        <v/>
      </c>
      <c r="F9" s="5"/>
    </row>
    <row r="10">
      <c r="A10" s="5" t="s">
        <v>1099</v>
      </c>
      <c r="B10" s="17" t="s">
        <v>1100</v>
      </c>
      <c r="C10" s="5" t="s">
        <v>1101</v>
      </c>
      <c r="D10" s="54" t="s">
        <v>1102</v>
      </c>
      <c r="E10" s="21" t="str">
        <f>IF(B4&lt;DATE(2026,9,25),"Decision 13/2024/QĐ-TTg","Decision 42/2026/QĐ-TTg")</f>
        <v>Decision 13/2024/QĐ-TTg</v>
      </c>
      <c r="F10" s="5"/>
    </row>
    <row r="11">
      <c r="A11" s="5" t="s">
        <v>1103</v>
      </c>
      <c r="B11" s="17"/>
      <c r="C11" s="5" t="s">
        <v>1104</v>
      </c>
      <c r="D11" s="54" t="s">
        <v>1105</v>
      </c>
      <c r="E11" s="21" t="str">
        <f>IF(B5="","NO",IF(COUNTIF(OFFICIAL_ALLOCATIONS!$A$2:$A$111,B5)&gt;0,"YES","NO"))</f>
        <v>NO</v>
      </c>
      <c r="F11" s="5"/>
    </row>
    <row r="12">
      <c r="A12" s="5" t="s">
        <v>1106</v>
      </c>
      <c r="B12" s="17"/>
      <c r="C12" s="5" t="s">
        <v>1107</v>
      </c>
      <c r="D12" s="54" t="s">
        <v>1108</v>
      </c>
      <c r="E12" s="21" t="str">
        <f>IF(B11&gt;=3000,"MEETS CRITERIA",IF(B8="","INSUFFICIENT DATA",IF(OR(AND(OR(B8="Thermal power",B8="Industrial production"),B12&gt;=1000),AND(B8="Freight transport",B12&gt;=1000),AND(B8="Commercial building",B12&gt;=1000),AND(B8="Solid waste treatment",B13&gt;=65000)),"MEETS CRITERIA",IF(OR(B11&lt;&gt;"",B12&lt;&gt;"",B13&lt;&gt;""),"DOES NOT MEET ENTERED CRITERIA","INSUFFICIENT DATA"))))</f>
        <v>INSUFFICIENT DATA</v>
      </c>
      <c r="F12" s="5"/>
    </row>
    <row r="13">
      <c r="A13" s="5" t="s">
        <v>1109</v>
      </c>
      <c r="B13" s="17"/>
      <c r="C13" s="5" t="s">
        <v>1110</v>
      </c>
      <c r="D13" s="54" t="s">
        <v>1111</v>
      </c>
      <c r="E13" s="21" t="str">
        <f>IF(AND(B4&lt;DATE(2026,9,25),TODAY()&gt;=DATE(2026,9,25)),"Assessment date uses an expired inventory list.",IF(AND(B4&gt;=DATE(2026,9,25),TODAY()&lt;DATE(2026,9,25)),"Assessment date is future-dated; Decision 42 is issued but not yet effective today.","OK"))</f>
        <v>OK</v>
      </c>
      <c r="F13" s="5"/>
    </row>
    <row r="14">
      <c r="A14" s="5" t="s">
        <v>1112</v>
      </c>
      <c r="B14" s="17">
        <v>2025.0</v>
      </c>
      <c r="C14" s="5" t="s">
        <v>792</v>
      </c>
      <c r="D14" s="5"/>
      <c r="E14" s="5"/>
      <c r="F14" s="5"/>
    </row>
    <row r="15">
      <c r="A15" s="5"/>
      <c r="B15" s="5"/>
      <c r="C15" s="5"/>
      <c r="D15" s="5"/>
      <c r="E15" s="5"/>
      <c r="F15" s="5"/>
    </row>
    <row r="16">
      <c r="A16" s="54" t="s">
        <v>1113</v>
      </c>
    </row>
    <row r="17">
      <c r="A17" s="54" t="s">
        <v>1114</v>
      </c>
      <c r="B17" s="60" t="str">
        <f>IF(E11="YES","YES — quota-listed facility was within the inventory-list basis for the 2025-2026 allocation",IF(B10="Yes","YES — official inventory-list match supplied",IF(E12="MEETS CRITERIA","MEETS ARTICLE 6 CRITERIA — VERIFY THE EFFECTIVE OFFICIAL LIST",IF(OR(B10="Unknown",E12="INSUFFICIENT DATA"),"UNDETERMINED — MISSING / UNCONFIRMED LIST OR THRESHOLD DATA","NO CURRENT EVIDENCE FROM ENTERED DATA"))))</f>
        <v>UNDETERMINED — MISSING / UNCONFIRMED LIST OR THRESHOLD DATA</v>
      </c>
      <c r="D17" s="54" t="s">
        <v>1115</v>
      </c>
      <c r="E17" s="21" t="s">
        <v>1116</v>
      </c>
    </row>
    <row r="18">
      <c r="A18" s="54" t="s">
        <v>1117</v>
      </c>
      <c r="D18" s="54" t="s">
        <v>1115</v>
      </c>
      <c r="E18" s="21" t="s">
        <v>1118</v>
      </c>
    </row>
    <row r="19">
      <c r="A19" s="54" t="s">
        <v>1119</v>
      </c>
      <c r="D19" s="54" t="s">
        <v>1115</v>
      </c>
      <c r="E19" s="21" t="s">
        <v>1120</v>
      </c>
    </row>
    <row r="20">
      <c r="A20" s="5"/>
      <c r="B20" s="5"/>
      <c r="C20" s="5"/>
      <c r="D20" s="5"/>
      <c r="E20" s="5"/>
      <c r="F20" s="5"/>
    </row>
    <row r="21" ht="15.75" customHeight="1">
      <c r="A21" s="54" t="s">
        <v>1121</v>
      </c>
    </row>
    <row r="22" ht="15.75" customHeight="1">
      <c r="A22" s="5" t="s">
        <v>1122</v>
      </c>
      <c r="B22" s="17"/>
      <c r="C22" s="5" t="s">
        <v>1123</v>
      </c>
      <c r="D22" s="54" t="s">
        <v>1124</v>
      </c>
      <c r="E22" s="60">
        <f>B14-3</f>
        <v>2022</v>
      </c>
      <c r="F22" s="5"/>
    </row>
    <row r="23" ht="15.75" customHeight="1">
      <c r="A23" s="5" t="s">
        <v>1125</v>
      </c>
      <c r="B23" s="17"/>
      <c r="C23" s="5"/>
      <c r="D23" s="54" t="s">
        <v>1126</v>
      </c>
      <c r="E23" s="60">
        <f>B14-2</f>
        <v>2023</v>
      </c>
      <c r="F23" s="5"/>
    </row>
    <row r="24" ht="15.75" customHeight="1">
      <c r="A24" s="5" t="s">
        <v>1127</v>
      </c>
      <c r="B24" s="17"/>
      <c r="C24" s="5"/>
      <c r="D24" s="54" t="s">
        <v>1128</v>
      </c>
      <c r="E24" s="60">
        <f>B14-1</f>
        <v>2024</v>
      </c>
      <c r="F24" s="5"/>
    </row>
    <row r="25" ht="15.75" customHeight="1">
      <c r="A25" s="5" t="s">
        <v>1129</v>
      </c>
      <c r="B25" s="17"/>
      <c r="C25" s="5" t="s">
        <v>1130</v>
      </c>
      <c r="D25" s="54" t="s">
        <v>35</v>
      </c>
      <c r="E25" s="31" t="str">
        <f>IF(COUNT(B22:B24)&lt;3,"",AVERAGE(B22:B24))</f>
        <v/>
      </c>
      <c r="F25" s="5"/>
    </row>
    <row r="26" ht="15.75" customHeight="1">
      <c r="A26" s="5" t="s">
        <v>1131</v>
      </c>
      <c r="B26" s="17"/>
      <c r="C26" s="5"/>
      <c r="D26" s="54" t="s">
        <v>39</v>
      </c>
      <c r="E26" s="31" t="str">
        <f>IF(COUNT(B25:B27)&lt;3,"",AVERAGE(B25:B27))</f>
        <v/>
      </c>
      <c r="F26" s="5"/>
    </row>
    <row r="27" ht="15.75" customHeight="1">
      <c r="A27" s="5" t="s">
        <v>1132</v>
      </c>
      <c r="B27" s="17"/>
      <c r="C27" s="5"/>
      <c r="D27" s="54" t="s">
        <v>1133</v>
      </c>
      <c r="E27" s="31" t="str">
        <f>IF(B30&lt;&gt;"",B30,IF(B5="","",IF(COUNTIFS(CALCULATION!$A$2:$A$221,B5,CALCULATION!$D$2:$D$221,B14,CALCULATION!$J$2:$J$221,"&gt;0")=0,"",SUMIFS(CALCULATION!$J$2:$J$221,CALCULATION!$A$2:$A$221,B5,CALCULATION!$D$2:$D$221,B14))))</f>
        <v/>
      </c>
      <c r="F27" s="5"/>
    </row>
    <row r="28" ht="15.75" customHeight="1">
      <c r="A28" s="5" t="s">
        <v>1134</v>
      </c>
      <c r="B28" s="10"/>
      <c r="C28" s="5" t="s">
        <v>1135</v>
      </c>
      <c r="D28" s="54" t="s">
        <v>49</v>
      </c>
      <c r="E28" s="61" t="str">
        <f>IF(OR(B28="",B29=""),"",(1+B28)*(1-B29))</f>
        <v/>
      </c>
      <c r="F28" s="5"/>
    </row>
    <row r="29" ht="15.75" customHeight="1">
      <c r="A29" s="5" t="s">
        <v>1136</v>
      </c>
      <c r="B29" s="10"/>
      <c r="C29" s="5" t="s">
        <v>1135</v>
      </c>
      <c r="D29" s="54" t="s">
        <v>1137</v>
      </c>
      <c r="E29" s="56" t="str">
        <f>IF(OR(E25="",E27="",E28=""),"",E25*E27*E28)</f>
        <v/>
      </c>
      <c r="F29" s="5"/>
    </row>
    <row r="30" ht="15.75" customHeight="1">
      <c r="A30" s="5" t="s">
        <v>1138</v>
      </c>
      <c r="B30" s="17"/>
      <c r="C30" s="5" t="s">
        <v>1139</v>
      </c>
      <c r="D30" s="54" t="s">
        <v>56</v>
      </c>
      <c r="E30" s="56" t="str">
        <f>E9</f>
        <v/>
      </c>
      <c r="F30" s="5"/>
    </row>
    <row r="31" ht="15.75" customHeight="1">
      <c r="A31" s="5"/>
      <c r="B31" s="5"/>
      <c r="C31" s="5"/>
      <c r="D31" s="54" t="s">
        <v>1140</v>
      </c>
      <c r="E31" s="56" t="str">
        <f>IF(OR(E29="",E30=""),"",E29-E30)</f>
        <v/>
      </c>
      <c r="F31" s="5"/>
    </row>
    <row r="32" ht="15.75" customHeight="1">
      <c r="A32" s="5"/>
      <c r="B32" s="5"/>
      <c r="C32" s="5"/>
      <c r="D32" s="54" t="s">
        <v>66</v>
      </c>
      <c r="E32" s="62" t="str">
        <f>IF(OR(E31="",E30=0),"",E31/E30)</f>
        <v/>
      </c>
      <c r="F32" s="5"/>
    </row>
    <row r="33" ht="15.75" customHeight="1">
      <c r="A33" s="5"/>
      <c r="B33" s="5"/>
      <c r="C33" s="5"/>
      <c r="D33" s="54" t="s">
        <v>69</v>
      </c>
      <c r="E33" s="60" t="str">
        <f>IF(COUNT(B22:B27)&lt;6,"MISSING 3-YEAR PRODUCTION / EMISSIONS",IF(E27="","SECTOR BENCHMARK UNAVAILABLE — incomplete full-sector data or no override",IF(OR(B28="",B29=""),"MISSING g/r — do not assume 0%",IF(E29="","NOT READY","READY"))))</f>
        <v>MISSING 3-YEAR PRODUCTION / EMISSIONS</v>
      </c>
      <c r="F33" s="5"/>
    </row>
    <row r="34" ht="15.75" customHeight="1">
      <c r="A34" s="5"/>
      <c r="B34" s="5"/>
      <c r="C34" s="5"/>
      <c r="D34" s="5"/>
      <c r="E34" s="5"/>
      <c r="F34" s="5"/>
    </row>
    <row r="35" ht="15.75" customHeight="1">
      <c r="A35" s="54" t="s">
        <v>1141</v>
      </c>
    </row>
    <row r="36" ht="15.75" customHeight="1">
      <c r="A36" s="5" t="s">
        <v>1142</v>
      </c>
      <c r="B36" s="17"/>
      <c r="C36" s="5" t="s">
        <v>1143</v>
      </c>
      <c r="D36" s="54" t="s">
        <v>1144</v>
      </c>
      <c r="E36" s="56" t="str">
        <f t="array" ref="E36">IF(B5="","",INDEX(OFFICIAL_ALLOCATIONS!$E$2:$E$111,MATCH(B5,OFFICIAL_ALLOCATIONS!$A$2:$A$111,0))+INDEX(OFFICIAL_ALLOCATIONS!$F$2:$F$111,MATCH(B5,OFFICIAL_ALLOCATIONS!$A$2:$A$111,0)))</f>
        <v/>
      </c>
      <c r="F36" s="5"/>
    </row>
    <row r="37" ht="15.75" customHeight="1">
      <c r="A37" s="5" t="s">
        <v>1145</v>
      </c>
      <c r="B37" s="17"/>
      <c r="C37" s="5" t="s">
        <v>1143</v>
      </c>
      <c r="D37" s="54" t="s">
        <v>1146</v>
      </c>
      <c r="E37" s="56" t="str">
        <f>IF(E36="","",E36*30%)</f>
        <v/>
      </c>
      <c r="F37" s="5"/>
    </row>
    <row r="38" ht="15.75" customHeight="1">
      <c r="A38" s="5" t="s">
        <v>1147</v>
      </c>
      <c r="B38" s="17"/>
      <c r="C38" s="5" t="s">
        <v>1148</v>
      </c>
      <c r="D38" s="54" t="s">
        <v>1149</v>
      </c>
      <c r="E38" s="56" t="str">
        <f>IF(B38="","",MIN(B38,E37))</f>
        <v/>
      </c>
      <c r="F38" s="5"/>
    </row>
    <row r="39" ht="15.75" customHeight="1">
      <c r="A39" s="5" t="s">
        <v>1150</v>
      </c>
      <c r="B39" s="17"/>
      <c r="C39" s="5" t="s">
        <v>1151</v>
      </c>
      <c r="D39" s="54" t="s">
        <v>1152</v>
      </c>
      <c r="E39" s="56" t="str">
        <f>IF(E36="","",E36*15%)</f>
        <v/>
      </c>
      <c r="F39" s="5"/>
    </row>
    <row r="40" ht="15.75" customHeight="1">
      <c r="A40" s="5" t="s">
        <v>1153</v>
      </c>
      <c r="B40" s="17"/>
      <c r="C40" s="5" t="s">
        <v>1154</v>
      </c>
      <c r="D40" s="54" t="s">
        <v>1155</v>
      </c>
      <c r="E40" s="56" t="str">
        <f>IF(B40="","",MIN(B40,E39))</f>
        <v/>
      </c>
      <c r="F40" s="5"/>
    </row>
    <row r="41" ht="15.75" customHeight="1">
      <c r="A41" s="5"/>
      <c r="B41" s="5"/>
      <c r="C41" s="5"/>
      <c r="D41" s="54" t="s">
        <v>1156</v>
      </c>
      <c r="E41" s="56" t="str">
        <f>IF(COUNT(B36:B37)&lt;2,"",MAX(0,SUM(B36:B37)-IF(E38="",0,E38)))</f>
        <v/>
      </c>
      <c r="F41" s="5"/>
    </row>
    <row r="42" ht="15.75" customHeight="1">
      <c r="A42" s="5"/>
      <c r="B42" s="5"/>
      <c r="C42" s="5"/>
      <c r="D42" s="54" t="s">
        <v>1157</v>
      </c>
      <c r="E42" s="56" t="str">
        <f>IF(E36="","",E36+IF(B39="",0,B39)+IF(E40="",0,E40))</f>
        <v/>
      </c>
      <c r="F42" s="5"/>
    </row>
    <row r="43" ht="15.75" customHeight="1">
      <c r="A43" s="5"/>
      <c r="B43" s="5"/>
      <c r="C43" s="5"/>
      <c r="D43" s="54" t="s">
        <v>1158</v>
      </c>
      <c r="E43" s="56" t="str">
        <f>IF(OR(E41="",E42=""),"",E41-E42)</f>
        <v/>
      </c>
      <c r="F43" s="5"/>
    </row>
    <row r="44" ht="15.75" customHeight="1">
      <c r="A44" s="5"/>
      <c r="B44" s="5"/>
      <c r="C44" s="5"/>
      <c r="D44" s="54" t="s">
        <v>1159</v>
      </c>
      <c r="E44" s="60" t="str">
        <f>IF(E11&lt;&gt;"YES","NOT APPLICABLE — no QD699 quota allocation selected",IF(COUNT(B36:B37)&lt;2,"MISSING DIRECT EMISSIONS",IF(B38&gt;E37,"INVALID — credits exceed 30% cap",IF(B40&gt;E39,"INVALID — borrowing exceeds 15% cap",IF(E43&gt;0,"DEFICIT",IF(E43&lt;0,"SURPLUS","BALANCED"))))))</f>
        <v>NOT APPLICABLE — no QD699 quota allocation selected</v>
      </c>
      <c r="F44" s="5"/>
    </row>
    <row r="45" ht="15.75" customHeight="1">
      <c r="A45" s="5"/>
      <c r="B45" s="5"/>
      <c r="C45" s="5"/>
      <c r="D45" s="54" t="s">
        <v>925</v>
      </c>
      <c r="E45" s="63">
        <v>46752.0</v>
      </c>
      <c r="F45" s="5"/>
    </row>
    <row r="46" ht="15.75" customHeight="1">
      <c r="A46" s="5"/>
      <c r="B46" s="5"/>
      <c r="C46" s="5"/>
      <c r="D46" s="54" t="s">
        <v>1160</v>
      </c>
      <c r="E46" s="60" t="str">
        <f>IF(E11&lt;&gt;"YES","Select an official quota facility for compliance simulation.",IF(B38&gt;E37,"Reduce carbon credits used to the legal cap.",IF(B40&gt;E39,"Reduce borrowed allowances to the legal cap.",IF(COUNT(B36:B37)&lt;2,"Enter both 2025 and 2026 verified direct emissions.","Inputs pass core checks."))))</f>
        <v>Select an official quota facility for compliance simulation.</v>
      </c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4" t="s">
        <v>1161</v>
      </c>
    </row>
    <row r="49" ht="15.75" customHeight="1">
      <c r="A49" s="54" t="s">
        <v>1162</v>
      </c>
      <c r="B49" s="21" t="s">
        <v>1163</v>
      </c>
      <c r="C49" s="64" t="s">
        <v>1164</v>
      </c>
      <c r="D49" s="5"/>
      <c r="E49" s="5"/>
      <c r="F49" s="5"/>
    </row>
    <row r="50" ht="15.75" customHeight="1">
      <c r="A50" s="54" t="s">
        <v>1165</v>
      </c>
      <c r="B50" s="21" t="s">
        <v>1166</v>
      </c>
      <c r="C50" s="64" t="s">
        <v>1167</v>
      </c>
      <c r="D50" s="5"/>
      <c r="E50" s="5"/>
      <c r="F50" s="5"/>
    </row>
    <row r="51" ht="15.75" customHeight="1">
      <c r="A51" s="54" t="s">
        <v>1168</v>
      </c>
      <c r="B51" s="21" t="s">
        <v>1169</v>
      </c>
      <c r="C51" s="64" t="s">
        <v>1170</v>
      </c>
      <c r="D51" s="5"/>
      <c r="E51" s="5"/>
      <c r="F51" s="5"/>
    </row>
    <row r="52" ht="15.75" customHeight="1">
      <c r="A52" s="54" t="s">
        <v>1171</v>
      </c>
      <c r="B52" s="21" t="s">
        <v>1172</v>
      </c>
      <c r="C52" s="64" t="s">
        <v>1173</v>
      </c>
      <c r="D52" s="5"/>
      <c r="E52" s="5"/>
      <c r="F52" s="5"/>
    </row>
    <row r="53" ht="15.75" customHeight="1">
      <c r="A53" s="54" t="s">
        <v>1174</v>
      </c>
      <c r="B53" s="21" t="s">
        <v>1175</v>
      </c>
      <c r="C53" s="64" t="s">
        <v>1176</v>
      </c>
      <c r="D53" s="5"/>
      <c r="E53" s="5"/>
      <c r="F53" s="5"/>
    </row>
    <row r="54" ht="15.75" customHeight="1">
      <c r="A54" s="54" t="s">
        <v>1177</v>
      </c>
      <c r="B54" s="21" t="s">
        <v>1178</v>
      </c>
      <c r="C54" s="64" t="s">
        <v>1179</v>
      </c>
      <c r="D54" s="5"/>
      <c r="E54" s="5"/>
      <c r="F54" s="5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E18:F18"/>
    <mergeCell ref="E19:F19"/>
    <mergeCell ref="A21:F21"/>
    <mergeCell ref="A35:F35"/>
    <mergeCell ref="A48:F48"/>
    <mergeCell ref="A1:F1"/>
    <mergeCell ref="A3:F3"/>
    <mergeCell ref="A16:F16"/>
    <mergeCell ref="B17:C17"/>
    <mergeCell ref="E17:F17"/>
    <mergeCell ref="B18:C18"/>
    <mergeCell ref="B19:C19"/>
  </mergeCells>
  <conditionalFormatting sqref="B17">
    <cfRule type="expression" dxfId="1" priority="1">
      <formula>LEFT(B17,3)="YES"</formula>
    </cfRule>
  </conditionalFormatting>
  <conditionalFormatting sqref="B18">
    <cfRule type="expression" dxfId="1" priority="2">
      <formula>LEFT(B18,3)="YES"</formula>
    </cfRule>
  </conditionalFormatting>
  <conditionalFormatting sqref="E44">
    <cfRule type="expression" dxfId="1" priority="3">
      <formula>E44="SURPLUS"</formula>
    </cfRule>
  </conditionalFormatting>
  <conditionalFormatting sqref="E44">
    <cfRule type="expression" dxfId="2" priority="4">
      <formula>E44="BALANCED"</formula>
    </cfRule>
  </conditionalFormatting>
  <conditionalFormatting sqref="E44">
    <cfRule type="expression" dxfId="9" priority="5">
      <formula>E44="DEFICIT"</formula>
    </cfRule>
  </conditionalFormatting>
  <dataValidations>
    <dataValidation type="list" allowBlank="1" sqref="B8">
      <formula1>"Thermal power,Industrial production,Freight transport,Commercial building,Solid waste treatment,Other"</formula1>
    </dataValidation>
    <dataValidation type="list" allowBlank="1" sqref="B9">
      <formula1>"Thermal power,Iron &amp; steel,Cement,Other"</formula1>
    </dataValidation>
    <dataValidation type="list" allowBlank="1" sqref="B14">
      <formula1>"2025,2026"</formula1>
    </dataValidation>
    <dataValidation type="list" allowBlank="1" sqref="B5">
      <formula1>OFFICIAL_ALLOCATIONS!$A$2:$A$111</formula1>
    </dataValidation>
    <dataValidation type="list" allowBlank="1" sqref="B10">
      <formula1>"Yes,No,Unknown"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30.0"/>
    <col customWidth="1" min="3" max="3" width="18.0"/>
    <col customWidth="1" min="4" max="4" width="14.0"/>
    <col customWidth="1" min="5" max="6" width="28.0"/>
    <col customWidth="1" min="7" max="7" width="32.0"/>
    <col customWidth="1" min="8" max="8" width="30.0"/>
    <col customWidth="1" min="9" max="9" width="28.0"/>
    <col customWidth="1" min="10" max="10" width="24.0"/>
    <col customWidth="1" min="11" max="11" width="44.0"/>
    <col customWidth="1" min="12" max="26" width="8.63"/>
  </cols>
  <sheetData>
    <row r="1">
      <c r="A1" s="2" t="s">
        <v>1180</v>
      </c>
      <c r="B1" s="2" t="s">
        <v>1181</v>
      </c>
      <c r="C1" s="2" t="s">
        <v>224</v>
      </c>
      <c r="D1" s="2" t="s">
        <v>1182</v>
      </c>
      <c r="E1" s="2" t="s">
        <v>1183</v>
      </c>
      <c r="F1" s="2" t="s">
        <v>1184</v>
      </c>
      <c r="G1" s="2" t="s">
        <v>1185</v>
      </c>
      <c r="H1" s="2" t="s">
        <v>1186</v>
      </c>
      <c r="I1" s="2" t="s">
        <v>1187</v>
      </c>
      <c r="J1" s="2" t="s">
        <v>1188</v>
      </c>
      <c r="K1" s="2" t="s">
        <v>24</v>
      </c>
    </row>
    <row r="2">
      <c r="A2" s="5" t="s">
        <v>1189</v>
      </c>
      <c r="B2" s="5" t="s">
        <v>1085</v>
      </c>
      <c r="C2" s="5" t="s">
        <v>1190</v>
      </c>
      <c r="D2" s="5" t="s">
        <v>1191</v>
      </c>
      <c r="E2" s="5" t="s">
        <v>1191</v>
      </c>
      <c r="F2" s="5" t="s">
        <v>1192</v>
      </c>
      <c r="G2" s="5" t="s">
        <v>1193</v>
      </c>
      <c r="H2" s="5" t="s">
        <v>1194</v>
      </c>
      <c r="I2" s="5" t="s">
        <v>1195</v>
      </c>
      <c r="J2" s="5" t="s">
        <v>1196</v>
      </c>
      <c r="K2" s="5" t="s">
        <v>1197</v>
      </c>
    </row>
    <row r="3">
      <c r="A3" s="5" t="s">
        <v>1198</v>
      </c>
      <c r="B3" s="5" t="s">
        <v>1</v>
      </c>
      <c r="C3" s="5" t="s">
        <v>1199</v>
      </c>
      <c r="D3" s="5" t="s">
        <v>1200</v>
      </c>
      <c r="E3" s="5" t="s">
        <v>1201</v>
      </c>
      <c r="F3" s="5" t="s">
        <v>1202</v>
      </c>
      <c r="G3" s="5" t="s">
        <v>1203</v>
      </c>
      <c r="H3" s="5" t="s">
        <v>117</v>
      </c>
      <c r="I3" s="5" t="s">
        <v>1204</v>
      </c>
      <c r="J3" s="5" t="s">
        <v>1205</v>
      </c>
      <c r="K3" s="5" t="s">
        <v>1206</v>
      </c>
    </row>
    <row r="4">
      <c r="A4" s="5" t="s">
        <v>1207</v>
      </c>
      <c r="B4" s="5" t="s">
        <v>1208</v>
      </c>
      <c r="C4" s="5" t="s">
        <v>1199</v>
      </c>
      <c r="D4" s="5" t="s">
        <v>1200</v>
      </c>
      <c r="E4" s="5" t="s">
        <v>1209</v>
      </c>
      <c r="F4" s="5" t="s">
        <v>1210</v>
      </c>
      <c r="G4" s="5" t="s">
        <v>1211</v>
      </c>
      <c r="H4" s="5" t="s">
        <v>1212</v>
      </c>
      <c r="I4" s="5" t="s">
        <v>1213</v>
      </c>
      <c r="J4" s="5" t="s">
        <v>1214</v>
      </c>
      <c r="K4" s="5" t="s">
        <v>1215</v>
      </c>
    </row>
    <row r="5">
      <c r="A5" s="5" t="s">
        <v>1216</v>
      </c>
      <c r="B5" s="5" t="s">
        <v>17</v>
      </c>
      <c r="C5" s="5" t="s">
        <v>1199</v>
      </c>
      <c r="D5" s="5" t="s">
        <v>1200</v>
      </c>
      <c r="E5" s="5" t="s">
        <v>1217</v>
      </c>
      <c r="F5" s="5" t="s">
        <v>1218</v>
      </c>
      <c r="G5" s="5" t="s">
        <v>1200</v>
      </c>
      <c r="H5" s="5" t="s">
        <v>1219</v>
      </c>
      <c r="I5" s="5" t="s">
        <v>1220</v>
      </c>
      <c r="J5" s="5" t="s">
        <v>1214</v>
      </c>
      <c r="K5" s="5" t="s">
        <v>1215</v>
      </c>
    </row>
    <row r="6">
      <c r="A6" s="5" t="s">
        <v>1221</v>
      </c>
      <c r="B6" s="5" t="s">
        <v>1095</v>
      </c>
      <c r="C6" s="5" t="s">
        <v>234</v>
      </c>
      <c r="D6" s="5" t="s">
        <v>1222</v>
      </c>
      <c r="E6" s="5" t="s">
        <v>1223</v>
      </c>
      <c r="F6" s="5" t="s">
        <v>1224</v>
      </c>
      <c r="G6" s="5" t="s">
        <v>1225</v>
      </c>
      <c r="H6" s="5" t="s">
        <v>1226</v>
      </c>
      <c r="I6" s="5" t="s">
        <v>1227</v>
      </c>
      <c r="J6" s="5" t="s">
        <v>1228</v>
      </c>
      <c r="K6" s="5" t="s">
        <v>1229</v>
      </c>
    </row>
    <row r="7">
      <c r="A7" s="5" t="s">
        <v>1230</v>
      </c>
      <c r="B7" s="5" t="s">
        <v>1231</v>
      </c>
      <c r="C7" s="5" t="s">
        <v>1232</v>
      </c>
      <c r="D7" s="5" t="s">
        <v>1222</v>
      </c>
      <c r="E7" s="5" t="s">
        <v>1233</v>
      </c>
      <c r="F7" s="5" t="s">
        <v>1234</v>
      </c>
      <c r="G7" s="5" t="s">
        <v>1225</v>
      </c>
      <c r="H7" s="5" t="s">
        <v>1235</v>
      </c>
      <c r="I7" s="5" t="s">
        <v>1236</v>
      </c>
      <c r="J7" s="5" t="s">
        <v>1228</v>
      </c>
      <c r="K7" s="5" t="s">
        <v>1237</v>
      </c>
    </row>
    <row r="8">
      <c r="A8" s="5" t="s">
        <v>1238</v>
      </c>
      <c r="B8" s="5" t="s">
        <v>1099</v>
      </c>
      <c r="C8" s="5" t="s">
        <v>234</v>
      </c>
      <c r="D8" s="5" t="s">
        <v>1222</v>
      </c>
      <c r="E8" s="5" t="s">
        <v>1239</v>
      </c>
      <c r="F8" s="5" t="s">
        <v>1240</v>
      </c>
      <c r="G8" s="5" t="s">
        <v>1241</v>
      </c>
      <c r="H8" s="5" t="s">
        <v>1242</v>
      </c>
      <c r="I8" s="5" t="s">
        <v>1243</v>
      </c>
      <c r="J8" s="5" t="s">
        <v>1244</v>
      </c>
      <c r="K8" s="5" t="s">
        <v>1245</v>
      </c>
    </row>
    <row r="9">
      <c r="A9" s="5" t="s">
        <v>1246</v>
      </c>
      <c r="B9" s="5" t="s">
        <v>236</v>
      </c>
      <c r="C9" s="5" t="s">
        <v>234</v>
      </c>
      <c r="D9" s="5" t="s">
        <v>1247</v>
      </c>
      <c r="E9" s="5" t="s">
        <v>1248</v>
      </c>
      <c r="F9" s="5" t="s">
        <v>1249</v>
      </c>
      <c r="G9" s="5" t="s">
        <v>1250</v>
      </c>
      <c r="H9" s="5" t="s">
        <v>1251</v>
      </c>
      <c r="I9" s="5" t="s">
        <v>1252</v>
      </c>
      <c r="J9" s="5" t="s">
        <v>1253</v>
      </c>
      <c r="K9" s="5" t="s">
        <v>1254</v>
      </c>
    </row>
    <row r="10">
      <c r="A10" s="5" t="s">
        <v>1255</v>
      </c>
      <c r="B10" s="5" t="s">
        <v>1256</v>
      </c>
      <c r="C10" s="5" t="s">
        <v>234</v>
      </c>
      <c r="D10" s="5" t="s">
        <v>1247</v>
      </c>
      <c r="E10" s="5" t="s">
        <v>1257</v>
      </c>
      <c r="F10" s="5" t="s">
        <v>1258</v>
      </c>
      <c r="G10" s="5" t="s">
        <v>1250</v>
      </c>
      <c r="H10" s="5" t="s">
        <v>1259</v>
      </c>
      <c r="I10" s="5" t="s">
        <v>1252</v>
      </c>
      <c r="J10" s="5" t="s">
        <v>1253</v>
      </c>
      <c r="K10" s="5" t="s">
        <v>1260</v>
      </c>
    </row>
    <row r="11">
      <c r="A11" s="5" t="s">
        <v>1261</v>
      </c>
      <c r="B11" s="5" t="s">
        <v>1262</v>
      </c>
      <c r="C11" s="5" t="s">
        <v>234</v>
      </c>
      <c r="D11" s="5" t="s">
        <v>1247</v>
      </c>
      <c r="E11" s="5" t="s">
        <v>1263</v>
      </c>
      <c r="F11" s="5" t="s">
        <v>1264</v>
      </c>
      <c r="G11" s="5" t="s">
        <v>1250</v>
      </c>
      <c r="H11" s="5" t="s">
        <v>1265</v>
      </c>
      <c r="I11" s="5" t="s">
        <v>1252</v>
      </c>
      <c r="J11" s="5" t="s">
        <v>1253</v>
      </c>
      <c r="K11" s="5" t="s">
        <v>1266</v>
      </c>
    </row>
    <row r="12">
      <c r="A12" s="5" t="s">
        <v>1267</v>
      </c>
      <c r="B12" s="5" t="s">
        <v>1112</v>
      </c>
      <c r="C12" s="5" t="s">
        <v>1268</v>
      </c>
      <c r="D12" s="5" t="s">
        <v>1269</v>
      </c>
      <c r="E12" s="5" t="s">
        <v>1270</v>
      </c>
      <c r="F12" s="5" t="s">
        <v>1271</v>
      </c>
      <c r="G12" s="5" t="s">
        <v>1272</v>
      </c>
      <c r="H12" s="5" t="s">
        <v>1273</v>
      </c>
      <c r="I12" s="5" t="s">
        <v>1274</v>
      </c>
      <c r="J12" s="5" t="s">
        <v>1275</v>
      </c>
      <c r="K12" s="5" t="s">
        <v>1276</v>
      </c>
    </row>
    <row r="13">
      <c r="A13" s="5" t="s">
        <v>1277</v>
      </c>
      <c r="B13" s="5" t="s">
        <v>1122</v>
      </c>
      <c r="C13" s="5" t="s">
        <v>1268</v>
      </c>
      <c r="D13" s="5" t="s">
        <v>1247</v>
      </c>
      <c r="E13" s="5" t="s">
        <v>1278</v>
      </c>
      <c r="F13" s="5" t="s">
        <v>1271</v>
      </c>
      <c r="G13" s="5" t="s">
        <v>1279</v>
      </c>
      <c r="H13" s="5" t="s">
        <v>1280</v>
      </c>
      <c r="I13" s="5" t="s">
        <v>1281</v>
      </c>
      <c r="J13" s="5" t="s">
        <v>1253</v>
      </c>
      <c r="K13" s="5" t="s">
        <v>1282</v>
      </c>
    </row>
    <row r="14">
      <c r="A14" s="5" t="s">
        <v>1283</v>
      </c>
      <c r="B14" s="5" t="s">
        <v>1125</v>
      </c>
      <c r="C14" s="5" t="s">
        <v>1268</v>
      </c>
      <c r="D14" s="5" t="s">
        <v>1247</v>
      </c>
      <c r="E14" s="5" t="s">
        <v>1278</v>
      </c>
      <c r="F14" s="5" t="s">
        <v>1271</v>
      </c>
      <c r="G14" s="5" t="s">
        <v>1250</v>
      </c>
      <c r="H14" s="5" t="s">
        <v>1280</v>
      </c>
      <c r="I14" s="5" t="s">
        <v>1281</v>
      </c>
      <c r="J14" s="5" t="s">
        <v>1253</v>
      </c>
      <c r="K14" s="5"/>
    </row>
    <row r="15">
      <c r="A15" s="5" t="s">
        <v>1284</v>
      </c>
      <c r="B15" s="5" t="s">
        <v>1127</v>
      </c>
      <c r="C15" s="5" t="s">
        <v>1268</v>
      </c>
      <c r="D15" s="5" t="s">
        <v>1247</v>
      </c>
      <c r="E15" s="5" t="s">
        <v>1278</v>
      </c>
      <c r="F15" s="5" t="s">
        <v>1271</v>
      </c>
      <c r="G15" s="5" t="s">
        <v>1250</v>
      </c>
      <c r="H15" s="5" t="s">
        <v>1280</v>
      </c>
      <c r="I15" s="5" t="s">
        <v>1281</v>
      </c>
      <c r="J15" s="5" t="s">
        <v>1253</v>
      </c>
      <c r="K15" s="5"/>
    </row>
    <row r="16">
      <c r="A16" s="5" t="s">
        <v>1285</v>
      </c>
      <c r="B16" s="5" t="s">
        <v>1129</v>
      </c>
      <c r="C16" s="5" t="s">
        <v>1268</v>
      </c>
      <c r="D16" s="5" t="s">
        <v>1247</v>
      </c>
      <c r="E16" s="5" t="s">
        <v>78</v>
      </c>
      <c r="F16" s="5" t="s">
        <v>1271</v>
      </c>
      <c r="G16" s="5" t="s">
        <v>1279</v>
      </c>
      <c r="H16" s="5" t="s">
        <v>1286</v>
      </c>
      <c r="I16" s="5" t="s">
        <v>1281</v>
      </c>
      <c r="J16" s="5" t="s">
        <v>1253</v>
      </c>
      <c r="K16" s="5" t="s">
        <v>1287</v>
      </c>
    </row>
    <row r="17">
      <c r="A17" s="5" t="s">
        <v>1288</v>
      </c>
      <c r="B17" s="5" t="s">
        <v>1131</v>
      </c>
      <c r="C17" s="5" t="s">
        <v>1268</v>
      </c>
      <c r="D17" s="5" t="s">
        <v>1247</v>
      </c>
      <c r="E17" s="5" t="s">
        <v>78</v>
      </c>
      <c r="F17" s="5" t="s">
        <v>1271</v>
      </c>
      <c r="G17" s="5" t="s">
        <v>1250</v>
      </c>
      <c r="H17" s="5" t="s">
        <v>1286</v>
      </c>
      <c r="I17" s="5" t="s">
        <v>1281</v>
      </c>
      <c r="J17" s="5" t="s">
        <v>1253</v>
      </c>
      <c r="K17" s="5"/>
    </row>
    <row r="18">
      <c r="A18" s="5" t="s">
        <v>1289</v>
      </c>
      <c r="B18" s="5" t="s">
        <v>1132</v>
      </c>
      <c r="C18" s="5" t="s">
        <v>1268</v>
      </c>
      <c r="D18" s="5" t="s">
        <v>1247</v>
      </c>
      <c r="E18" s="5" t="s">
        <v>78</v>
      </c>
      <c r="F18" s="5" t="s">
        <v>1271</v>
      </c>
      <c r="G18" s="5" t="s">
        <v>1250</v>
      </c>
      <c r="H18" s="5" t="s">
        <v>1286</v>
      </c>
      <c r="I18" s="5" t="s">
        <v>1281</v>
      </c>
      <c r="J18" s="5" t="s">
        <v>1253</v>
      </c>
      <c r="K18" s="5"/>
    </row>
    <row r="19">
      <c r="A19" s="5" t="s">
        <v>34</v>
      </c>
      <c r="B19" s="5" t="s">
        <v>37</v>
      </c>
      <c r="C19" s="5" t="s">
        <v>1268</v>
      </c>
      <c r="D19" s="5" t="s">
        <v>1290</v>
      </c>
      <c r="E19" s="5" t="s">
        <v>55</v>
      </c>
      <c r="F19" s="5" t="s">
        <v>1291</v>
      </c>
      <c r="G19" s="5" t="s">
        <v>1292</v>
      </c>
      <c r="H19" s="5" t="s">
        <v>1293</v>
      </c>
      <c r="I19" s="5" t="s">
        <v>1294</v>
      </c>
      <c r="J19" s="5" t="s">
        <v>1295</v>
      </c>
      <c r="K19" s="5" t="s">
        <v>1296</v>
      </c>
    </row>
    <row r="20">
      <c r="A20" s="5" t="s">
        <v>46</v>
      </c>
      <c r="B20" s="5" t="s">
        <v>63</v>
      </c>
      <c r="C20" s="5" t="s">
        <v>1268</v>
      </c>
      <c r="D20" s="5" t="s">
        <v>1290</v>
      </c>
      <c r="E20" s="5" t="s">
        <v>55</v>
      </c>
      <c r="F20" s="5" t="s">
        <v>1291</v>
      </c>
      <c r="G20" s="5" t="s">
        <v>1292</v>
      </c>
      <c r="H20" s="5" t="s">
        <v>1293</v>
      </c>
      <c r="I20" s="5" t="s">
        <v>1294</v>
      </c>
      <c r="J20" s="5" t="s">
        <v>1295</v>
      </c>
      <c r="K20" s="5" t="s">
        <v>1296</v>
      </c>
    </row>
    <row r="21" ht="15.75" customHeight="1">
      <c r="A21" s="5" t="s">
        <v>1297</v>
      </c>
      <c r="B21" s="5" t="s">
        <v>1298</v>
      </c>
      <c r="C21" s="5" t="s">
        <v>1268</v>
      </c>
      <c r="D21" s="5" t="s">
        <v>1247</v>
      </c>
      <c r="E21" s="5" t="s">
        <v>1299</v>
      </c>
      <c r="F21" s="5" t="s">
        <v>1300</v>
      </c>
      <c r="G21" s="5" t="s">
        <v>1250</v>
      </c>
      <c r="H21" s="5" t="s">
        <v>1301</v>
      </c>
      <c r="I21" s="5" t="s">
        <v>1302</v>
      </c>
      <c r="J21" s="5" t="s">
        <v>1303</v>
      </c>
      <c r="K21" s="5" t="s">
        <v>1304</v>
      </c>
    </row>
    <row r="22" ht="15.75" customHeight="1">
      <c r="A22" s="5" t="s">
        <v>1305</v>
      </c>
      <c r="B22" s="5" t="s">
        <v>1142</v>
      </c>
      <c r="C22" s="5" t="s">
        <v>311</v>
      </c>
      <c r="D22" s="5" t="s">
        <v>1247</v>
      </c>
      <c r="E22" s="5" t="s">
        <v>78</v>
      </c>
      <c r="F22" s="5" t="s">
        <v>1306</v>
      </c>
      <c r="G22" s="5" t="s">
        <v>1250</v>
      </c>
      <c r="H22" s="5" t="s">
        <v>1307</v>
      </c>
      <c r="I22" s="5" t="s">
        <v>1308</v>
      </c>
      <c r="J22" s="5" t="s">
        <v>1253</v>
      </c>
      <c r="K22" s="5" t="s">
        <v>1309</v>
      </c>
    </row>
    <row r="23" ht="15.75" customHeight="1">
      <c r="A23" s="5" t="s">
        <v>1310</v>
      </c>
      <c r="B23" s="5" t="s">
        <v>1145</v>
      </c>
      <c r="C23" s="5" t="s">
        <v>311</v>
      </c>
      <c r="D23" s="5" t="s">
        <v>1247</v>
      </c>
      <c r="E23" s="5" t="s">
        <v>78</v>
      </c>
      <c r="F23" s="5" t="s">
        <v>1306</v>
      </c>
      <c r="G23" s="5" t="s">
        <v>1250</v>
      </c>
      <c r="H23" s="5" t="s">
        <v>1307</v>
      </c>
      <c r="I23" s="5" t="s">
        <v>1308</v>
      </c>
      <c r="J23" s="5" t="s">
        <v>1253</v>
      </c>
      <c r="K23" s="5" t="s">
        <v>1309</v>
      </c>
    </row>
    <row r="24" ht="15.75" customHeight="1">
      <c r="A24" s="5" t="s">
        <v>1311</v>
      </c>
      <c r="B24" s="5" t="s">
        <v>1147</v>
      </c>
      <c r="C24" s="5" t="s">
        <v>311</v>
      </c>
      <c r="D24" s="5" t="s">
        <v>1247</v>
      </c>
      <c r="E24" s="5" t="s">
        <v>78</v>
      </c>
      <c r="F24" s="5" t="s">
        <v>1202</v>
      </c>
      <c r="G24" s="5" t="s">
        <v>1312</v>
      </c>
      <c r="H24" s="5" t="s">
        <v>1313</v>
      </c>
      <c r="I24" s="5" t="s">
        <v>1314</v>
      </c>
      <c r="J24" s="5" t="s">
        <v>1315</v>
      </c>
      <c r="K24" s="5" t="s">
        <v>1316</v>
      </c>
    </row>
    <row r="25" ht="15.75" customHeight="1">
      <c r="A25" s="5" t="s">
        <v>1317</v>
      </c>
      <c r="B25" s="5" t="s">
        <v>1318</v>
      </c>
      <c r="C25" s="5" t="s">
        <v>311</v>
      </c>
      <c r="D25" s="5" t="s">
        <v>1247</v>
      </c>
      <c r="E25" s="5" t="s">
        <v>78</v>
      </c>
      <c r="F25" s="5" t="s">
        <v>1202</v>
      </c>
      <c r="G25" s="5" t="s">
        <v>1319</v>
      </c>
      <c r="H25" s="5" t="s">
        <v>1313</v>
      </c>
      <c r="I25" s="5" t="s">
        <v>1320</v>
      </c>
      <c r="J25" s="5" t="s">
        <v>1321</v>
      </c>
      <c r="K25" s="5" t="s">
        <v>1322</v>
      </c>
    </row>
    <row r="26" ht="15.75" customHeight="1">
      <c r="A26" s="5" t="s">
        <v>1323</v>
      </c>
      <c r="B26" s="5" t="s">
        <v>1324</v>
      </c>
      <c r="C26" s="5" t="s">
        <v>311</v>
      </c>
      <c r="D26" s="5" t="s">
        <v>1247</v>
      </c>
      <c r="E26" s="5" t="s">
        <v>78</v>
      </c>
      <c r="F26" s="5" t="s">
        <v>1202</v>
      </c>
      <c r="G26" s="5" t="s">
        <v>1325</v>
      </c>
      <c r="H26" s="5" t="s">
        <v>1313</v>
      </c>
      <c r="I26" s="5" t="s">
        <v>1320</v>
      </c>
      <c r="J26" s="5" t="s">
        <v>1315</v>
      </c>
      <c r="K26" s="5" t="s">
        <v>1326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0.0"/>
    <col customWidth="1" min="3" max="4" width="38.0"/>
    <col customWidth="1" min="5" max="5" width="30.0"/>
    <col customWidth="1" min="6" max="6" width="34.0"/>
    <col customWidth="1" min="7" max="7" width="36.0"/>
    <col customWidth="1" min="8" max="8" width="34.0"/>
    <col customWidth="1" min="9" max="10" width="42.0"/>
    <col customWidth="1" min="11" max="26" width="8.63"/>
  </cols>
  <sheetData>
    <row r="1">
      <c r="A1" s="2" t="s">
        <v>1327</v>
      </c>
      <c r="B1" s="2" t="s">
        <v>1328</v>
      </c>
      <c r="C1" s="2" t="s">
        <v>1329</v>
      </c>
      <c r="D1" s="2" t="s">
        <v>1330</v>
      </c>
      <c r="E1" s="2" t="s">
        <v>1331</v>
      </c>
      <c r="F1" s="2" t="s">
        <v>1332</v>
      </c>
      <c r="G1" s="2" t="s">
        <v>1333</v>
      </c>
      <c r="H1" s="2" t="s">
        <v>1334</v>
      </c>
      <c r="I1" s="2" t="s">
        <v>1335</v>
      </c>
      <c r="J1" s="2" t="s">
        <v>1336</v>
      </c>
    </row>
    <row r="2">
      <c r="A2" s="5" t="s">
        <v>1337</v>
      </c>
      <c r="B2" s="5" t="s">
        <v>1338</v>
      </c>
      <c r="C2" s="5" t="s">
        <v>1339</v>
      </c>
      <c r="D2" s="5" t="s">
        <v>1340</v>
      </c>
      <c r="E2" s="5" t="s">
        <v>1341</v>
      </c>
      <c r="F2" s="5" t="s">
        <v>1342</v>
      </c>
      <c r="G2" s="5" t="s">
        <v>1343</v>
      </c>
      <c r="H2" s="5" t="s">
        <v>1344</v>
      </c>
      <c r="I2" s="5" t="s">
        <v>1345</v>
      </c>
      <c r="J2" s="5" t="s">
        <v>1346</v>
      </c>
    </row>
    <row r="3">
      <c r="A3" s="5" t="s">
        <v>1347</v>
      </c>
      <c r="B3" s="5" t="s">
        <v>1348</v>
      </c>
      <c r="C3" s="5" t="s">
        <v>1349</v>
      </c>
      <c r="D3" s="5" t="s">
        <v>1350</v>
      </c>
      <c r="E3" s="5" t="s">
        <v>1351</v>
      </c>
      <c r="F3" s="5" t="s">
        <v>1352</v>
      </c>
      <c r="G3" s="5" t="s">
        <v>1353</v>
      </c>
      <c r="H3" s="5" t="s">
        <v>1354</v>
      </c>
      <c r="I3" s="5" t="s">
        <v>1355</v>
      </c>
      <c r="J3" s="5" t="s">
        <v>1356</v>
      </c>
    </row>
    <row r="4">
      <c r="A4" s="5" t="s">
        <v>1357</v>
      </c>
      <c r="B4" s="5" t="s">
        <v>1358</v>
      </c>
      <c r="C4" s="5" t="s">
        <v>1359</v>
      </c>
      <c r="D4" s="5" t="s">
        <v>1360</v>
      </c>
      <c r="E4" s="5" t="s">
        <v>1361</v>
      </c>
      <c r="F4" s="5" t="s">
        <v>1362</v>
      </c>
      <c r="G4" s="5" t="s">
        <v>1363</v>
      </c>
      <c r="H4" s="5" t="s">
        <v>1364</v>
      </c>
      <c r="I4" s="5" t="s">
        <v>1365</v>
      </c>
      <c r="J4" s="5" t="s">
        <v>1366</v>
      </c>
    </row>
    <row r="5">
      <c r="A5" s="5" t="s">
        <v>1367</v>
      </c>
      <c r="B5" s="5" t="s">
        <v>1368</v>
      </c>
      <c r="C5" s="5" t="s">
        <v>1369</v>
      </c>
      <c r="D5" s="5" t="s">
        <v>1370</v>
      </c>
      <c r="E5" s="5" t="s">
        <v>1371</v>
      </c>
      <c r="F5" s="5" t="s">
        <v>1372</v>
      </c>
      <c r="G5" s="5" t="s">
        <v>1373</v>
      </c>
      <c r="H5" s="5" t="s">
        <v>1374</v>
      </c>
      <c r="I5" s="5" t="s">
        <v>1375</v>
      </c>
      <c r="J5" s="5" t="s">
        <v>1376</v>
      </c>
    </row>
    <row r="6">
      <c r="A6" s="5" t="s">
        <v>1377</v>
      </c>
      <c r="B6" s="5" t="s">
        <v>1378</v>
      </c>
      <c r="C6" s="5" t="s">
        <v>1379</v>
      </c>
      <c r="D6" s="5" t="s">
        <v>1380</v>
      </c>
      <c r="E6" s="5" t="s">
        <v>1381</v>
      </c>
      <c r="F6" s="5" t="s">
        <v>1382</v>
      </c>
      <c r="G6" s="5" t="s">
        <v>1383</v>
      </c>
      <c r="H6" s="5" t="s">
        <v>1384</v>
      </c>
      <c r="I6" s="5" t="s">
        <v>1385</v>
      </c>
      <c r="J6" s="5" t="s">
        <v>1386</v>
      </c>
    </row>
    <row r="7">
      <c r="A7" s="5" t="s">
        <v>1387</v>
      </c>
      <c r="B7" s="5" t="s">
        <v>1388</v>
      </c>
      <c r="C7" s="5" t="s">
        <v>1389</v>
      </c>
      <c r="D7" s="5" t="s">
        <v>1390</v>
      </c>
      <c r="E7" s="5" t="s">
        <v>1391</v>
      </c>
      <c r="F7" s="5" t="s">
        <v>1392</v>
      </c>
      <c r="G7" s="5" t="s">
        <v>1393</v>
      </c>
      <c r="H7" s="5" t="s">
        <v>1394</v>
      </c>
      <c r="I7" s="5" t="s">
        <v>1395</v>
      </c>
      <c r="J7" s="5" t="s">
        <v>1396</v>
      </c>
    </row>
    <row r="8">
      <c r="A8" s="5" t="s">
        <v>1397</v>
      </c>
      <c r="B8" s="5" t="s">
        <v>1398</v>
      </c>
      <c r="C8" s="5" t="s">
        <v>1399</v>
      </c>
      <c r="D8" s="5" t="s">
        <v>1400</v>
      </c>
      <c r="E8" s="5" t="s">
        <v>1401</v>
      </c>
      <c r="F8" s="5" t="s">
        <v>1402</v>
      </c>
      <c r="G8" s="5" t="s">
        <v>1403</v>
      </c>
      <c r="H8" s="5" t="s">
        <v>1404</v>
      </c>
      <c r="I8" s="5" t="s">
        <v>1405</v>
      </c>
      <c r="J8" s="5" t="s">
        <v>1406</v>
      </c>
    </row>
    <row r="9">
      <c r="A9" s="5" t="s">
        <v>1407</v>
      </c>
      <c r="B9" s="5" t="s">
        <v>1408</v>
      </c>
      <c r="C9" s="5" t="s">
        <v>1409</v>
      </c>
      <c r="D9" s="5" t="s">
        <v>1410</v>
      </c>
      <c r="E9" s="5" t="s">
        <v>1411</v>
      </c>
      <c r="F9" s="5" t="s">
        <v>1412</v>
      </c>
      <c r="G9" s="5" t="s">
        <v>1413</v>
      </c>
      <c r="H9" s="5" t="s">
        <v>1414</v>
      </c>
      <c r="I9" s="5" t="s">
        <v>1415</v>
      </c>
      <c r="J9" s="5" t="s">
        <v>1416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58.0"/>
    <col customWidth="1" min="3" max="3" width="3.0"/>
    <col customWidth="1" min="4" max="4" width="30.0"/>
    <col customWidth="1" min="5" max="5" width="54.0"/>
    <col customWidth="1" min="6" max="8" width="3.0"/>
    <col customWidth="1" min="9" max="26" width="8.63"/>
  </cols>
  <sheetData>
    <row r="1">
      <c r="A1" s="65" t="s">
        <v>1417</v>
      </c>
    </row>
    <row r="2">
      <c r="A2" s="5"/>
      <c r="B2" s="5"/>
      <c r="C2" s="5"/>
      <c r="D2" s="5"/>
      <c r="E2" s="5"/>
      <c r="F2" s="5"/>
      <c r="G2" s="5"/>
      <c r="H2" s="5"/>
    </row>
    <row r="3">
      <c r="A3" s="54" t="s">
        <v>1418</v>
      </c>
      <c r="B3" s="66" t="s">
        <v>1419</v>
      </c>
      <c r="C3" s="5"/>
      <c r="D3" s="5"/>
      <c r="E3" s="5"/>
      <c r="F3" s="5"/>
      <c r="G3" s="5"/>
      <c r="H3" s="5"/>
    </row>
    <row r="4">
      <c r="A4" s="5"/>
      <c r="B4" s="5"/>
      <c r="C4" s="5"/>
      <c r="D4" s="5"/>
      <c r="E4" s="5"/>
      <c r="F4" s="5"/>
      <c r="G4" s="5"/>
      <c r="H4" s="5"/>
    </row>
    <row r="5">
      <c r="A5" s="54" t="s">
        <v>1420</v>
      </c>
      <c r="B5" s="5"/>
      <c r="C5" s="5"/>
      <c r="D5" s="2" t="s">
        <v>1421</v>
      </c>
      <c r="E5" s="2" t="s">
        <v>1422</v>
      </c>
      <c r="F5" s="5"/>
      <c r="G5" s="5"/>
      <c r="H5" s="5"/>
    </row>
    <row r="6">
      <c r="A6" s="54" t="s">
        <v>1423</v>
      </c>
      <c r="B6" s="5" t="s">
        <v>1424</v>
      </c>
      <c r="C6" s="5"/>
      <c r="D6" s="54" t="s">
        <v>1411</v>
      </c>
      <c r="E6" s="5" t="s">
        <v>1425</v>
      </c>
      <c r="F6" s="5"/>
      <c r="G6" s="5"/>
      <c r="H6" s="5"/>
    </row>
    <row r="7">
      <c r="A7" s="54" t="s">
        <v>1426</v>
      </c>
      <c r="B7" s="5" t="s">
        <v>1427</v>
      </c>
      <c r="C7" s="5"/>
      <c r="D7" s="54" t="s">
        <v>1428</v>
      </c>
      <c r="E7" s="5" t="s">
        <v>1429</v>
      </c>
      <c r="F7" s="5"/>
      <c r="G7" s="5"/>
      <c r="H7" s="5"/>
    </row>
    <row r="8">
      <c r="A8" s="54" t="s">
        <v>1430</v>
      </c>
      <c r="B8" s="5" t="s">
        <v>1431</v>
      </c>
      <c r="C8" s="5"/>
      <c r="D8" s="54" t="s">
        <v>1432</v>
      </c>
      <c r="E8" s="5" t="s">
        <v>1433</v>
      </c>
      <c r="F8" s="5"/>
      <c r="G8" s="5"/>
      <c r="H8" s="5"/>
    </row>
    <row r="9">
      <c r="A9" s="54" t="s">
        <v>1434</v>
      </c>
      <c r="B9" s="5" t="s">
        <v>1435</v>
      </c>
      <c r="C9" s="5"/>
      <c r="D9" s="54" t="s">
        <v>1436</v>
      </c>
      <c r="E9" s="5" t="s">
        <v>1437</v>
      </c>
      <c r="F9" s="5"/>
      <c r="G9" s="5"/>
      <c r="H9" s="5"/>
    </row>
    <row r="10">
      <c r="A10" s="54" t="s">
        <v>1438</v>
      </c>
      <c r="B10" s="5" t="s">
        <v>1439</v>
      </c>
      <c r="C10" s="5"/>
      <c r="D10" s="54" t="s">
        <v>1440</v>
      </c>
      <c r="E10" s="5" t="s">
        <v>1441</v>
      </c>
      <c r="F10" s="5"/>
      <c r="G10" s="5"/>
      <c r="H10" s="5"/>
    </row>
    <row r="11">
      <c r="A11" s="54" t="s">
        <v>1442</v>
      </c>
      <c r="B11" s="5" t="s">
        <v>1443</v>
      </c>
      <c r="C11" s="5"/>
      <c r="D11" s="54" t="s">
        <v>1444</v>
      </c>
      <c r="E11" s="5" t="s">
        <v>1445</v>
      </c>
      <c r="F11" s="5"/>
      <c r="G11" s="5"/>
      <c r="H11" s="5"/>
    </row>
    <row r="12">
      <c r="A12" s="54" t="s">
        <v>1446</v>
      </c>
      <c r="B12" s="5" t="s">
        <v>1447</v>
      </c>
      <c r="C12" s="5"/>
      <c r="D12" s="54" t="s">
        <v>1448</v>
      </c>
      <c r="E12" s="5" t="s">
        <v>1449</v>
      </c>
      <c r="F12" s="5"/>
      <c r="G12" s="5"/>
      <c r="H12" s="5"/>
    </row>
    <row r="13">
      <c r="A13" s="54" t="s">
        <v>1450</v>
      </c>
      <c r="B13" s="5" t="s">
        <v>1451</v>
      </c>
      <c r="C13" s="5"/>
      <c r="D13" s="54" t="s">
        <v>1452</v>
      </c>
      <c r="E13" s="5" t="s">
        <v>1453</v>
      </c>
      <c r="F13" s="5"/>
      <c r="G13" s="5"/>
      <c r="H13" s="5"/>
    </row>
    <row r="14">
      <c r="A14" s="5"/>
      <c r="B14" s="5"/>
      <c r="C14" s="5"/>
      <c r="D14" s="54" t="s">
        <v>1454</v>
      </c>
      <c r="E14" s="5" t="s">
        <v>1455</v>
      </c>
      <c r="F14" s="5"/>
      <c r="G14" s="5"/>
      <c r="H14" s="5"/>
    </row>
    <row r="15">
      <c r="A15" s="5"/>
      <c r="B15" s="5"/>
      <c r="C15" s="5"/>
      <c r="D15" s="54" t="s">
        <v>1456</v>
      </c>
      <c r="E15" s="5" t="s">
        <v>1457</v>
      </c>
      <c r="F15" s="5"/>
      <c r="G15" s="5"/>
      <c r="H15" s="5"/>
    </row>
    <row r="16">
      <c r="A16" s="54" t="s">
        <v>1458</v>
      </c>
      <c r="B16" s="5"/>
      <c r="C16" s="5"/>
      <c r="D16" s="5"/>
      <c r="E16" s="5"/>
      <c r="F16" s="5"/>
      <c r="G16" s="5"/>
      <c r="H16" s="5"/>
    </row>
    <row r="17">
      <c r="A17" s="54" t="s">
        <v>1459</v>
      </c>
      <c r="B17" s="5" t="s">
        <v>1460</v>
      </c>
      <c r="C17" s="5"/>
      <c r="D17" s="2" t="s">
        <v>1461</v>
      </c>
      <c r="E17" s="2" t="s">
        <v>763</v>
      </c>
      <c r="F17" s="5"/>
      <c r="G17" s="5"/>
      <c r="H17" s="5"/>
    </row>
    <row r="18">
      <c r="A18" s="54" t="s">
        <v>1462</v>
      </c>
      <c r="B18" s="5" t="s">
        <v>1463</v>
      </c>
      <c r="C18" s="5"/>
      <c r="D18" s="5" t="s">
        <v>1464</v>
      </c>
      <c r="E18" s="5" t="s">
        <v>1465</v>
      </c>
      <c r="F18" s="5"/>
      <c r="G18" s="5"/>
      <c r="H18" s="5"/>
    </row>
    <row r="19">
      <c r="A19" s="54" t="s">
        <v>1466</v>
      </c>
      <c r="B19" s="5" t="s">
        <v>1467</v>
      </c>
      <c r="C19" s="5"/>
      <c r="D19" s="5" t="s">
        <v>1468</v>
      </c>
      <c r="E19" s="5" t="s">
        <v>1469</v>
      </c>
      <c r="F19" s="5"/>
      <c r="G19" s="5"/>
      <c r="H19" s="5"/>
    </row>
    <row r="20">
      <c r="A20" s="54" t="s">
        <v>1470</v>
      </c>
      <c r="B20" s="5" t="s">
        <v>1471</v>
      </c>
      <c r="C20" s="5"/>
      <c r="D20" s="5" t="s">
        <v>1472</v>
      </c>
      <c r="E20" s="5" t="s">
        <v>1465</v>
      </c>
      <c r="F20" s="5"/>
      <c r="G20" s="5"/>
      <c r="H20" s="5"/>
    </row>
    <row r="21" ht="15.75" customHeight="1">
      <c r="A21" s="54" t="s">
        <v>1473</v>
      </c>
      <c r="B21" s="5" t="s">
        <v>1474</v>
      </c>
      <c r="C21" s="5"/>
      <c r="D21" s="5" t="s">
        <v>1475</v>
      </c>
      <c r="E21" s="5" t="s">
        <v>1476</v>
      </c>
      <c r="F21" s="5"/>
      <c r="G21" s="5"/>
      <c r="H21" s="5"/>
    </row>
    <row r="22" ht="15.75" customHeight="1">
      <c r="A22" s="54" t="s">
        <v>1477</v>
      </c>
      <c r="B22" s="5" t="s">
        <v>1478</v>
      </c>
      <c r="C22" s="5"/>
      <c r="D22" s="5" t="s">
        <v>1174</v>
      </c>
      <c r="E22" s="5" t="s">
        <v>1465</v>
      </c>
      <c r="F22" s="5"/>
      <c r="G22" s="5"/>
      <c r="H22" s="5"/>
    </row>
    <row r="23" ht="15.75" customHeight="1">
      <c r="A23" s="54" t="s">
        <v>1479</v>
      </c>
      <c r="B23" s="5" t="s">
        <v>1480</v>
      </c>
      <c r="C23" s="5"/>
      <c r="D23" s="5" t="s">
        <v>1481</v>
      </c>
      <c r="E23" s="5" t="s">
        <v>1465</v>
      </c>
      <c r="F23" s="5"/>
      <c r="G23" s="5"/>
      <c r="H23" s="5"/>
    </row>
    <row r="24" ht="15.75" customHeight="1">
      <c r="A24" s="54" t="s">
        <v>1482</v>
      </c>
      <c r="B24" s="5" t="s">
        <v>1483</v>
      </c>
      <c r="C24" s="5"/>
      <c r="D24" s="5" t="s">
        <v>1484</v>
      </c>
      <c r="E24" s="5" t="s">
        <v>1465</v>
      </c>
      <c r="F24" s="5"/>
      <c r="G24" s="5"/>
      <c r="H24" s="5"/>
    </row>
    <row r="25" ht="15.75" customHeight="1">
      <c r="A25" s="5"/>
      <c r="B25" s="5"/>
      <c r="C25" s="5"/>
      <c r="D25" s="5"/>
      <c r="E25" s="5"/>
      <c r="F25" s="5"/>
      <c r="G25" s="5"/>
      <c r="H25" s="5"/>
    </row>
    <row r="26" ht="15.75" customHeight="1">
      <c r="A26" s="5"/>
      <c r="B26" s="5"/>
      <c r="C26" s="5"/>
      <c r="D26" s="5"/>
      <c r="E26" s="5"/>
      <c r="F26" s="5"/>
      <c r="G26" s="5"/>
      <c r="H26" s="5"/>
    </row>
    <row r="27" ht="15.75" customHeight="1">
      <c r="A27" s="5"/>
      <c r="B27" s="5"/>
      <c r="C27" s="5"/>
      <c r="D27" s="5"/>
      <c r="E27" s="5"/>
      <c r="F27" s="5"/>
      <c r="G27" s="5"/>
      <c r="H27" s="5"/>
    </row>
    <row r="28" ht="15.75" customHeight="1">
      <c r="A28" s="5"/>
      <c r="B28" s="5"/>
      <c r="C28" s="5"/>
      <c r="D28" s="5"/>
      <c r="E28" s="5"/>
      <c r="F28" s="5"/>
      <c r="G28" s="5"/>
      <c r="H28" s="5"/>
    </row>
    <row r="29" ht="15.75" customHeight="1">
      <c r="A29" s="5"/>
      <c r="B29" s="5"/>
      <c r="C29" s="5"/>
      <c r="D29" s="5"/>
      <c r="E29" s="5"/>
      <c r="F29" s="5"/>
      <c r="G29" s="5"/>
      <c r="H29" s="5"/>
    </row>
    <row r="30" ht="15.75" customHeight="1">
      <c r="A30" s="5"/>
      <c r="B30" s="5"/>
      <c r="C30" s="5"/>
      <c r="D30" s="5"/>
      <c r="E30" s="5"/>
      <c r="F30" s="5"/>
      <c r="G30" s="5"/>
      <c r="H30" s="5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conditionalFormatting sqref="E18:E24">
    <cfRule type="expression" dxfId="1" priority="1">
      <formula>LEFT(E18,5)="READY"</formula>
    </cfRule>
  </conditionalFormatting>
  <conditionalFormatting sqref="E18:E24">
    <cfRule type="expression" dxfId="10" priority="2">
      <formula>LEFT(E18,5)&lt;&gt;"READY"</formula>
    </cfRule>
  </conditionalFormatting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38.0"/>
    <col customWidth="1" min="4" max="4" width="14.0"/>
    <col customWidth="1" min="5" max="5" width="28.0"/>
    <col customWidth="1" min="6" max="6" width="16.0"/>
    <col customWidth="1" min="7" max="7" width="18.0"/>
    <col customWidth="1" min="8" max="8" width="30.0"/>
    <col customWidth="1" min="9" max="9" width="18.0"/>
    <col customWidth="1" min="10" max="10" width="36.0"/>
    <col customWidth="1" min="11" max="11" width="16.0"/>
    <col customWidth="1" min="12" max="12" width="48.0"/>
    <col customWidth="1" min="13" max="14" width="18.0"/>
    <col customWidth="1" min="15" max="15" width="48.0"/>
    <col customWidth="1" min="16" max="26" width="8.63"/>
  </cols>
  <sheetData>
    <row r="1">
      <c r="A1" s="2" t="s">
        <v>1485</v>
      </c>
      <c r="B1" s="2" t="s">
        <v>1</v>
      </c>
      <c r="C1" s="2" t="s">
        <v>6</v>
      </c>
      <c r="D1" s="2" t="s">
        <v>823</v>
      </c>
      <c r="E1" s="2" t="s">
        <v>1486</v>
      </c>
      <c r="F1" s="2" t="s">
        <v>10</v>
      </c>
      <c r="G1" s="2" t="s">
        <v>13</v>
      </c>
      <c r="H1" s="2" t="s">
        <v>1487</v>
      </c>
      <c r="I1" s="2" t="s">
        <v>1488</v>
      </c>
      <c r="J1" s="2" t="s">
        <v>1489</v>
      </c>
      <c r="K1" s="2" t="s">
        <v>1490</v>
      </c>
      <c r="L1" s="2" t="s">
        <v>1491</v>
      </c>
      <c r="M1" s="2" t="s">
        <v>1492</v>
      </c>
      <c r="N1" s="2" t="s">
        <v>18</v>
      </c>
      <c r="O1" s="2" t="s">
        <v>24</v>
      </c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ht="15.75" customHeight="1">
      <c r="E31" s="67"/>
      <c r="I31" s="67"/>
      <c r="N31" s="67"/>
    </row>
    <row r="32" ht="15.75" customHeight="1">
      <c r="E32" s="67"/>
      <c r="I32" s="67"/>
      <c r="N32" s="67"/>
    </row>
    <row r="33" ht="15.75" customHeight="1">
      <c r="E33" s="67"/>
      <c r="I33" s="67"/>
      <c r="N33" s="67"/>
    </row>
    <row r="34" ht="15.75" customHeight="1">
      <c r="E34" s="67"/>
      <c r="I34" s="67"/>
      <c r="N34" s="67"/>
    </row>
    <row r="35" ht="15.75" customHeight="1">
      <c r="E35" s="67"/>
      <c r="I35" s="67"/>
      <c r="N35" s="67"/>
    </row>
    <row r="36" ht="15.75" customHeight="1">
      <c r="E36" s="67"/>
      <c r="I36" s="67"/>
      <c r="N36" s="67"/>
    </row>
    <row r="37" ht="15.75" customHeight="1">
      <c r="E37" s="67"/>
      <c r="I37" s="67"/>
      <c r="N37" s="67"/>
    </row>
    <row r="38" ht="15.75" customHeight="1">
      <c r="E38" s="67"/>
      <c r="I38" s="67"/>
      <c r="N38" s="67"/>
    </row>
    <row r="39" ht="15.75" customHeight="1">
      <c r="E39" s="67"/>
      <c r="I39" s="67"/>
      <c r="N39" s="67"/>
    </row>
    <row r="40" ht="15.75" customHeight="1">
      <c r="E40" s="67"/>
      <c r="I40" s="67"/>
      <c r="N40" s="67"/>
    </row>
    <row r="41" ht="15.75" customHeight="1">
      <c r="E41" s="67"/>
      <c r="I41" s="67"/>
      <c r="N41" s="67"/>
    </row>
    <row r="42" ht="15.75" customHeight="1">
      <c r="E42" s="67"/>
      <c r="I42" s="67"/>
      <c r="N42" s="67"/>
    </row>
    <row r="43" ht="15.75" customHeight="1">
      <c r="E43" s="67"/>
      <c r="I43" s="67"/>
      <c r="N43" s="67"/>
    </row>
    <row r="44" ht="15.75" customHeight="1">
      <c r="E44" s="67"/>
      <c r="I44" s="67"/>
      <c r="N44" s="67"/>
    </row>
    <row r="45" ht="15.75" customHeight="1">
      <c r="E45" s="67"/>
      <c r="I45" s="67"/>
      <c r="N45" s="67"/>
    </row>
    <row r="46" ht="15.75" customHeight="1">
      <c r="E46" s="67"/>
      <c r="I46" s="67"/>
      <c r="N46" s="67"/>
    </row>
    <row r="47" ht="15.75" customHeight="1">
      <c r="E47" s="67"/>
      <c r="I47" s="67"/>
      <c r="N47" s="67"/>
    </row>
    <row r="48" ht="15.75" customHeight="1">
      <c r="E48" s="67"/>
      <c r="I48" s="67"/>
      <c r="N48" s="67"/>
    </row>
    <row r="49" ht="15.75" customHeight="1">
      <c r="E49" s="67"/>
      <c r="I49" s="67"/>
      <c r="N49" s="67"/>
    </row>
    <row r="50" ht="15.75" customHeight="1">
      <c r="E50" s="67"/>
      <c r="I50" s="67"/>
      <c r="N50" s="67"/>
    </row>
    <row r="51" ht="15.75" customHeight="1">
      <c r="E51" s="67"/>
      <c r="I51" s="67"/>
      <c r="N51" s="67"/>
    </row>
    <row r="52" ht="15.75" customHeight="1">
      <c r="E52" s="67"/>
      <c r="I52" s="67"/>
      <c r="N52" s="67"/>
    </row>
    <row r="53" ht="15.75" customHeight="1">
      <c r="E53" s="67"/>
      <c r="I53" s="67"/>
      <c r="N53" s="67"/>
    </row>
    <row r="54" ht="15.75" customHeight="1">
      <c r="E54" s="67"/>
      <c r="I54" s="67"/>
      <c r="N54" s="67"/>
    </row>
    <row r="55" ht="15.75" customHeight="1">
      <c r="E55" s="67"/>
      <c r="I55" s="67"/>
      <c r="N55" s="67"/>
    </row>
    <row r="56" ht="15.75" customHeight="1">
      <c r="E56" s="67"/>
      <c r="I56" s="67"/>
      <c r="N56" s="67"/>
    </row>
    <row r="57" ht="15.75" customHeight="1">
      <c r="E57" s="67"/>
      <c r="I57" s="67"/>
      <c r="N57" s="67"/>
    </row>
    <row r="58" ht="15.75" customHeight="1">
      <c r="E58" s="67"/>
      <c r="I58" s="67"/>
      <c r="N58" s="67"/>
    </row>
    <row r="59" ht="15.75" customHeight="1">
      <c r="E59" s="67"/>
      <c r="I59" s="67"/>
      <c r="N59" s="67"/>
    </row>
    <row r="60" ht="15.75" customHeight="1">
      <c r="E60" s="67"/>
      <c r="I60" s="67"/>
      <c r="N60" s="67"/>
    </row>
    <row r="61" ht="15.75" customHeight="1">
      <c r="E61" s="67"/>
      <c r="I61" s="67"/>
      <c r="N61" s="67"/>
    </row>
    <row r="62" ht="15.75" customHeight="1">
      <c r="E62" s="67"/>
      <c r="I62" s="67"/>
      <c r="N62" s="67"/>
    </row>
    <row r="63" ht="15.75" customHeight="1">
      <c r="E63" s="67"/>
      <c r="I63" s="67"/>
      <c r="N63" s="67"/>
    </row>
    <row r="64" ht="15.75" customHeight="1">
      <c r="E64" s="67"/>
      <c r="I64" s="67"/>
      <c r="N64" s="67"/>
    </row>
    <row r="65" ht="15.75" customHeight="1">
      <c r="E65" s="67"/>
      <c r="I65" s="67"/>
      <c r="N65" s="67"/>
    </row>
    <row r="66" ht="15.75" customHeight="1">
      <c r="E66" s="67"/>
      <c r="I66" s="67"/>
      <c r="N66" s="67"/>
    </row>
    <row r="67" ht="15.75" customHeight="1">
      <c r="E67" s="67"/>
      <c r="I67" s="67"/>
      <c r="N67" s="67"/>
    </row>
    <row r="68" ht="15.75" customHeight="1">
      <c r="E68" s="67"/>
      <c r="I68" s="67"/>
      <c r="N68" s="67"/>
    </row>
    <row r="69" ht="15.75" customHeight="1">
      <c r="E69" s="67"/>
      <c r="I69" s="67"/>
      <c r="N69" s="67"/>
    </row>
    <row r="70" ht="15.75" customHeight="1">
      <c r="E70" s="67"/>
      <c r="I70" s="67"/>
      <c r="N70" s="67"/>
    </row>
    <row r="71" ht="15.75" customHeight="1">
      <c r="E71" s="67"/>
      <c r="I71" s="67"/>
      <c r="N71" s="67"/>
    </row>
    <row r="72" ht="15.75" customHeight="1">
      <c r="E72" s="67"/>
      <c r="I72" s="67"/>
      <c r="N72" s="67"/>
    </row>
    <row r="73" ht="15.75" customHeight="1">
      <c r="E73" s="67"/>
      <c r="I73" s="67"/>
      <c r="N73" s="67"/>
    </row>
    <row r="74" ht="15.75" customHeight="1">
      <c r="E74" s="67"/>
      <c r="I74" s="67"/>
      <c r="N74" s="67"/>
    </row>
    <row r="75" ht="15.75" customHeight="1">
      <c r="E75" s="67"/>
      <c r="I75" s="67"/>
      <c r="N75" s="67"/>
    </row>
    <row r="76" ht="15.75" customHeight="1">
      <c r="E76" s="67"/>
      <c r="I76" s="67"/>
      <c r="N76" s="67"/>
    </row>
    <row r="77" ht="15.75" customHeight="1">
      <c r="E77" s="67"/>
      <c r="I77" s="67"/>
      <c r="N77" s="67"/>
    </row>
    <row r="78" ht="15.75" customHeight="1">
      <c r="E78" s="67"/>
      <c r="I78" s="67"/>
      <c r="N78" s="67"/>
    </row>
    <row r="79" ht="15.75" customHeight="1">
      <c r="E79" s="67"/>
      <c r="I79" s="67"/>
      <c r="N79" s="67"/>
    </row>
    <row r="80" ht="15.75" customHeight="1">
      <c r="E80" s="67"/>
      <c r="I80" s="67"/>
      <c r="N80" s="67"/>
    </row>
    <row r="81" ht="15.75" customHeight="1">
      <c r="E81" s="67"/>
      <c r="I81" s="67"/>
      <c r="N81" s="67"/>
    </row>
    <row r="82" ht="15.75" customHeight="1">
      <c r="E82" s="67"/>
      <c r="I82" s="67"/>
      <c r="N82" s="67"/>
    </row>
    <row r="83" ht="15.75" customHeight="1">
      <c r="E83" s="67"/>
      <c r="I83" s="67"/>
      <c r="N83" s="67"/>
    </row>
    <row r="84" ht="15.75" customHeight="1">
      <c r="E84" s="67"/>
      <c r="I84" s="67"/>
      <c r="N84" s="67"/>
    </row>
    <row r="85" ht="15.75" customHeight="1">
      <c r="E85" s="67"/>
      <c r="I85" s="67"/>
      <c r="N85" s="67"/>
    </row>
    <row r="86" ht="15.75" customHeight="1">
      <c r="E86" s="67"/>
      <c r="I86" s="67"/>
      <c r="N86" s="67"/>
    </row>
    <row r="87" ht="15.75" customHeight="1">
      <c r="E87" s="67"/>
      <c r="I87" s="67"/>
      <c r="N87" s="67"/>
    </row>
    <row r="88" ht="15.75" customHeight="1">
      <c r="E88" s="67"/>
      <c r="I88" s="67"/>
      <c r="N88" s="67"/>
    </row>
    <row r="89" ht="15.75" customHeight="1">
      <c r="E89" s="67"/>
      <c r="I89" s="67"/>
      <c r="N89" s="67"/>
    </row>
    <row r="90" ht="15.75" customHeight="1">
      <c r="E90" s="67"/>
      <c r="I90" s="67"/>
      <c r="N90" s="67"/>
    </row>
    <row r="91" ht="15.75" customHeight="1">
      <c r="E91" s="67"/>
      <c r="I91" s="67"/>
      <c r="N91" s="67"/>
    </row>
    <row r="92" ht="15.75" customHeight="1">
      <c r="E92" s="67"/>
      <c r="I92" s="67"/>
      <c r="N92" s="67"/>
    </row>
    <row r="93" ht="15.75" customHeight="1">
      <c r="E93" s="67"/>
      <c r="I93" s="67"/>
      <c r="N93" s="67"/>
    </row>
    <row r="94" ht="15.75" customHeight="1">
      <c r="E94" s="67"/>
      <c r="I94" s="67"/>
      <c r="N94" s="67"/>
    </row>
    <row r="95" ht="15.75" customHeight="1">
      <c r="E95" s="67"/>
      <c r="I95" s="67"/>
      <c r="N95" s="67"/>
    </row>
    <row r="96" ht="15.75" customHeight="1">
      <c r="E96" s="67"/>
      <c r="I96" s="67"/>
      <c r="N96" s="67"/>
    </row>
    <row r="97" ht="15.75" customHeight="1">
      <c r="E97" s="67"/>
      <c r="I97" s="67"/>
      <c r="N97" s="67"/>
    </row>
    <row r="98" ht="15.75" customHeight="1">
      <c r="E98" s="67"/>
      <c r="I98" s="67"/>
      <c r="N98" s="67"/>
    </row>
    <row r="99" ht="15.75" customHeight="1">
      <c r="E99" s="67"/>
      <c r="I99" s="67"/>
      <c r="N99" s="67"/>
    </row>
    <row r="100" ht="15.75" customHeight="1">
      <c r="E100" s="67"/>
      <c r="I100" s="67"/>
      <c r="N100" s="67"/>
    </row>
    <row r="101" ht="15.75" customHeight="1">
      <c r="E101" s="67"/>
      <c r="I101" s="67"/>
      <c r="N101" s="67"/>
    </row>
    <row r="102" ht="15.75" customHeight="1">
      <c r="E102" s="67"/>
      <c r="I102" s="67"/>
      <c r="N102" s="67"/>
    </row>
    <row r="103" ht="15.75" customHeight="1">
      <c r="E103" s="67"/>
      <c r="I103" s="67"/>
      <c r="N103" s="67"/>
    </row>
    <row r="104" ht="15.75" customHeight="1">
      <c r="E104" s="67"/>
      <c r="I104" s="67"/>
      <c r="N104" s="67"/>
    </row>
    <row r="105" ht="15.75" customHeight="1">
      <c r="E105" s="67"/>
      <c r="I105" s="67"/>
      <c r="N105" s="67"/>
    </row>
    <row r="106" ht="15.75" customHeight="1">
      <c r="E106" s="67"/>
      <c r="I106" s="67"/>
      <c r="N106" s="67"/>
    </row>
    <row r="107" ht="15.75" customHeight="1">
      <c r="E107" s="67"/>
      <c r="I107" s="67"/>
      <c r="N107" s="67"/>
    </row>
    <row r="108" ht="15.75" customHeight="1">
      <c r="E108" s="67"/>
      <c r="I108" s="67"/>
      <c r="N108" s="67"/>
    </row>
    <row r="109" ht="15.75" customHeight="1">
      <c r="E109" s="67"/>
      <c r="I109" s="67"/>
      <c r="N109" s="67"/>
    </row>
    <row r="110" ht="15.75" customHeight="1">
      <c r="E110" s="67"/>
      <c r="I110" s="67"/>
      <c r="N110" s="67"/>
    </row>
    <row r="111" ht="15.75" customHeight="1">
      <c r="E111" s="67"/>
      <c r="I111" s="67"/>
      <c r="N111" s="67"/>
    </row>
    <row r="112" ht="15.75" customHeight="1">
      <c r="E112" s="67"/>
      <c r="I112" s="67"/>
      <c r="N112" s="67"/>
    </row>
    <row r="113" ht="15.75" customHeight="1">
      <c r="E113" s="67"/>
      <c r="I113" s="67"/>
      <c r="N113" s="67"/>
    </row>
    <row r="114" ht="15.75" customHeight="1">
      <c r="E114" s="67"/>
      <c r="I114" s="67"/>
      <c r="N114" s="67"/>
    </row>
    <row r="115" ht="15.75" customHeight="1">
      <c r="E115" s="67"/>
      <c r="I115" s="67"/>
      <c r="N115" s="67"/>
    </row>
    <row r="116" ht="15.75" customHeight="1">
      <c r="E116" s="67"/>
      <c r="I116" s="67"/>
      <c r="N116" s="67"/>
    </row>
    <row r="117" ht="15.75" customHeight="1">
      <c r="E117" s="67"/>
      <c r="I117" s="67"/>
      <c r="N117" s="67"/>
    </row>
    <row r="118" ht="15.75" customHeight="1">
      <c r="E118" s="67"/>
      <c r="I118" s="67"/>
      <c r="N118" s="67"/>
    </row>
    <row r="119" ht="15.75" customHeight="1">
      <c r="E119" s="67"/>
      <c r="I119" s="67"/>
      <c r="N119" s="67"/>
    </row>
    <row r="120" ht="15.75" customHeight="1">
      <c r="E120" s="67"/>
      <c r="I120" s="67"/>
      <c r="N120" s="67"/>
    </row>
    <row r="121" ht="15.75" customHeight="1">
      <c r="E121" s="67"/>
      <c r="I121" s="67"/>
      <c r="N121" s="67"/>
    </row>
    <row r="122" ht="15.75" customHeight="1">
      <c r="E122" s="67"/>
      <c r="I122" s="67"/>
      <c r="N122" s="67"/>
    </row>
    <row r="123" ht="15.75" customHeight="1">
      <c r="E123" s="67"/>
      <c r="I123" s="67"/>
      <c r="N123" s="67"/>
    </row>
    <row r="124" ht="15.75" customHeight="1">
      <c r="E124" s="67"/>
      <c r="I124" s="67"/>
      <c r="N124" s="67"/>
    </row>
    <row r="125" ht="15.75" customHeight="1">
      <c r="E125" s="67"/>
      <c r="I125" s="67"/>
      <c r="N125" s="67"/>
    </row>
    <row r="126" ht="15.75" customHeight="1">
      <c r="E126" s="67"/>
      <c r="I126" s="67"/>
      <c r="N126" s="67"/>
    </row>
    <row r="127" ht="15.75" customHeight="1">
      <c r="E127" s="67"/>
      <c r="I127" s="67"/>
      <c r="N127" s="67"/>
    </row>
    <row r="128" ht="15.75" customHeight="1">
      <c r="E128" s="67"/>
      <c r="I128" s="67"/>
      <c r="N128" s="67"/>
    </row>
    <row r="129" ht="15.75" customHeight="1">
      <c r="E129" s="67"/>
      <c r="I129" s="67"/>
      <c r="N129" s="67"/>
    </row>
    <row r="130" ht="15.75" customHeight="1">
      <c r="E130" s="67"/>
      <c r="I130" s="67"/>
      <c r="N130" s="67"/>
    </row>
    <row r="131" ht="15.75" customHeight="1">
      <c r="E131" s="67"/>
      <c r="I131" s="67"/>
      <c r="N131" s="67"/>
    </row>
    <row r="132" ht="15.75" customHeight="1">
      <c r="E132" s="67"/>
      <c r="I132" s="67"/>
      <c r="N132" s="67"/>
    </row>
    <row r="133" ht="15.75" customHeight="1">
      <c r="E133" s="67"/>
      <c r="I133" s="67"/>
      <c r="N133" s="67"/>
    </row>
    <row r="134" ht="15.75" customHeight="1">
      <c r="E134" s="67"/>
      <c r="I134" s="67"/>
      <c r="N134" s="67"/>
    </row>
    <row r="135" ht="15.75" customHeight="1">
      <c r="E135" s="67"/>
      <c r="I135" s="67"/>
      <c r="N135" s="67"/>
    </row>
    <row r="136" ht="15.75" customHeight="1">
      <c r="E136" s="67"/>
      <c r="I136" s="67"/>
      <c r="N136" s="67"/>
    </row>
    <row r="137" ht="15.75" customHeight="1">
      <c r="E137" s="67"/>
      <c r="I137" s="67"/>
      <c r="N137" s="67"/>
    </row>
    <row r="138" ht="15.75" customHeight="1">
      <c r="E138" s="67"/>
      <c r="I138" s="67"/>
      <c r="N138" s="67"/>
    </row>
    <row r="139" ht="15.75" customHeight="1">
      <c r="E139" s="67"/>
      <c r="I139" s="67"/>
      <c r="N139" s="67"/>
    </row>
    <row r="140" ht="15.75" customHeight="1">
      <c r="E140" s="67"/>
      <c r="I140" s="67"/>
      <c r="N140" s="67"/>
    </row>
    <row r="141" ht="15.75" customHeight="1">
      <c r="E141" s="67"/>
      <c r="I141" s="67"/>
      <c r="N141" s="67"/>
    </row>
    <row r="142" ht="15.75" customHeight="1">
      <c r="E142" s="67"/>
      <c r="I142" s="67"/>
      <c r="N142" s="67"/>
    </row>
    <row r="143" ht="15.75" customHeight="1">
      <c r="E143" s="67"/>
      <c r="I143" s="67"/>
      <c r="N143" s="67"/>
    </row>
    <row r="144" ht="15.75" customHeight="1">
      <c r="E144" s="67"/>
      <c r="I144" s="67"/>
      <c r="N144" s="67"/>
    </row>
    <row r="145" ht="15.75" customHeight="1">
      <c r="E145" s="67"/>
      <c r="I145" s="67"/>
      <c r="N145" s="67"/>
    </row>
    <row r="146" ht="15.75" customHeight="1">
      <c r="E146" s="67"/>
      <c r="I146" s="67"/>
      <c r="N146" s="67"/>
    </row>
    <row r="147" ht="15.75" customHeight="1">
      <c r="E147" s="67"/>
      <c r="I147" s="67"/>
      <c r="N147" s="67"/>
    </row>
    <row r="148" ht="15.75" customHeight="1">
      <c r="E148" s="67"/>
      <c r="I148" s="67"/>
      <c r="N148" s="67"/>
    </row>
    <row r="149" ht="15.75" customHeight="1">
      <c r="E149" s="67"/>
      <c r="I149" s="67"/>
      <c r="N149" s="67"/>
    </row>
    <row r="150" ht="15.75" customHeight="1">
      <c r="E150" s="67"/>
      <c r="I150" s="67"/>
      <c r="N150" s="67"/>
    </row>
    <row r="151" ht="15.75" customHeight="1">
      <c r="E151" s="67"/>
      <c r="I151" s="67"/>
      <c r="N151" s="67"/>
    </row>
    <row r="152" ht="15.75" customHeight="1">
      <c r="E152" s="67"/>
      <c r="I152" s="67"/>
      <c r="N152" s="67"/>
    </row>
    <row r="153" ht="15.75" customHeight="1">
      <c r="E153" s="67"/>
      <c r="I153" s="67"/>
      <c r="N153" s="67"/>
    </row>
    <row r="154" ht="15.75" customHeight="1">
      <c r="E154" s="67"/>
      <c r="I154" s="67"/>
      <c r="N154" s="67"/>
    </row>
    <row r="155" ht="15.75" customHeight="1">
      <c r="E155" s="67"/>
      <c r="I155" s="67"/>
      <c r="N155" s="67"/>
    </row>
    <row r="156" ht="15.75" customHeight="1">
      <c r="E156" s="67"/>
      <c r="I156" s="67"/>
      <c r="N156" s="67"/>
    </row>
    <row r="157" ht="15.75" customHeight="1">
      <c r="E157" s="67"/>
      <c r="I157" s="67"/>
      <c r="N157" s="67"/>
    </row>
    <row r="158" ht="15.75" customHeight="1">
      <c r="E158" s="67"/>
      <c r="I158" s="67"/>
      <c r="N158" s="67"/>
    </row>
    <row r="159" ht="15.75" customHeight="1">
      <c r="E159" s="67"/>
      <c r="I159" s="67"/>
      <c r="N159" s="67"/>
    </row>
    <row r="160" ht="15.75" customHeight="1">
      <c r="E160" s="67"/>
      <c r="I160" s="67"/>
      <c r="N160" s="67"/>
    </row>
    <row r="161" ht="15.75" customHeight="1">
      <c r="E161" s="67"/>
      <c r="I161" s="67"/>
      <c r="N161" s="67"/>
    </row>
    <row r="162" ht="15.75" customHeight="1">
      <c r="E162" s="67"/>
      <c r="I162" s="67"/>
      <c r="N162" s="67"/>
    </row>
    <row r="163" ht="15.75" customHeight="1">
      <c r="E163" s="67"/>
      <c r="I163" s="67"/>
      <c r="N163" s="67"/>
    </row>
    <row r="164" ht="15.75" customHeight="1">
      <c r="E164" s="67"/>
      <c r="I164" s="67"/>
      <c r="N164" s="67"/>
    </row>
    <row r="165" ht="15.75" customHeight="1">
      <c r="E165" s="67"/>
      <c r="I165" s="67"/>
      <c r="N165" s="67"/>
    </row>
    <row r="166" ht="15.75" customHeight="1">
      <c r="E166" s="67"/>
      <c r="I166" s="67"/>
      <c r="N166" s="67"/>
    </row>
    <row r="167" ht="15.75" customHeight="1">
      <c r="E167" s="67"/>
      <c r="I167" s="67"/>
      <c r="N167" s="67"/>
    </row>
    <row r="168" ht="15.75" customHeight="1">
      <c r="E168" s="67"/>
      <c r="I168" s="67"/>
      <c r="N168" s="67"/>
    </row>
    <row r="169" ht="15.75" customHeight="1">
      <c r="E169" s="67"/>
      <c r="I169" s="67"/>
      <c r="N169" s="67"/>
    </row>
    <row r="170" ht="15.75" customHeight="1">
      <c r="E170" s="67"/>
      <c r="I170" s="67"/>
      <c r="N170" s="67"/>
    </row>
    <row r="171" ht="15.75" customHeight="1">
      <c r="E171" s="67"/>
      <c r="I171" s="67"/>
      <c r="N171" s="67"/>
    </row>
    <row r="172" ht="15.75" customHeight="1">
      <c r="E172" s="67"/>
      <c r="I172" s="67"/>
      <c r="N172" s="67"/>
    </row>
    <row r="173" ht="15.75" customHeight="1">
      <c r="E173" s="67"/>
      <c r="I173" s="67"/>
      <c r="N173" s="67"/>
    </row>
    <row r="174" ht="15.75" customHeight="1">
      <c r="E174" s="67"/>
      <c r="I174" s="67"/>
      <c r="N174" s="67"/>
    </row>
    <row r="175" ht="15.75" customHeight="1">
      <c r="E175" s="67"/>
      <c r="I175" s="67"/>
      <c r="N175" s="67"/>
    </row>
    <row r="176" ht="15.75" customHeight="1">
      <c r="E176" s="67"/>
      <c r="I176" s="67"/>
      <c r="N176" s="67"/>
    </row>
    <row r="177" ht="15.75" customHeight="1">
      <c r="E177" s="67"/>
      <c r="I177" s="67"/>
      <c r="N177" s="67"/>
    </row>
    <row r="178" ht="15.75" customHeight="1">
      <c r="E178" s="67"/>
      <c r="I178" s="67"/>
      <c r="N178" s="67"/>
    </row>
    <row r="179" ht="15.75" customHeight="1">
      <c r="E179" s="67"/>
      <c r="I179" s="67"/>
      <c r="N179" s="67"/>
    </row>
    <row r="180" ht="15.75" customHeight="1">
      <c r="E180" s="67"/>
      <c r="I180" s="67"/>
      <c r="N180" s="67"/>
    </row>
    <row r="181" ht="15.75" customHeight="1">
      <c r="E181" s="67"/>
      <c r="I181" s="67"/>
      <c r="N181" s="67"/>
    </row>
    <row r="182" ht="15.75" customHeight="1">
      <c r="E182" s="67"/>
      <c r="I182" s="67"/>
      <c r="N182" s="67"/>
    </row>
    <row r="183" ht="15.75" customHeight="1">
      <c r="E183" s="67"/>
      <c r="I183" s="67"/>
      <c r="N183" s="67"/>
    </row>
    <row r="184" ht="15.75" customHeight="1">
      <c r="E184" s="67"/>
      <c r="I184" s="67"/>
      <c r="N184" s="67"/>
    </row>
    <row r="185" ht="15.75" customHeight="1">
      <c r="E185" s="67"/>
      <c r="I185" s="67"/>
      <c r="N185" s="67"/>
    </row>
    <row r="186" ht="15.75" customHeight="1">
      <c r="E186" s="67"/>
      <c r="I186" s="67"/>
      <c r="N186" s="67"/>
    </row>
    <row r="187" ht="15.75" customHeight="1">
      <c r="E187" s="67"/>
      <c r="I187" s="67"/>
      <c r="N187" s="67"/>
    </row>
    <row r="188" ht="15.75" customHeight="1">
      <c r="E188" s="67"/>
      <c r="I188" s="67"/>
      <c r="N188" s="67"/>
    </row>
    <row r="189" ht="15.75" customHeight="1">
      <c r="E189" s="67"/>
      <c r="I189" s="67"/>
      <c r="N189" s="67"/>
    </row>
    <row r="190" ht="15.75" customHeight="1">
      <c r="E190" s="67"/>
      <c r="I190" s="67"/>
      <c r="N190" s="67"/>
    </row>
    <row r="191" ht="15.75" customHeight="1">
      <c r="E191" s="67"/>
      <c r="I191" s="67"/>
      <c r="N191" s="67"/>
    </row>
    <row r="192" ht="15.75" customHeight="1">
      <c r="E192" s="67"/>
      <c r="I192" s="67"/>
      <c r="N192" s="67"/>
    </row>
    <row r="193" ht="15.75" customHeight="1">
      <c r="E193" s="67"/>
      <c r="I193" s="67"/>
      <c r="N193" s="67"/>
    </row>
    <row r="194" ht="15.75" customHeight="1">
      <c r="E194" s="67"/>
      <c r="I194" s="67"/>
      <c r="N194" s="67"/>
    </row>
    <row r="195" ht="15.75" customHeight="1">
      <c r="E195" s="67"/>
      <c r="I195" s="67"/>
      <c r="N195" s="67"/>
    </row>
    <row r="196" ht="15.75" customHeight="1">
      <c r="E196" s="67"/>
      <c r="I196" s="67"/>
      <c r="N196" s="67"/>
    </row>
    <row r="197" ht="15.75" customHeight="1">
      <c r="E197" s="67"/>
      <c r="I197" s="67"/>
      <c r="N197" s="67"/>
    </row>
    <row r="198" ht="15.75" customHeight="1">
      <c r="E198" s="67"/>
      <c r="I198" s="67"/>
      <c r="N198" s="67"/>
    </row>
    <row r="199" ht="15.75" customHeight="1">
      <c r="E199" s="67"/>
      <c r="I199" s="67"/>
      <c r="N199" s="67"/>
    </row>
    <row r="200" ht="15.75" customHeight="1">
      <c r="E200" s="67"/>
      <c r="I200" s="67"/>
      <c r="N200" s="67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N2:N200">
      <formula1>"Verified,Provisional,Pending,Rejected"</formula1>
    </dataValidation>
    <dataValidation type="list" allowBlank="1" sqref="I2:I200">
      <formula1>"Official,Audited,Company reported,Secondary,Scenario"</formula1>
    </dataValidation>
    <dataValidation type="list" allowBlank="1" sqref="E2:E200">
      <formula1>"Production,Historical Emissions,Compliance Direct Emissions,g,r,Inventory List Match,Other"</formula1>
    </dataValidation>
  </dataValidations>
  <printOptions/>
  <pageMargins bottom="0.75" footer="0.0" header="0.0" left="0.7" right="0.7" top="0.75"/>
  <pageSetup orientation="landscape"/>
  <drawing r:id="rId1"/>
</worksheet>
</file>